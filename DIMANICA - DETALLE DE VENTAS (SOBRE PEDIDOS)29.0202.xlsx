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9bccc988e7464836/Escritorio/chamba/"/>
    </mc:Choice>
  </mc:AlternateContent>
  <xr:revisionPtr revIDLastSave="2" documentId="13_ncr:1_{6E00EE80-44EF-4CA7-A2C5-48A1EE64613C}" xr6:coauthVersionLast="47" xr6:coauthVersionMax="47" xr10:uidLastSave="{32D383AB-8497-47BA-8E05-E80BFA519AB7}"/>
  <bookViews>
    <workbookView xWindow="-108" yWindow="-108" windowWidth="23256" windowHeight="12456" xr2:uid="{3541F142-7AC0-47FB-A772-E7165492EDB9}"/>
  </bookViews>
  <sheets>
    <sheet name="vist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4300" i="1" l="1"/>
  <c r="Z4300" i="1"/>
  <c r="Y4300" i="1"/>
  <c r="X4300" i="1"/>
  <c r="AA4299" i="1"/>
  <c r="Z4299" i="1"/>
  <c r="Y4299" i="1"/>
  <c r="X4299" i="1"/>
  <c r="AA4298" i="1"/>
  <c r="Z4298" i="1"/>
  <c r="Y4298" i="1"/>
  <c r="X4298" i="1"/>
  <c r="AA4297" i="1"/>
  <c r="Z4297" i="1"/>
  <c r="Y4297" i="1"/>
  <c r="X4297" i="1"/>
  <c r="AA4296" i="1"/>
  <c r="Z4296" i="1"/>
  <c r="Y4296" i="1"/>
  <c r="X4296" i="1"/>
  <c r="AA4295" i="1"/>
  <c r="Z4295" i="1"/>
  <c r="Y4295" i="1"/>
  <c r="X4295" i="1"/>
  <c r="AA4294" i="1"/>
  <c r="Z4294" i="1"/>
  <c r="Y4294" i="1"/>
  <c r="X4294" i="1"/>
  <c r="AA4293" i="1"/>
  <c r="Z4293" i="1"/>
  <c r="Y4293" i="1"/>
  <c r="X4293" i="1"/>
  <c r="AA4292" i="1"/>
  <c r="Z4292" i="1"/>
  <c r="Y4292" i="1"/>
  <c r="X4292" i="1"/>
  <c r="AA4291" i="1"/>
  <c r="Z4291" i="1"/>
  <c r="Y4291" i="1"/>
  <c r="X4291" i="1"/>
  <c r="AA4290" i="1"/>
  <c r="Z4290" i="1"/>
  <c r="Y4290" i="1"/>
  <c r="X4290" i="1"/>
  <c r="AA4289" i="1"/>
  <c r="Z4289" i="1"/>
  <c r="Y4289" i="1"/>
  <c r="X4289" i="1"/>
  <c r="AA4288" i="1"/>
  <c r="Z4288" i="1"/>
  <c r="Y4288" i="1"/>
  <c r="X4288" i="1"/>
  <c r="AA4287" i="1"/>
  <c r="Z4287" i="1"/>
  <c r="Y4287" i="1"/>
  <c r="X4287" i="1"/>
  <c r="AA4286" i="1"/>
  <c r="Z4286" i="1"/>
  <c r="Y4286" i="1"/>
  <c r="X4286" i="1"/>
  <c r="AA4285" i="1"/>
  <c r="Z4285" i="1"/>
  <c r="Y4285" i="1"/>
  <c r="X4285" i="1"/>
  <c r="AA4284" i="1"/>
  <c r="Z4284" i="1"/>
  <c r="Y4284" i="1"/>
  <c r="X4284" i="1"/>
  <c r="AA4283" i="1"/>
  <c r="Z4283" i="1"/>
  <c r="Y4283" i="1"/>
  <c r="X4283" i="1"/>
  <c r="AA4282" i="1"/>
  <c r="Z4282" i="1"/>
  <c r="Y4282" i="1"/>
  <c r="X4282" i="1"/>
  <c r="AA4281" i="1"/>
  <c r="Z4281" i="1"/>
  <c r="Y4281" i="1"/>
  <c r="X4281" i="1"/>
  <c r="AA4280" i="1"/>
  <c r="Z4280" i="1"/>
  <c r="Y4280" i="1"/>
  <c r="X4280" i="1"/>
  <c r="AA4279" i="1"/>
  <c r="Z4279" i="1"/>
  <c r="Y4279" i="1"/>
  <c r="X4279" i="1"/>
  <c r="AA4278" i="1"/>
  <c r="Z4278" i="1"/>
  <c r="Y4278" i="1"/>
  <c r="X4278" i="1"/>
  <c r="AA4277" i="1"/>
  <c r="Z4277" i="1"/>
  <c r="Y4277" i="1"/>
  <c r="X4277" i="1"/>
  <c r="AA4276" i="1"/>
  <c r="Z4276" i="1"/>
  <c r="Y4276" i="1"/>
  <c r="X4276" i="1"/>
  <c r="AA4275" i="1"/>
  <c r="Z4275" i="1"/>
  <c r="Y4275" i="1"/>
  <c r="X4275" i="1"/>
  <c r="AA4274" i="1"/>
  <c r="Z4274" i="1"/>
  <c r="Y4274" i="1"/>
  <c r="X4274" i="1"/>
  <c r="AA4273" i="1"/>
  <c r="Z4273" i="1"/>
  <c r="Y4273" i="1"/>
  <c r="X4273" i="1"/>
  <c r="AA4272" i="1"/>
  <c r="Z4272" i="1"/>
  <c r="Y4272" i="1"/>
  <c r="X4272" i="1"/>
  <c r="AA4271" i="1"/>
  <c r="Z4271" i="1"/>
  <c r="Y4271" i="1"/>
  <c r="X4271" i="1"/>
  <c r="AA4270" i="1"/>
  <c r="Z4270" i="1"/>
  <c r="Y4270" i="1"/>
  <c r="X4270" i="1"/>
  <c r="AA4269" i="1"/>
  <c r="Z4269" i="1"/>
  <c r="Y4269" i="1"/>
  <c r="X4269" i="1"/>
  <c r="AA4268" i="1"/>
  <c r="Z4268" i="1"/>
  <c r="Y4268" i="1"/>
  <c r="X4268" i="1"/>
  <c r="AA4267" i="1"/>
  <c r="Z4267" i="1"/>
  <c r="Y4267" i="1"/>
  <c r="X4267" i="1"/>
  <c r="AA4266" i="1"/>
  <c r="Z4266" i="1"/>
  <c r="Y4266" i="1"/>
  <c r="X4266" i="1"/>
  <c r="AA4265" i="1"/>
  <c r="Z4265" i="1"/>
  <c r="Y4265" i="1"/>
  <c r="X4265" i="1"/>
  <c r="AA4264" i="1"/>
  <c r="Z4264" i="1"/>
  <c r="Y4264" i="1"/>
  <c r="X4264" i="1"/>
  <c r="AA4263" i="1"/>
  <c r="Z4263" i="1"/>
  <c r="Y4263" i="1"/>
  <c r="X4263" i="1"/>
  <c r="AA4262" i="1"/>
  <c r="Z4262" i="1"/>
  <c r="Y4262" i="1"/>
  <c r="X4262" i="1"/>
  <c r="AA4261" i="1"/>
  <c r="Z4261" i="1"/>
  <c r="Y4261" i="1"/>
  <c r="X4261" i="1"/>
  <c r="AA4260" i="1"/>
  <c r="Z4260" i="1"/>
  <c r="Y4260" i="1"/>
  <c r="X4260" i="1"/>
  <c r="AA4259" i="1"/>
  <c r="Z4259" i="1"/>
  <c r="Y4259" i="1"/>
  <c r="X4259" i="1"/>
  <c r="AA4258" i="1"/>
  <c r="Z4258" i="1"/>
  <c r="Y4258" i="1"/>
  <c r="X4258" i="1"/>
  <c r="AA4257" i="1"/>
  <c r="Z4257" i="1"/>
  <c r="Y4257" i="1"/>
  <c r="X4257" i="1"/>
  <c r="AA4256" i="1"/>
  <c r="Z4256" i="1"/>
  <c r="Y4256" i="1"/>
  <c r="X4256" i="1"/>
  <c r="AA4255" i="1"/>
  <c r="Z4255" i="1"/>
  <c r="Y4255" i="1"/>
  <c r="X4255" i="1"/>
  <c r="AA4254" i="1"/>
  <c r="Z4254" i="1"/>
  <c r="Y4254" i="1"/>
  <c r="X4254" i="1"/>
  <c r="AA4253" i="1"/>
  <c r="Z4253" i="1"/>
  <c r="Y4253" i="1"/>
  <c r="X4253" i="1"/>
  <c r="AA4252" i="1"/>
  <c r="Z4252" i="1"/>
  <c r="Y4252" i="1"/>
  <c r="X4252" i="1"/>
  <c r="AA4251" i="1"/>
  <c r="Z4251" i="1"/>
  <c r="Y4251" i="1"/>
  <c r="X4251" i="1"/>
  <c r="AA4250" i="1"/>
  <c r="Z4250" i="1"/>
  <c r="Y4250" i="1"/>
  <c r="X4250" i="1"/>
  <c r="AA4249" i="1"/>
  <c r="Z4249" i="1"/>
  <c r="Y4249" i="1"/>
  <c r="X4249" i="1"/>
  <c r="AA4248" i="1"/>
  <c r="Z4248" i="1"/>
  <c r="Y4248" i="1"/>
  <c r="X4248" i="1"/>
  <c r="AA4247" i="1"/>
  <c r="Z4247" i="1"/>
  <c r="Y4247" i="1"/>
  <c r="X4247" i="1"/>
  <c r="AA4246" i="1"/>
  <c r="Z4246" i="1"/>
  <c r="Y4246" i="1"/>
  <c r="X4246" i="1"/>
  <c r="AA4245" i="1"/>
  <c r="Z4245" i="1"/>
  <c r="Y4245" i="1"/>
  <c r="X4245" i="1"/>
  <c r="AA4244" i="1"/>
  <c r="Z4244" i="1"/>
  <c r="Y4244" i="1"/>
  <c r="X4244" i="1"/>
  <c r="AA4243" i="1"/>
  <c r="Z4243" i="1"/>
  <c r="Y4243" i="1"/>
  <c r="X4243" i="1"/>
  <c r="AA4242" i="1"/>
  <c r="Z4242" i="1"/>
  <c r="Y4242" i="1"/>
  <c r="X4242" i="1"/>
  <c r="AA4241" i="1"/>
  <c r="Z4241" i="1"/>
  <c r="Y4241" i="1"/>
  <c r="X4241" i="1"/>
  <c r="AA4240" i="1"/>
  <c r="Z4240" i="1"/>
  <c r="Y4240" i="1"/>
  <c r="X4240" i="1"/>
  <c r="AA4239" i="1"/>
  <c r="Z4239" i="1"/>
  <c r="Y4239" i="1"/>
  <c r="X4239" i="1"/>
  <c r="AA4238" i="1"/>
  <c r="Z4238" i="1"/>
  <c r="Y4238" i="1"/>
  <c r="X4238" i="1"/>
  <c r="AA4237" i="1"/>
  <c r="Z4237" i="1"/>
  <c r="Y4237" i="1"/>
  <c r="X4237" i="1"/>
  <c r="AA4236" i="1"/>
  <c r="Z4236" i="1"/>
  <c r="Y4236" i="1"/>
  <c r="X4236" i="1"/>
  <c r="AA4235" i="1"/>
  <c r="Z4235" i="1"/>
  <c r="Y4235" i="1"/>
  <c r="X4235" i="1"/>
  <c r="AA4234" i="1"/>
  <c r="Z4234" i="1"/>
  <c r="Y4234" i="1"/>
  <c r="X4234" i="1"/>
  <c r="AA4233" i="1"/>
  <c r="Z4233" i="1"/>
  <c r="Y4233" i="1"/>
  <c r="X4233" i="1"/>
  <c r="AA4232" i="1"/>
  <c r="Z4232" i="1"/>
  <c r="Y4232" i="1"/>
  <c r="X4232" i="1"/>
  <c r="AA4231" i="1"/>
  <c r="Z4231" i="1"/>
  <c r="Y4231" i="1"/>
  <c r="X4231" i="1"/>
  <c r="AA4230" i="1"/>
  <c r="Z4230" i="1"/>
  <c r="Y4230" i="1"/>
  <c r="X4230" i="1"/>
  <c r="AA4229" i="1"/>
  <c r="Z4229" i="1"/>
  <c r="Y4229" i="1"/>
  <c r="X4229" i="1"/>
  <c r="AA4228" i="1"/>
  <c r="Z4228" i="1"/>
  <c r="Y4228" i="1"/>
  <c r="X4228" i="1"/>
  <c r="AA4227" i="1"/>
  <c r="Z4227" i="1"/>
  <c r="Y4227" i="1"/>
  <c r="X4227" i="1"/>
  <c r="AA4226" i="1"/>
  <c r="Z4226" i="1"/>
  <c r="Y4226" i="1"/>
  <c r="X4226" i="1"/>
  <c r="AA4225" i="1"/>
  <c r="Z4225" i="1"/>
  <c r="Y4225" i="1"/>
  <c r="X4225" i="1"/>
  <c r="AA4224" i="1"/>
  <c r="Z4224" i="1"/>
  <c r="Y4224" i="1"/>
  <c r="X4224" i="1"/>
  <c r="AA4223" i="1"/>
  <c r="Z4223" i="1"/>
  <c r="Y4223" i="1"/>
  <c r="X4223" i="1"/>
  <c r="AA4222" i="1"/>
  <c r="Z4222" i="1"/>
  <c r="Y4222" i="1"/>
  <c r="X4222" i="1"/>
  <c r="AA4221" i="1"/>
  <c r="Z4221" i="1"/>
  <c r="Y4221" i="1"/>
  <c r="X4221" i="1"/>
  <c r="AA4220" i="1"/>
  <c r="Z4220" i="1"/>
  <c r="Y4220" i="1"/>
  <c r="X4220" i="1"/>
  <c r="AA4219" i="1"/>
  <c r="Z4219" i="1"/>
  <c r="Y4219" i="1"/>
  <c r="X4219" i="1"/>
  <c r="AA4218" i="1"/>
  <c r="Z4218" i="1"/>
  <c r="Y4218" i="1"/>
  <c r="X4218" i="1"/>
  <c r="AA4217" i="1"/>
  <c r="Z4217" i="1"/>
  <c r="Y4217" i="1"/>
  <c r="X4217" i="1"/>
  <c r="AA4216" i="1"/>
  <c r="Z4216" i="1"/>
  <c r="Y4216" i="1"/>
  <c r="X4216" i="1"/>
  <c r="AA4215" i="1"/>
  <c r="Z4215" i="1"/>
  <c r="Y4215" i="1"/>
  <c r="X4215" i="1"/>
  <c r="AA4214" i="1"/>
  <c r="Z4214" i="1"/>
  <c r="Y4214" i="1"/>
  <c r="X4214" i="1"/>
  <c r="AA4213" i="1"/>
  <c r="Z4213" i="1"/>
  <c r="Y4213" i="1"/>
  <c r="X4213" i="1"/>
  <c r="AA4212" i="1"/>
  <c r="Z4212" i="1"/>
  <c r="Y4212" i="1"/>
  <c r="X4212" i="1"/>
  <c r="AA4211" i="1"/>
  <c r="Z4211" i="1"/>
  <c r="Y4211" i="1"/>
  <c r="X4211" i="1"/>
  <c r="AA4210" i="1"/>
  <c r="Z4210" i="1"/>
  <c r="Y4210" i="1"/>
  <c r="X4210" i="1"/>
  <c r="AA4209" i="1"/>
  <c r="Z4209" i="1"/>
  <c r="Y4209" i="1"/>
  <c r="X4209" i="1"/>
  <c r="AA4208" i="1"/>
  <c r="Z4208" i="1"/>
  <c r="Y4208" i="1"/>
  <c r="X4208" i="1"/>
  <c r="AA4207" i="1"/>
  <c r="Z4207" i="1"/>
  <c r="Y4207" i="1"/>
  <c r="X4207" i="1"/>
  <c r="AA4206" i="1"/>
  <c r="Z4206" i="1"/>
  <c r="Y4206" i="1"/>
  <c r="X4206" i="1"/>
  <c r="AA4205" i="1"/>
  <c r="Z4205" i="1"/>
  <c r="Y4205" i="1"/>
  <c r="X4205" i="1"/>
  <c r="AA4204" i="1"/>
  <c r="Z4204" i="1"/>
  <c r="Y4204" i="1"/>
  <c r="X4204" i="1"/>
  <c r="AA4203" i="1"/>
  <c r="Z4203" i="1"/>
  <c r="Y4203" i="1"/>
  <c r="X4203" i="1"/>
  <c r="AA4202" i="1"/>
  <c r="Z4202" i="1"/>
  <c r="Y4202" i="1"/>
  <c r="X4202" i="1"/>
  <c r="AA4201" i="1"/>
  <c r="Z4201" i="1"/>
  <c r="Y4201" i="1"/>
  <c r="X4201" i="1"/>
  <c r="AA4200" i="1"/>
  <c r="Z4200" i="1"/>
  <c r="Y4200" i="1"/>
  <c r="X4200" i="1"/>
  <c r="AA4199" i="1"/>
  <c r="Z4199" i="1"/>
  <c r="Y4199" i="1"/>
  <c r="X4199" i="1"/>
  <c r="AA4198" i="1"/>
  <c r="Z4198" i="1"/>
  <c r="Y4198" i="1"/>
  <c r="X4198" i="1"/>
  <c r="AA4197" i="1"/>
  <c r="Z4197" i="1"/>
  <c r="Y4197" i="1"/>
  <c r="X4197" i="1"/>
  <c r="AA4196" i="1"/>
  <c r="Z4196" i="1"/>
  <c r="Y4196" i="1"/>
  <c r="X4196" i="1"/>
  <c r="AA4195" i="1"/>
  <c r="Z4195" i="1"/>
  <c r="Y4195" i="1"/>
  <c r="X4195" i="1"/>
  <c r="AA4194" i="1"/>
  <c r="Z4194" i="1"/>
  <c r="Y4194" i="1"/>
  <c r="X4194" i="1"/>
  <c r="AA4193" i="1"/>
  <c r="Z4193" i="1"/>
  <c r="Y4193" i="1"/>
  <c r="X4193" i="1"/>
  <c r="AA4192" i="1"/>
  <c r="Z4192" i="1"/>
  <c r="Y4192" i="1"/>
  <c r="X4192" i="1"/>
  <c r="AA4191" i="1"/>
  <c r="Z4191" i="1"/>
  <c r="Y4191" i="1"/>
  <c r="X4191" i="1"/>
  <c r="AA4190" i="1"/>
  <c r="Z4190" i="1"/>
  <c r="Y4190" i="1"/>
  <c r="X4190" i="1"/>
  <c r="AA4189" i="1"/>
  <c r="Z4189" i="1"/>
  <c r="Y4189" i="1"/>
  <c r="X4189" i="1"/>
  <c r="AA4188" i="1"/>
  <c r="Z4188" i="1"/>
  <c r="Y4188" i="1"/>
  <c r="X4188" i="1"/>
  <c r="AA4187" i="1"/>
  <c r="Z4187" i="1"/>
  <c r="Y4187" i="1"/>
  <c r="X4187" i="1"/>
  <c r="AA4186" i="1"/>
  <c r="Z4186" i="1"/>
  <c r="Y4186" i="1"/>
  <c r="X4186" i="1"/>
  <c r="AA4185" i="1"/>
  <c r="Z4185" i="1"/>
  <c r="Y4185" i="1"/>
  <c r="X4185" i="1"/>
  <c r="AA4184" i="1"/>
  <c r="Z4184" i="1"/>
  <c r="Y4184" i="1"/>
  <c r="X4184" i="1"/>
  <c r="AA4183" i="1"/>
  <c r="Z4183" i="1"/>
  <c r="Y4183" i="1"/>
  <c r="X4183" i="1"/>
  <c r="AA4182" i="1"/>
  <c r="Z4182" i="1"/>
  <c r="Y4182" i="1"/>
  <c r="X4182" i="1"/>
  <c r="AA4181" i="1"/>
  <c r="Z4181" i="1"/>
  <c r="Y4181" i="1"/>
  <c r="X4181" i="1"/>
  <c r="AA4180" i="1"/>
  <c r="Z4180" i="1"/>
  <c r="Y4180" i="1"/>
  <c r="X4180" i="1"/>
  <c r="AA4179" i="1"/>
  <c r="Z4179" i="1"/>
  <c r="Y4179" i="1"/>
  <c r="X4179" i="1"/>
  <c r="AA4178" i="1"/>
  <c r="Z4178" i="1"/>
  <c r="Y4178" i="1"/>
  <c r="X4178" i="1"/>
  <c r="AA4177" i="1"/>
  <c r="Z4177" i="1"/>
  <c r="Y4177" i="1"/>
  <c r="X4177" i="1"/>
  <c r="AA4176" i="1"/>
  <c r="Z4176" i="1"/>
  <c r="Y4176" i="1"/>
  <c r="X4176" i="1"/>
  <c r="AA4175" i="1"/>
  <c r="Z4175" i="1"/>
  <c r="Y4175" i="1"/>
  <c r="X4175" i="1"/>
  <c r="AA4174" i="1"/>
  <c r="Z4174" i="1"/>
  <c r="Y4174" i="1"/>
  <c r="X4174" i="1"/>
  <c r="AA4173" i="1"/>
  <c r="Z4173" i="1"/>
  <c r="Y4173" i="1"/>
  <c r="X4173" i="1"/>
  <c r="AA4172" i="1"/>
  <c r="Z4172" i="1"/>
  <c r="Y4172" i="1"/>
  <c r="X4172" i="1"/>
  <c r="AA4171" i="1"/>
  <c r="Z4171" i="1"/>
  <c r="Y4171" i="1"/>
  <c r="X4171" i="1"/>
  <c r="AA4170" i="1"/>
  <c r="Z4170" i="1"/>
  <c r="Y4170" i="1"/>
  <c r="X4170" i="1"/>
  <c r="AA4169" i="1"/>
  <c r="Z4169" i="1"/>
  <c r="Y4169" i="1"/>
  <c r="X4169" i="1"/>
  <c r="AA4168" i="1"/>
  <c r="Z4168" i="1"/>
  <c r="Y4168" i="1"/>
  <c r="X4168" i="1"/>
  <c r="AA4167" i="1"/>
  <c r="Z4167" i="1"/>
  <c r="Y4167" i="1"/>
  <c r="X4167" i="1"/>
  <c r="AA4166" i="1"/>
  <c r="Z4166" i="1"/>
  <c r="Y4166" i="1"/>
  <c r="X4166" i="1"/>
  <c r="AA4165" i="1"/>
  <c r="Z4165" i="1"/>
  <c r="Y4165" i="1"/>
  <c r="X4165" i="1"/>
  <c r="AA4164" i="1"/>
  <c r="Z4164" i="1"/>
  <c r="Y4164" i="1"/>
  <c r="X4164" i="1"/>
  <c r="AA4163" i="1"/>
  <c r="Z4163" i="1"/>
  <c r="Y4163" i="1"/>
  <c r="X4163" i="1"/>
  <c r="AA4162" i="1"/>
  <c r="Z4162" i="1"/>
  <c r="Y4162" i="1"/>
  <c r="X4162" i="1"/>
  <c r="AA4161" i="1"/>
  <c r="Z4161" i="1"/>
  <c r="Y4161" i="1"/>
  <c r="X4161" i="1"/>
  <c r="AA4160" i="1"/>
  <c r="Z4160" i="1"/>
  <c r="Y4160" i="1"/>
  <c r="X4160" i="1"/>
  <c r="AA4159" i="1"/>
  <c r="Z4159" i="1"/>
  <c r="Y4159" i="1"/>
  <c r="X4159" i="1"/>
  <c r="AA4158" i="1"/>
  <c r="Z4158" i="1"/>
  <c r="Y4158" i="1"/>
  <c r="X4158" i="1"/>
  <c r="AA4157" i="1"/>
  <c r="Z4157" i="1"/>
  <c r="Y4157" i="1"/>
  <c r="X4157" i="1"/>
  <c r="AA4156" i="1"/>
  <c r="Z4156" i="1"/>
  <c r="Y4156" i="1"/>
  <c r="X4156" i="1"/>
  <c r="AA4155" i="1"/>
  <c r="Z4155" i="1"/>
  <c r="Y4155" i="1"/>
  <c r="X4155" i="1"/>
  <c r="AA4154" i="1"/>
  <c r="Z4154" i="1"/>
  <c r="Y4154" i="1"/>
  <c r="X4154" i="1"/>
  <c r="AA4153" i="1"/>
  <c r="Z4153" i="1"/>
  <c r="Y4153" i="1"/>
  <c r="X4153" i="1"/>
  <c r="AA4152" i="1"/>
  <c r="Z4152" i="1"/>
  <c r="Y4152" i="1"/>
  <c r="X4152" i="1"/>
  <c r="AA4151" i="1"/>
  <c r="Z4151" i="1"/>
  <c r="Y4151" i="1"/>
  <c r="X4151" i="1"/>
  <c r="AA4150" i="1"/>
  <c r="Z4150" i="1"/>
  <c r="Y4150" i="1"/>
  <c r="X4150" i="1"/>
  <c r="AA4149" i="1"/>
  <c r="Z4149" i="1"/>
  <c r="Y4149" i="1"/>
  <c r="X4149" i="1"/>
  <c r="AA4148" i="1"/>
  <c r="Z4148" i="1"/>
  <c r="Y4148" i="1"/>
  <c r="X4148" i="1"/>
  <c r="AA4147" i="1"/>
  <c r="Z4147" i="1"/>
  <c r="Y4147" i="1"/>
  <c r="X4147" i="1"/>
  <c r="AA4146" i="1"/>
  <c r="Z4146" i="1"/>
  <c r="Y4146" i="1"/>
  <c r="X4146" i="1"/>
  <c r="AA4145" i="1"/>
  <c r="Z4145" i="1"/>
  <c r="Y4145" i="1"/>
  <c r="X4145" i="1"/>
  <c r="AA4144" i="1"/>
  <c r="Z4144" i="1"/>
  <c r="Y4144" i="1"/>
  <c r="X4144" i="1"/>
  <c r="AA4143" i="1"/>
  <c r="Z4143" i="1"/>
  <c r="Y4143" i="1"/>
  <c r="X4143" i="1"/>
  <c r="AA4142" i="1"/>
  <c r="Z4142" i="1"/>
  <c r="Y4142" i="1"/>
  <c r="X4142" i="1"/>
  <c r="AA4141" i="1"/>
  <c r="Z4141" i="1"/>
  <c r="Y4141" i="1"/>
  <c r="X4141" i="1"/>
  <c r="AA4140" i="1"/>
  <c r="Z4140" i="1"/>
  <c r="Y4140" i="1"/>
  <c r="X4140" i="1"/>
  <c r="AA4139" i="1"/>
  <c r="Z4139" i="1"/>
  <c r="Y4139" i="1"/>
  <c r="X4139" i="1"/>
  <c r="AA4138" i="1"/>
  <c r="Z4138" i="1"/>
  <c r="Y4138" i="1"/>
  <c r="X4138" i="1"/>
  <c r="AA4137" i="1"/>
  <c r="Z4137" i="1"/>
  <c r="Y4137" i="1"/>
  <c r="X4137" i="1"/>
  <c r="AA4136" i="1"/>
  <c r="Z4136" i="1"/>
  <c r="Y4136" i="1"/>
  <c r="X4136" i="1"/>
  <c r="AA4135" i="1"/>
  <c r="Z4135" i="1"/>
  <c r="Y4135" i="1"/>
  <c r="X4135" i="1"/>
  <c r="AA4134" i="1"/>
  <c r="Z4134" i="1"/>
  <c r="Y4134" i="1"/>
  <c r="X4134" i="1"/>
  <c r="AA4133" i="1"/>
  <c r="Z4133" i="1"/>
  <c r="Y4133" i="1"/>
  <c r="X4133" i="1"/>
  <c r="AA4132" i="1"/>
  <c r="Z4132" i="1"/>
  <c r="Y4132" i="1"/>
  <c r="X4132" i="1"/>
  <c r="AA4131" i="1"/>
  <c r="Z4131" i="1"/>
  <c r="Y4131" i="1"/>
  <c r="X4131" i="1"/>
  <c r="AA4130" i="1"/>
  <c r="Z4130" i="1"/>
  <c r="Y4130" i="1"/>
  <c r="X4130" i="1"/>
  <c r="AA4129" i="1"/>
  <c r="Z4129" i="1"/>
  <c r="Y4129" i="1"/>
  <c r="X4129" i="1"/>
  <c r="AA4128" i="1"/>
  <c r="Z4128" i="1"/>
  <c r="Y4128" i="1"/>
  <c r="X4128" i="1"/>
  <c r="AA4127" i="1"/>
  <c r="Z4127" i="1"/>
  <c r="Y4127" i="1"/>
  <c r="X4127" i="1"/>
  <c r="AA4126" i="1"/>
  <c r="Z4126" i="1"/>
  <c r="Y4126" i="1"/>
  <c r="X4126" i="1"/>
  <c r="AA4125" i="1"/>
  <c r="Z4125" i="1"/>
  <c r="Y4125" i="1"/>
  <c r="X4125" i="1"/>
  <c r="AA4124" i="1"/>
  <c r="Z4124" i="1"/>
  <c r="Y4124" i="1"/>
  <c r="X4124" i="1"/>
  <c r="AA4123" i="1"/>
  <c r="Z4123" i="1"/>
  <c r="Y4123" i="1"/>
  <c r="X4123" i="1"/>
  <c r="AA4122" i="1"/>
  <c r="Z4122" i="1"/>
  <c r="Y4122" i="1"/>
  <c r="X4122" i="1"/>
  <c r="AA4121" i="1"/>
  <c r="Z4121" i="1"/>
  <c r="Y4121" i="1"/>
  <c r="X4121" i="1"/>
  <c r="AA4120" i="1"/>
  <c r="Z4120" i="1"/>
  <c r="Y4120" i="1"/>
  <c r="X4120" i="1"/>
  <c r="AA4119" i="1"/>
  <c r="Z4119" i="1"/>
  <c r="Y4119" i="1"/>
  <c r="X4119" i="1"/>
  <c r="AA4118" i="1"/>
  <c r="Z4118" i="1"/>
  <c r="Y4118" i="1"/>
  <c r="X4118" i="1"/>
  <c r="AA4117" i="1"/>
  <c r="Z4117" i="1"/>
  <c r="Y4117" i="1"/>
  <c r="X4117" i="1"/>
  <c r="AA4116" i="1"/>
  <c r="Z4116" i="1"/>
  <c r="Y4116" i="1"/>
  <c r="X4116" i="1"/>
  <c r="AA4115" i="1"/>
  <c r="Z4115" i="1"/>
  <c r="Y4115" i="1"/>
  <c r="X4115" i="1"/>
  <c r="AA4114" i="1"/>
  <c r="Z4114" i="1"/>
  <c r="Y4114" i="1"/>
  <c r="X4114" i="1"/>
  <c r="AA4113" i="1"/>
  <c r="Z4113" i="1"/>
  <c r="Y4113" i="1"/>
  <c r="X4113" i="1"/>
  <c r="AA4112" i="1"/>
  <c r="Z4112" i="1"/>
  <c r="Y4112" i="1"/>
  <c r="X4112" i="1"/>
  <c r="AA4111" i="1"/>
  <c r="Z4111" i="1"/>
  <c r="Y4111" i="1"/>
  <c r="X4111" i="1"/>
  <c r="AA4110" i="1"/>
  <c r="Z4110" i="1"/>
  <c r="Y4110" i="1"/>
  <c r="X4110" i="1"/>
  <c r="AA4109" i="1"/>
  <c r="Z4109" i="1"/>
  <c r="Y4109" i="1"/>
  <c r="X4109" i="1"/>
  <c r="AA4108" i="1"/>
  <c r="Z4108" i="1"/>
  <c r="Y4108" i="1"/>
  <c r="X4108" i="1"/>
  <c r="AA4107" i="1"/>
  <c r="Z4107" i="1"/>
  <c r="Y4107" i="1"/>
  <c r="X4107" i="1"/>
  <c r="AA4106" i="1"/>
  <c r="Z4106" i="1"/>
  <c r="Y4106" i="1"/>
  <c r="X4106" i="1"/>
  <c r="AA4105" i="1"/>
  <c r="Z4105" i="1"/>
  <c r="Y4105" i="1"/>
  <c r="X4105" i="1"/>
  <c r="AA4104" i="1"/>
  <c r="Z4104" i="1"/>
  <c r="Y4104" i="1"/>
  <c r="X4104" i="1"/>
  <c r="AA4103" i="1"/>
  <c r="Z4103" i="1"/>
  <c r="Y4103" i="1"/>
  <c r="X4103" i="1"/>
  <c r="AA4102" i="1"/>
  <c r="Z4102" i="1"/>
  <c r="Y4102" i="1"/>
  <c r="X4102" i="1"/>
  <c r="AA4101" i="1"/>
  <c r="Z4101" i="1"/>
  <c r="Y4101" i="1"/>
  <c r="X4101" i="1"/>
  <c r="AA4100" i="1"/>
  <c r="Z4100" i="1"/>
  <c r="Y4100" i="1"/>
  <c r="X4100" i="1"/>
  <c r="AA4099" i="1"/>
  <c r="Z4099" i="1"/>
  <c r="Y4099" i="1"/>
  <c r="X4099" i="1"/>
  <c r="AA4098" i="1"/>
  <c r="Z4098" i="1"/>
  <c r="Y4098" i="1"/>
  <c r="X4098" i="1"/>
  <c r="AA4097" i="1"/>
  <c r="Z4097" i="1"/>
  <c r="Y4097" i="1"/>
  <c r="X4097" i="1"/>
  <c r="AA4096" i="1"/>
  <c r="Z4096" i="1"/>
  <c r="Y4096" i="1"/>
  <c r="X4096" i="1"/>
  <c r="AA4095" i="1"/>
  <c r="Z4095" i="1"/>
  <c r="Y4095" i="1"/>
  <c r="X4095" i="1"/>
  <c r="AA4094" i="1"/>
  <c r="Z4094" i="1"/>
  <c r="Y4094" i="1"/>
  <c r="X4094" i="1"/>
  <c r="AA4093" i="1"/>
  <c r="Z4093" i="1"/>
  <c r="Y4093" i="1"/>
  <c r="X4093" i="1"/>
  <c r="AA4092" i="1"/>
  <c r="Z4092" i="1"/>
  <c r="Y4092" i="1"/>
  <c r="X4092" i="1"/>
  <c r="AA4091" i="1"/>
  <c r="Z4091" i="1"/>
  <c r="Y4091" i="1"/>
  <c r="X4091" i="1"/>
  <c r="AA4090" i="1"/>
  <c r="Z4090" i="1"/>
  <c r="Y4090" i="1"/>
  <c r="X4090" i="1"/>
  <c r="AA4089" i="1"/>
  <c r="Z4089" i="1"/>
  <c r="Y4089" i="1"/>
  <c r="X4089" i="1"/>
  <c r="AA4088" i="1"/>
  <c r="Z4088" i="1"/>
  <c r="Y4088" i="1"/>
  <c r="X4088" i="1"/>
  <c r="AA4087" i="1"/>
  <c r="Z4087" i="1"/>
  <c r="Y4087" i="1"/>
  <c r="X4087" i="1"/>
  <c r="AA4086" i="1"/>
  <c r="Z4086" i="1"/>
  <c r="Y4086" i="1"/>
  <c r="X4086" i="1"/>
  <c r="AA4085" i="1"/>
  <c r="Z4085" i="1"/>
  <c r="Y4085" i="1"/>
  <c r="X4085" i="1"/>
  <c r="AA4084" i="1"/>
  <c r="Z4084" i="1"/>
  <c r="Y4084" i="1"/>
  <c r="X4084" i="1"/>
  <c r="AA4083" i="1"/>
  <c r="Z4083" i="1"/>
  <c r="Y4083" i="1"/>
  <c r="X4083" i="1"/>
  <c r="AA4082" i="1"/>
  <c r="Z4082" i="1"/>
  <c r="Y4082" i="1"/>
  <c r="X4082" i="1"/>
  <c r="AA4081" i="1"/>
  <c r="Z4081" i="1"/>
  <c r="Y4081" i="1"/>
  <c r="X4081" i="1"/>
  <c r="AA4080" i="1"/>
  <c r="Z4080" i="1"/>
  <c r="Y4080" i="1"/>
  <c r="X4080" i="1"/>
  <c r="AA4079" i="1"/>
  <c r="Z4079" i="1"/>
  <c r="Y4079" i="1"/>
  <c r="X4079" i="1"/>
  <c r="AA4078" i="1"/>
  <c r="Z4078" i="1"/>
  <c r="Y4078" i="1"/>
  <c r="X4078" i="1"/>
  <c r="AA4077" i="1"/>
  <c r="Z4077" i="1"/>
  <c r="Y4077" i="1"/>
  <c r="X4077" i="1"/>
  <c r="AA4076" i="1"/>
  <c r="Z4076" i="1"/>
  <c r="Y4076" i="1"/>
  <c r="X4076" i="1"/>
  <c r="AA4075" i="1"/>
  <c r="Z4075" i="1"/>
  <c r="Y4075" i="1"/>
  <c r="X4075" i="1"/>
  <c r="AA4074" i="1"/>
  <c r="Z4074" i="1"/>
  <c r="Y4074" i="1"/>
  <c r="X4074" i="1"/>
  <c r="AA4073" i="1"/>
  <c r="Z4073" i="1"/>
  <c r="Y4073" i="1"/>
  <c r="X4073" i="1"/>
  <c r="AA4072" i="1"/>
  <c r="Z4072" i="1"/>
  <c r="Y4072" i="1"/>
  <c r="X4072" i="1"/>
  <c r="AA4071" i="1"/>
  <c r="Z4071" i="1"/>
  <c r="Y4071" i="1"/>
  <c r="X4071" i="1"/>
  <c r="AA4070" i="1"/>
  <c r="Z4070" i="1"/>
  <c r="Y4070" i="1"/>
  <c r="X4070" i="1"/>
  <c r="AA4069" i="1"/>
  <c r="Z4069" i="1"/>
  <c r="Y4069" i="1"/>
  <c r="X4069" i="1"/>
  <c r="AA4068" i="1"/>
  <c r="Z4068" i="1"/>
  <c r="Y4068" i="1"/>
  <c r="X4068" i="1"/>
  <c r="AA4067" i="1"/>
  <c r="Z4067" i="1"/>
  <c r="Y4067" i="1"/>
  <c r="X4067" i="1"/>
  <c r="AA4066" i="1"/>
  <c r="Z4066" i="1"/>
  <c r="Y4066" i="1"/>
  <c r="X4066" i="1"/>
  <c r="AA4065" i="1"/>
  <c r="Z4065" i="1"/>
  <c r="Y4065" i="1"/>
  <c r="X4065" i="1"/>
  <c r="AA4064" i="1"/>
  <c r="Z4064" i="1"/>
  <c r="Y4064" i="1"/>
  <c r="X4064" i="1"/>
  <c r="AA4063" i="1"/>
  <c r="Z4063" i="1"/>
  <c r="Y4063" i="1"/>
  <c r="X4063" i="1"/>
  <c r="AA4062" i="1"/>
  <c r="Z4062" i="1"/>
  <c r="Y4062" i="1"/>
  <c r="X4062" i="1"/>
  <c r="AA4061" i="1"/>
  <c r="Z4061" i="1"/>
  <c r="Y4061" i="1"/>
  <c r="X4061" i="1"/>
  <c r="AA4060" i="1"/>
  <c r="Z4060" i="1"/>
  <c r="Y4060" i="1"/>
  <c r="X4060" i="1"/>
  <c r="AA4059" i="1"/>
  <c r="Z4059" i="1"/>
  <c r="Y4059" i="1"/>
  <c r="X4059" i="1"/>
  <c r="AA4058" i="1"/>
  <c r="Z4058" i="1"/>
  <c r="Y4058" i="1"/>
  <c r="X4058" i="1"/>
  <c r="AA4057" i="1"/>
  <c r="Z4057" i="1"/>
  <c r="Y4057" i="1"/>
  <c r="X4057" i="1"/>
  <c r="AA4056" i="1"/>
  <c r="Z4056" i="1"/>
  <c r="Y4056" i="1"/>
  <c r="X4056" i="1"/>
  <c r="AA4055" i="1"/>
  <c r="Z4055" i="1"/>
  <c r="Y4055" i="1"/>
  <c r="X4055" i="1"/>
  <c r="AA4054" i="1"/>
  <c r="Z4054" i="1"/>
  <c r="Y4054" i="1"/>
  <c r="X4054" i="1"/>
  <c r="AA4053" i="1"/>
  <c r="Z4053" i="1"/>
  <c r="Y4053" i="1"/>
  <c r="X4053" i="1"/>
  <c r="AA4052" i="1"/>
  <c r="Z4052" i="1"/>
  <c r="Y4052" i="1"/>
  <c r="X4052" i="1"/>
  <c r="AA4051" i="1"/>
  <c r="Z4051" i="1"/>
  <c r="Y4051" i="1"/>
  <c r="X4051" i="1"/>
  <c r="AA4050" i="1"/>
  <c r="Z4050" i="1"/>
  <c r="Y4050" i="1"/>
  <c r="X4050" i="1"/>
  <c r="AA4049" i="1"/>
  <c r="Z4049" i="1"/>
  <c r="Y4049" i="1"/>
  <c r="X4049" i="1"/>
  <c r="AA4048" i="1"/>
  <c r="Z4048" i="1"/>
  <c r="Y4048" i="1"/>
  <c r="X4048" i="1"/>
  <c r="AA4047" i="1"/>
  <c r="Z4047" i="1"/>
  <c r="Y4047" i="1"/>
  <c r="X4047" i="1"/>
  <c r="AA4046" i="1"/>
  <c r="Z4046" i="1"/>
  <c r="Y4046" i="1"/>
  <c r="X4046" i="1"/>
  <c r="AA4045" i="1"/>
  <c r="Z4045" i="1"/>
  <c r="Y4045" i="1"/>
  <c r="X4045" i="1"/>
  <c r="AA4044" i="1"/>
  <c r="Z4044" i="1"/>
  <c r="Y4044" i="1"/>
  <c r="X4044" i="1"/>
  <c r="AA4043" i="1"/>
  <c r="Z4043" i="1"/>
  <c r="Y4043" i="1"/>
  <c r="X4043" i="1"/>
  <c r="AA4042" i="1"/>
  <c r="Z4042" i="1"/>
  <c r="Y4042" i="1"/>
  <c r="X4042" i="1"/>
  <c r="AA4041" i="1"/>
  <c r="Z4041" i="1"/>
  <c r="Y4041" i="1"/>
  <c r="X4041" i="1"/>
  <c r="AA4040" i="1"/>
  <c r="Z4040" i="1"/>
  <c r="Y4040" i="1"/>
  <c r="X4040" i="1"/>
  <c r="AA4039" i="1"/>
  <c r="Z4039" i="1"/>
  <c r="Y4039" i="1"/>
  <c r="X4039" i="1"/>
  <c r="AA4038" i="1"/>
  <c r="Z4038" i="1"/>
  <c r="Y4038" i="1"/>
  <c r="X4038" i="1"/>
  <c r="AA4037" i="1"/>
  <c r="Z4037" i="1"/>
  <c r="Y4037" i="1"/>
  <c r="X4037" i="1"/>
  <c r="AA4036" i="1"/>
  <c r="Z4036" i="1"/>
  <c r="Y4036" i="1"/>
  <c r="X4036" i="1"/>
  <c r="AA4035" i="1"/>
  <c r="Z4035" i="1"/>
  <c r="Y4035" i="1"/>
  <c r="X4035" i="1"/>
  <c r="AA4034" i="1"/>
  <c r="Z4034" i="1"/>
  <c r="Y4034" i="1"/>
  <c r="X4034" i="1"/>
  <c r="AA4033" i="1"/>
  <c r="Z4033" i="1"/>
  <c r="Y4033" i="1"/>
  <c r="X4033" i="1"/>
  <c r="AA4032" i="1"/>
  <c r="Z4032" i="1"/>
  <c r="Y4032" i="1"/>
  <c r="X4032" i="1"/>
  <c r="AA4031" i="1"/>
  <c r="Z4031" i="1"/>
  <c r="Y4031" i="1"/>
  <c r="X4031" i="1"/>
  <c r="AA4030" i="1"/>
  <c r="Z4030" i="1"/>
  <c r="Y4030" i="1"/>
  <c r="X4030" i="1"/>
  <c r="AA4029" i="1"/>
  <c r="Z4029" i="1"/>
  <c r="Y4029" i="1"/>
  <c r="X4029" i="1"/>
  <c r="AA4028" i="1"/>
  <c r="Z4028" i="1"/>
  <c r="Y4028" i="1"/>
  <c r="X4028" i="1"/>
  <c r="AA4027" i="1"/>
  <c r="Z4027" i="1"/>
  <c r="Y4027" i="1"/>
  <c r="X4027" i="1"/>
  <c r="AA4026" i="1"/>
  <c r="Z4026" i="1"/>
  <c r="Y4026" i="1"/>
  <c r="X4026" i="1"/>
  <c r="AA4025" i="1"/>
  <c r="Z4025" i="1"/>
  <c r="Y4025" i="1"/>
  <c r="X4025" i="1"/>
  <c r="AA4024" i="1"/>
  <c r="Z4024" i="1"/>
  <c r="Y4024" i="1"/>
  <c r="X4024" i="1"/>
  <c r="AA4023" i="1"/>
  <c r="Z4023" i="1"/>
  <c r="Y4023" i="1"/>
  <c r="X4023" i="1"/>
  <c r="AA4022" i="1"/>
  <c r="Z4022" i="1"/>
  <c r="Y4022" i="1"/>
  <c r="X4022" i="1"/>
  <c r="AA4021" i="1"/>
  <c r="Z4021" i="1"/>
  <c r="Y4021" i="1"/>
  <c r="X4021" i="1"/>
  <c r="AA4020" i="1"/>
  <c r="Z4020" i="1"/>
  <c r="Y4020" i="1"/>
  <c r="X4020" i="1"/>
  <c r="AA4019" i="1"/>
  <c r="Z4019" i="1"/>
  <c r="Y4019" i="1"/>
  <c r="X4019" i="1"/>
  <c r="AA4018" i="1"/>
  <c r="Z4018" i="1"/>
  <c r="Y4018" i="1"/>
  <c r="X4018" i="1"/>
  <c r="AA4017" i="1"/>
  <c r="Z4017" i="1"/>
  <c r="Y4017" i="1"/>
  <c r="X4017" i="1"/>
  <c r="AA4016" i="1"/>
  <c r="Z4016" i="1"/>
  <c r="Y4016" i="1"/>
  <c r="X4016" i="1"/>
  <c r="AA4015" i="1"/>
  <c r="Z4015" i="1"/>
  <c r="Y4015" i="1"/>
  <c r="X4015" i="1"/>
  <c r="AA4014" i="1"/>
  <c r="Z4014" i="1"/>
  <c r="Y4014" i="1"/>
  <c r="X4014" i="1"/>
  <c r="AA4013" i="1"/>
  <c r="Z4013" i="1"/>
  <c r="Y4013" i="1"/>
  <c r="X4013" i="1"/>
  <c r="AA4012" i="1"/>
  <c r="Z4012" i="1"/>
  <c r="Y4012" i="1"/>
  <c r="X4012" i="1"/>
  <c r="AA4011" i="1"/>
  <c r="Z4011" i="1"/>
  <c r="Y4011" i="1"/>
  <c r="X4011" i="1"/>
  <c r="AA4010" i="1"/>
  <c r="Z4010" i="1"/>
  <c r="Y4010" i="1"/>
  <c r="X4010" i="1"/>
  <c r="AA4009" i="1"/>
  <c r="Z4009" i="1"/>
  <c r="Y4009" i="1"/>
  <c r="X4009" i="1"/>
  <c r="AA4008" i="1"/>
  <c r="Z4008" i="1"/>
  <c r="Y4008" i="1"/>
  <c r="X4008" i="1"/>
  <c r="AA4007" i="1"/>
  <c r="Z4007" i="1"/>
  <c r="Y4007" i="1"/>
  <c r="X4007" i="1"/>
  <c r="AA4006" i="1"/>
  <c r="Z4006" i="1"/>
  <c r="Y4006" i="1"/>
  <c r="X4006" i="1"/>
  <c r="AA4005" i="1"/>
  <c r="Z4005" i="1"/>
  <c r="Y4005" i="1"/>
  <c r="X4005" i="1"/>
  <c r="AA4004" i="1"/>
  <c r="Z4004" i="1"/>
  <c r="Y4004" i="1"/>
  <c r="X4004" i="1"/>
  <c r="AA4003" i="1"/>
  <c r="Z4003" i="1"/>
  <c r="Y4003" i="1"/>
  <c r="X4003" i="1"/>
  <c r="AA4002" i="1"/>
  <c r="Z4002" i="1"/>
  <c r="Y4002" i="1"/>
  <c r="X4002" i="1"/>
  <c r="AA4001" i="1"/>
  <c r="Z4001" i="1"/>
  <c r="Y4001" i="1"/>
  <c r="X4001" i="1"/>
  <c r="AA4000" i="1"/>
  <c r="Z4000" i="1"/>
  <c r="Y4000" i="1"/>
  <c r="X4000" i="1"/>
  <c r="AA3999" i="1"/>
  <c r="Z3999" i="1"/>
  <c r="Y3999" i="1"/>
  <c r="X3999" i="1"/>
  <c r="AA3998" i="1"/>
  <c r="Z3998" i="1"/>
  <c r="Y3998" i="1"/>
  <c r="X3998" i="1"/>
  <c r="AA3997" i="1"/>
  <c r="Z3997" i="1"/>
  <c r="Y3997" i="1"/>
  <c r="X3997" i="1"/>
  <c r="AA3996" i="1"/>
  <c r="Z3996" i="1"/>
  <c r="Y3996" i="1"/>
  <c r="X3996" i="1"/>
  <c r="AA3995" i="1"/>
  <c r="Z3995" i="1"/>
  <c r="Y3995" i="1"/>
  <c r="X3995" i="1"/>
  <c r="AA3994" i="1"/>
  <c r="Z3994" i="1"/>
  <c r="Y3994" i="1"/>
  <c r="X3994" i="1"/>
  <c r="AA3993" i="1"/>
  <c r="Z3993" i="1"/>
  <c r="Y3993" i="1"/>
  <c r="X3993" i="1"/>
  <c r="AA3992" i="1"/>
  <c r="Z3992" i="1"/>
  <c r="Y3992" i="1"/>
  <c r="X3992" i="1"/>
  <c r="AA3991" i="1"/>
  <c r="Z3991" i="1"/>
  <c r="Y3991" i="1"/>
  <c r="X3991" i="1"/>
  <c r="AA3990" i="1"/>
  <c r="Z3990" i="1"/>
  <c r="Y3990" i="1"/>
  <c r="X3990" i="1"/>
  <c r="AA3989" i="1"/>
  <c r="Z3989" i="1"/>
  <c r="Y3989" i="1"/>
  <c r="X3989" i="1"/>
  <c r="AA3988" i="1"/>
  <c r="Z3988" i="1"/>
  <c r="Y3988" i="1"/>
  <c r="X3988" i="1"/>
  <c r="AA3987" i="1"/>
  <c r="Z3987" i="1"/>
  <c r="Y3987" i="1"/>
  <c r="X3987" i="1"/>
  <c r="AA3986" i="1"/>
  <c r="Z3986" i="1"/>
  <c r="Y3986" i="1"/>
  <c r="X3986" i="1"/>
  <c r="AA3985" i="1"/>
  <c r="Z3985" i="1"/>
  <c r="Y3985" i="1"/>
  <c r="X3985" i="1"/>
  <c r="AA3984" i="1"/>
  <c r="Z3984" i="1"/>
  <c r="Y3984" i="1"/>
  <c r="X3984" i="1"/>
  <c r="AA3983" i="1"/>
  <c r="Z3983" i="1"/>
  <c r="Y3983" i="1"/>
  <c r="X3983" i="1"/>
  <c r="AA3982" i="1"/>
  <c r="Z3982" i="1"/>
  <c r="Y3982" i="1"/>
  <c r="X3982" i="1"/>
  <c r="AA3981" i="1"/>
  <c r="Z3981" i="1"/>
  <c r="Y3981" i="1"/>
  <c r="X3981" i="1"/>
  <c r="AA3980" i="1"/>
  <c r="Z3980" i="1"/>
  <c r="Y3980" i="1"/>
  <c r="X3980" i="1"/>
  <c r="AA3979" i="1"/>
  <c r="Z3979" i="1"/>
  <c r="Y3979" i="1"/>
  <c r="X3979" i="1"/>
  <c r="AA3978" i="1"/>
  <c r="Z3978" i="1"/>
  <c r="Y3978" i="1"/>
  <c r="X3978" i="1"/>
  <c r="AA3977" i="1"/>
  <c r="Z3977" i="1"/>
  <c r="Y3977" i="1"/>
  <c r="X3977" i="1"/>
  <c r="AA3976" i="1"/>
  <c r="Z3976" i="1"/>
  <c r="Y3976" i="1"/>
  <c r="X3976" i="1"/>
  <c r="AA3975" i="1"/>
  <c r="Z3975" i="1"/>
  <c r="Y3975" i="1"/>
  <c r="X3975" i="1"/>
  <c r="AA3974" i="1"/>
  <c r="Z3974" i="1"/>
  <c r="Y3974" i="1"/>
  <c r="X3974" i="1"/>
  <c r="AA3973" i="1"/>
  <c r="Z3973" i="1"/>
  <c r="Y3973" i="1"/>
  <c r="X3973" i="1"/>
  <c r="AA3972" i="1"/>
  <c r="Z3972" i="1"/>
  <c r="Y3972" i="1"/>
  <c r="X3972" i="1"/>
  <c r="AA3971" i="1"/>
  <c r="Z3971" i="1"/>
  <c r="Y3971" i="1"/>
  <c r="X3971" i="1"/>
  <c r="AA3970" i="1"/>
  <c r="Z3970" i="1"/>
  <c r="Y3970" i="1"/>
  <c r="X3970" i="1"/>
  <c r="AA3969" i="1"/>
  <c r="Z3969" i="1"/>
  <c r="Y3969" i="1"/>
  <c r="X3969" i="1"/>
  <c r="AA3968" i="1"/>
  <c r="Z3968" i="1"/>
  <c r="Y3968" i="1"/>
  <c r="X3968" i="1"/>
  <c r="AA3967" i="1"/>
  <c r="Z3967" i="1"/>
  <c r="Y3967" i="1"/>
  <c r="X3967" i="1"/>
  <c r="AA3966" i="1"/>
  <c r="Z3966" i="1"/>
  <c r="Y3966" i="1"/>
  <c r="X3966" i="1"/>
  <c r="AA3965" i="1"/>
  <c r="Z3965" i="1"/>
  <c r="Y3965" i="1"/>
  <c r="X3965" i="1"/>
  <c r="AA3964" i="1"/>
  <c r="Z3964" i="1"/>
  <c r="Y3964" i="1"/>
  <c r="X3964" i="1"/>
  <c r="AA3963" i="1"/>
  <c r="Z3963" i="1"/>
  <c r="Y3963" i="1"/>
  <c r="X3963" i="1"/>
  <c r="AA3962" i="1"/>
  <c r="Z3962" i="1"/>
  <c r="Y3962" i="1"/>
  <c r="X3962" i="1"/>
  <c r="AA3961" i="1"/>
  <c r="Z3961" i="1"/>
  <c r="Y3961" i="1"/>
  <c r="X3961" i="1"/>
  <c r="AA3960" i="1"/>
  <c r="Z3960" i="1"/>
  <c r="Y3960" i="1"/>
  <c r="X3960" i="1"/>
  <c r="AA3959" i="1"/>
  <c r="Z3959" i="1"/>
  <c r="Y3959" i="1"/>
  <c r="X3959" i="1"/>
  <c r="AA3958" i="1"/>
  <c r="Z3958" i="1"/>
  <c r="Y3958" i="1"/>
  <c r="X3958" i="1"/>
  <c r="AA3957" i="1"/>
  <c r="Z3957" i="1"/>
  <c r="Y3957" i="1"/>
  <c r="X3957" i="1"/>
  <c r="AA3956" i="1"/>
  <c r="Z3956" i="1"/>
  <c r="Y3956" i="1"/>
  <c r="X3956" i="1"/>
  <c r="AA3955" i="1"/>
  <c r="Z3955" i="1"/>
  <c r="Y3955" i="1"/>
  <c r="X3955" i="1"/>
  <c r="AA3954" i="1"/>
  <c r="Z3954" i="1"/>
  <c r="Y3954" i="1"/>
  <c r="X3954" i="1"/>
  <c r="AA3953" i="1"/>
  <c r="Z3953" i="1"/>
  <c r="Y3953" i="1"/>
  <c r="X3953" i="1"/>
  <c r="AA3952" i="1"/>
  <c r="Z3952" i="1"/>
  <c r="Y3952" i="1"/>
  <c r="X3952" i="1"/>
  <c r="AA3951" i="1"/>
  <c r="Z3951" i="1"/>
  <c r="Y3951" i="1"/>
  <c r="X3951" i="1"/>
  <c r="AA3950" i="1"/>
  <c r="Z3950" i="1"/>
  <c r="Y3950" i="1"/>
  <c r="X3950" i="1"/>
  <c r="AA3949" i="1"/>
  <c r="Z3949" i="1"/>
  <c r="Y3949" i="1"/>
  <c r="X3949" i="1"/>
  <c r="AA3948" i="1"/>
  <c r="Z3948" i="1"/>
  <c r="Y3948" i="1"/>
  <c r="X3948" i="1"/>
  <c r="AA3947" i="1"/>
  <c r="Z3947" i="1"/>
  <c r="Y3947" i="1"/>
  <c r="X3947" i="1"/>
  <c r="AA3946" i="1"/>
  <c r="Z3946" i="1"/>
  <c r="Y3946" i="1"/>
  <c r="X3946" i="1"/>
  <c r="AA3945" i="1"/>
  <c r="Z3945" i="1"/>
  <c r="Y3945" i="1"/>
  <c r="X3945" i="1"/>
  <c r="AA3944" i="1"/>
  <c r="Z3944" i="1"/>
  <c r="Y3944" i="1"/>
  <c r="X3944" i="1"/>
  <c r="AA3943" i="1"/>
  <c r="Z3943" i="1"/>
  <c r="Y3943" i="1"/>
  <c r="X3943" i="1"/>
  <c r="AA3942" i="1"/>
  <c r="Z3942" i="1"/>
  <c r="Y3942" i="1"/>
  <c r="X3942" i="1"/>
  <c r="AA3941" i="1"/>
  <c r="Z3941" i="1"/>
  <c r="Y3941" i="1"/>
  <c r="X3941" i="1"/>
  <c r="AA3940" i="1"/>
  <c r="Z3940" i="1"/>
  <c r="Y3940" i="1"/>
  <c r="X3940" i="1"/>
  <c r="AA3939" i="1"/>
  <c r="Z3939" i="1"/>
  <c r="Y3939" i="1"/>
  <c r="X3939" i="1"/>
  <c r="AA3938" i="1"/>
  <c r="Z3938" i="1"/>
  <c r="Y3938" i="1"/>
  <c r="X3938" i="1"/>
  <c r="AA3937" i="1"/>
  <c r="Z3937" i="1"/>
  <c r="Y3937" i="1"/>
  <c r="X3937" i="1"/>
  <c r="AA3936" i="1"/>
  <c r="Z3936" i="1"/>
  <c r="Y3936" i="1"/>
  <c r="X3936" i="1"/>
  <c r="AA3935" i="1"/>
  <c r="Z3935" i="1"/>
  <c r="Y3935" i="1"/>
  <c r="X3935" i="1"/>
  <c r="AA3934" i="1"/>
  <c r="Z3934" i="1"/>
  <c r="Y3934" i="1"/>
  <c r="X3934" i="1"/>
  <c r="AA3933" i="1"/>
  <c r="Z3933" i="1"/>
  <c r="Y3933" i="1"/>
  <c r="X3933" i="1"/>
  <c r="AA3932" i="1"/>
  <c r="Z3932" i="1"/>
  <c r="Y3932" i="1"/>
  <c r="X3932" i="1"/>
  <c r="AA3931" i="1"/>
  <c r="Z3931" i="1"/>
  <c r="Y3931" i="1"/>
  <c r="X3931" i="1"/>
  <c r="AA3930" i="1"/>
  <c r="Z3930" i="1"/>
  <c r="Y3930" i="1"/>
  <c r="X3930" i="1"/>
  <c r="AA3929" i="1"/>
  <c r="Z3929" i="1"/>
  <c r="Y3929" i="1"/>
  <c r="X3929" i="1"/>
  <c r="AA3928" i="1"/>
  <c r="Z3928" i="1"/>
  <c r="Y3928" i="1"/>
  <c r="X3928" i="1"/>
  <c r="AA3927" i="1"/>
  <c r="Z3927" i="1"/>
  <c r="Y3927" i="1"/>
  <c r="X3927" i="1"/>
  <c r="AA3926" i="1"/>
  <c r="Z3926" i="1"/>
  <c r="Y3926" i="1"/>
  <c r="X3926" i="1"/>
  <c r="AA3925" i="1"/>
  <c r="Z3925" i="1"/>
  <c r="Y3925" i="1"/>
  <c r="X3925" i="1"/>
  <c r="AA3924" i="1"/>
  <c r="Z3924" i="1"/>
  <c r="Y3924" i="1"/>
  <c r="X3924" i="1"/>
  <c r="AA3923" i="1"/>
  <c r="Z3923" i="1"/>
  <c r="Y3923" i="1"/>
  <c r="X3923" i="1"/>
  <c r="AA3922" i="1"/>
  <c r="Z3922" i="1"/>
  <c r="Y3922" i="1"/>
  <c r="X3922" i="1"/>
  <c r="AA3921" i="1"/>
  <c r="Z3921" i="1"/>
  <c r="Y3921" i="1"/>
  <c r="X3921" i="1"/>
  <c r="AA3920" i="1"/>
  <c r="Z3920" i="1"/>
  <c r="Y3920" i="1"/>
  <c r="X3920" i="1"/>
  <c r="AA3919" i="1"/>
  <c r="Z3919" i="1"/>
  <c r="Y3919" i="1"/>
  <c r="X3919" i="1"/>
  <c r="AA3918" i="1"/>
  <c r="Z3918" i="1"/>
  <c r="Y3918" i="1"/>
  <c r="X3918" i="1"/>
  <c r="AA3917" i="1"/>
  <c r="Z3917" i="1"/>
  <c r="Y3917" i="1"/>
  <c r="X3917" i="1"/>
  <c r="AA3916" i="1"/>
  <c r="Z3916" i="1"/>
  <c r="Y3916" i="1"/>
  <c r="X3916" i="1"/>
  <c r="AA3915" i="1"/>
  <c r="Z3915" i="1"/>
  <c r="Y3915" i="1"/>
  <c r="X3915" i="1"/>
  <c r="AA3914" i="1"/>
  <c r="Z3914" i="1"/>
  <c r="Y3914" i="1"/>
  <c r="X3914" i="1"/>
  <c r="AA3913" i="1"/>
  <c r="Z3913" i="1"/>
  <c r="Y3913" i="1"/>
  <c r="X3913" i="1"/>
  <c r="AA3912" i="1"/>
  <c r="Z3912" i="1"/>
  <c r="Y3912" i="1"/>
  <c r="X3912" i="1"/>
  <c r="AA3911" i="1"/>
  <c r="Z3911" i="1"/>
  <c r="Y3911" i="1"/>
  <c r="X3911" i="1"/>
  <c r="AA3910" i="1"/>
  <c r="Z3910" i="1"/>
  <c r="Y3910" i="1"/>
  <c r="X3910" i="1"/>
  <c r="AA3909" i="1"/>
  <c r="Z3909" i="1"/>
  <c r="Y3909" i="1"/>
  <c r="X3909" i="1"/>
  <c r="AA3908" i="1"/>
  <c r="Z3908" i="1"/>
  <c r="Y3908" i="1"/>
  <c r="X3908" i="1"/>
  <c r="AA3907" i="1"/>
  <c r="Z3907" i="1"/>
  <c r="Y3907" i="1"/>
  <c r="X3907" i="1"/>
  <c r="AA3906" i="1"/>
  <c r="Z3906" i="1"/>
  <c r="Y3906" i="1"/>
  <c r="X3906" i="1"/>
  <c r="AA3905" i="1"/>
  <c r="Z3905" i="1"/>
  <c r="Y3905" i="1"/>
  <c r="X3905" i="1"/>
  <c r="AA3904" i="1"/>
  <c r="Z3904" i="1"/>
  <c r="Y3904" i="1"/>
  <c r="X3904" i="1"/>
  <c r="AA3903" i="1"/>
  <c r="Z3903" i="1"/>
  <c r="Y3903" i="1"/>
  <c r="X3903" i="1"/>
  <c r="AA3902" i="1"/>
  <c r="Z3902" i="1"/>
  <c r="Y3902" i="1"/>
  <c r="X3902" i="1"/>
  <c r="AA3901" i="1"/>
  <c r="Z3901" i="1"/>
  <c r="Y3901" i="1"/>
  <c r="X3901" i="1"/>
  <c r="AA3900" i="1"/>
  <c r="Z3900" i="1"/>
  <c r="Y3900" i="1"/>
  <c r="X3900" i="1"/>
  <c r="AA3899" i="1"/>
  <c r="Z3899" i="1"/>
  <c r="Y3899" i="1"/>
  <c r="X3899" i="1"/>
  <c r="AA3898" i="1"/>
  <c r="Z3898" i="1"/>
  <c r="Y3898" i="1"/>
  <c r="X3898" i="1"/>
  <c r="AA3897" i="1"/>
  <c r="Z3897" i="1"/>
  <c r="Y3897" i="1"/>
  <c r="X3897" i="1"/>
  <c r="AA3896" i="1"/>
  <c r="Z3896" i="1"/>
  <c r="Y3896" i="1"/>
  <c r="X3896" i="1"/>
  <c r="AA3895" i="1"/>
  <c r="Z3895" i="1"/>
  <c r="Y3895" i="1"/>
  <c r="X3895" i="1"/>
  <c r="AA3894" i="1"/>
  <c r="Z3894" i="1"/>
  <c r="Y3894" i="1"/>
  <c r="X3894" i="1"/>
  <c r="AA3893" i="1"/>
  <c r="Z3893" i="1"/>
  <c r="Y3893" i="1"/>
  <c r="X3893" i="1"/>
  <c r="AA3892" i="1"/>
  <c r="Z3892" i="1"/>
  <c r="Y3892" i="1"/>
  <c r="X3892" i="1"/>
  <c r="AA3891" i="1"/>
  <c r="Z3891" i="1"/>
  <c r="Y3891" i="1"/>
  <c r="X3891" i="1"/>
  <c r="AA3890" i="1"/>
  <c r="Z3890" i="1"/>
  <c r="Y3890" i="1"/>
  <c r="X3890" i="1"/>
  <c r="AA3889" i="1"/>
  <c r="Z3889" i="1"/>
  <c r="Y3889" i="1"/>
  <c r="X3889" i="1"/>
  <c r="AA3888" i="1"/>
  <c r="Z3888" i="1"/>
  <c r="Y3888" i="1"/>
  <c r="X3888" i="1"/>
  <c r="AA3887" i="1"/>
  <c r="Z3887" i="1"/>
  <c r="Y3887" i="1"/>
  <c r="X3887" i="1"/>
  <c r="AA3886" i="1"/>
  <c r="Z3886" i="1"/>
  <c r="Y3886" i="1"/>
  <c r="X3886" i="1"/>
  <c r="AA3885" i="1"/>
  <c r="Z3885" i="1"/>
  <c r="Y3885" i="1"/>
  <c r="X3885" i="1"/>
  <c r="AA3884" i="1"/>
  <c r="Z3884" i="1"/>
  <c r="Y3884" i="1"/>
  <c r="X3884" i="1"/>
  <c r="AA3883" i="1"/>
  <c r="Z3883" i="1"/>
  <c r="Y3883" i="1"/>
  <c r="X3883" i="1"/>
  <c r="AA3882" i="1"/>
  <c r="Z3882" i="1"/>
  <c r="Y3882" i="1"/>
  <c r="X3882" i="1"/>
  <c r="AA3881" i="1"/>
  <c r="Z3881" i="1"/>
  <c r="Y3881" i="1"/>
  <c r="X3881" i="1"/>
  <c r="AA3880" i="1"/>
  <c r="Z3880" i="1"/>
  <c r="Y3880" i="1"/>
  <c r="X3880" i="1"/>
  <c r="AA3879" i="1"/>
  <c r="Z3879" i="1"/>
  <c r="Y3879" i="1"/>
  <c r="X3879" i="1"/>
  <c r="AA3878" i="1"/>
  <c r="Z3878" i="1"/>
  <c r="Y3878" i="1"/>
  <c r="X3878" i="1"/>
  <c r="AA3877" i="1"/>
  <c r="Z3877" i="1"/>
  <c r="Y3877" i="1"/>
  <c r="X3877" i="1"/>
  <c r="AA3876" i="1"/>
  <c r="Z3876" i="1"/>
  <c r="Y3876" i="1"/>
  <c r="X3876" i="1"/>
  <c r="AA3875" i="1"/>
  <c r="Z3875" i="1"/>
  <c r="Y3875" i="1"/>
  <c r="X3875" i="1"/>
  <c r="AA3874" i="1"/>
  <c r="Z3874" i="1"/>
  <c r="Y3874" i="1"/>
  <c r="X3874" i="1"/>
  <c r="AA3873" i="1"/>
  <c r="Z3873" i="1"/>
  <c r="Y3873" i="1"/>
  <c r="X3873" i="1"/>
  <c r="AA3872" i="1"/>
  <c r="Z3872" i="1"/>
  <c r="Y3872" i="1"/>
  <c r="X3872" i="1"/>
  <c r="AA3871" i="1"/>
  <c r="Z3871" i="1"/>
  <c r="Y3871" i="1"/>
  <c r="X3871" i="1"/>
  <c r="AA3870" i="1"/>
  <c r="Z3870" i="1"/>
  <c r="Y3870" i="1"/>
  <c r="X3870" i="1"/>
  <c r="AA3869" i="1"/>
  <c r="Z3869" i="1"/>
  <c r="Y3869" i="1"/>
  <c r="X3869" i="1"/>
  <c r="AA3868" i="1"/>
  <c r="Z3868" i="1"/>
  <c r="Y3868" i="1"/>
  <c r="X3868" i="1"/>
  <c r="AA3867" i="1"/>
  <c r="Z3867" i="1"/>
  <c r="Y3867" i="1"/>
  <c r="X3867" i="1"/>
  <c r="AA3866" i="1"/>
  <c r="Z3866" i="1"/>
  <c r="Y3866" i="1"/>
  <c r="X3866" i="1"/>
  <c r="AA3865" i="1"/>
  <c r="Z3865" i="1"/>
  <c r="Y3865" i="1"/>
  <c r="X3865" i="1"/>
  <c r="AA3864" i="1"/>
  <c r="Z3864" i="1"/>
  <c r="Y3864" i="1"/>
  <c r="X3864" i="1"/>
  <c r="AA3863" i="1"/>
  <c r="Z3863" i="1"/>
  <c r="Y3863" i="1"/>
  <c r="X3863" i="1"/>
  <c r="AA3862" i="1"/>
  <c r="Z3862" i="1"/>
  <c r="Y3862" i="1"/>
  <c r="X3862" i="1"/>
  <c r="AA3861" i="1"/>
  <c r="Z3861" i="1"/>
  <c r="Y3861" i="1"/>
  <c r="X3861" i="1"/>
  <c r="AA3860" i="1"/>
  <c r="Z3860" i="1"/>
  <c r="Y3860" i="1"/>
  <c r="X3860" i="1"/>
  <c r="AA3859" i="1"/>
  <c r="Z3859" i="1"/>
  <c r="Y3859" i="1"/>
  <c r="X3859" i="1"/>
  <c r="AA3858" i="1"/>
  <c r="Z3858" i="1"/>
  <c r="Y3858" i="1"/>
  <c r="X3858" i="1"/>
  <c r="AA3857" i="1"/>
  <c r="Z3857" i="1"/>
  <c r="Y3857" i="1"/>
  <c r="X3857" i="1"/>
  <c r="AA3856" i="1"/>
  <c r="Z3856" i="1"/>
  <c r="Y3856" i="1"/>
  <c r="X3856" i="1"/>
  <c r="AA3855" i="1"/>
  <c r="Z3855" i="1"/>
  <c r="Y3855" i="1"/>
  <c r="X3855" i="1"/>
  <c r="AA3854" i="1"/>
  <c r="Z3854" i="1"/>
  <c r="Y3854" i="1"/>
  <c r="X3854" i="1"/>
  <c r="AA3853" i="1"/>
  <c r="Z3853" i="1"/>
  <c r="Y3853" i="1"/>
  <c r="X3853" i="1"/>
  <c r="AA3852" i="1"/>
  <c r="Z3852" i="1"/>
  <c r="Y3852" i="1"/>
  <c r="X3852" i="1"/>
  <c r="AA3851" i="1"/>
  <c r="Z3851" i="1"/>
  <c r="Y3851" i="1"/>
  <c r="X3851" i="1"/>
  <c r="AA3850" i="1"/>
  <c r="Z3850" i="1"/>
  <c r="Y3850" i="1"/>
  <c r="X3850" i="1"/>
  <c r="AA3849" i="1"/>
  <c r="Z3849" i="1"/>
  <c r="Y3849" i="1"/>
  <c r="X3849" i="1"/>
  <c r="AA3848" i="1"/>
  <c r="Z3848" i="1"/>
  <c r="Y3848" i="1"/>
  <c r="X3848" i="1"/>
  <c r="AA3847" i="1"/>
  <c r="Z3847" i="1"/>
  <c r="Y3847" i="1"/>
  <c r="X3847" i="1"/>
  <c r="AA3846" i="1"/>
  <c r="Z3846" i="1"/>
  <c r="Y3846" i="1"/>
  <c r="X3846" i="1"/>
  <c r="AA3845" i="1"/>
  <c r="Z3845" i="1"/>
  <c r="Y3845" i="1"/>
  <c r="X3845" i="1"/>
  <c r="AA3844" i="1"/>
  <c r="Z3844" i="1"/>
  <c r="Y3844" i="1"/>
  <c r="X3844" i="1"/>
  <c r="AA3843" i="1"/>
  <c r="Z3843" i="1"/>
  <c r="Y3843" i="1"/>
  <c r="X3843" i="1"/>
  <c r="AA3842" i="1"/>
  <c r="Z3842" i="1"/>
  <c r="Y3842" i="1"/>
  <c r="X3842" i="1"/>
  <c r="AA3841" i="1"/>
  <c r="Z3841" i="1"/>
  <c r="Y3841" i="1"/>
  <c r="X3841" i="1"/>
  <c r="AA3840" i="1"/>
  <c r="Z3840" i="1"/>
  <c r="Y3840" i="1"/>
  <c r="X3840" i="1"/>
  <c r="AA3839" i="1"/>
  <c r="Z3839" i="1"/>
  <c r="Y3839" i="1"/>
  <c r="X3839" i="1"/>
  <c r="AA3838" i="1"/>
  <c r="Z3838" i="1"/>
  <c r="Y3838" i="1"/>
  <c r="X3838" i="1"/>
  <c r="AA3837" i="1"/>
  <c r="Z3837" i="1"/>
  <c r="Y3837" i="1"/>
  <c r="X3837" i="1"/>
  <c r="AA3836" i="1"/>
  <c r="Z3836" i="1"/>
  <c r="Y3836" i="1"/>
  <c r="X3836" i="1"/>
  <c r="AA3835" i="1"/>
  <c r="Z3835" i="1"/>
  <c r="Y3835" i="1"/>
  <c r="X3835" i="1"/>
  <c r="AA3834" i="1"/>
  <c r="Z3834" i="1"/>
  <c r="Y3834" i="1"/>
  <c r="X3834" i="1"/>
  <c r="AA3833" i="1"/>
  <c r="Z3833" i="1"/>
  <c r="Y3833" i="1"/>
  <c r="X3833" i="1"/>
  <c r="AA3832" i="1"/>
  <c r="Z3832" i="1"/>
  <c r="Y3832" i="1"/>
  <c r="X3832" i="1"/>
  <c r="AA3831" i="1"/>
  <c r="Z3831" i="1"/>
  <c r="Y3831" i="1"/>
  <c r="X3831" i="1"/>
  <c r="AA3830" i="1"/>
  <c r="Z3830" i="1"/>
  <c r="Y3830" i="1"/>
  <c r="X3830" i="1"/>
  <c r="AA3829" i="1"/>
  <c r="Z3829" i="1"/>
  <c r="Y3829" i="1"/>
  <c r="X3829" i="1"/>
  <c r="AA3828" i="1"/>
  <c r="Z3828" i="1"/>
  <c r="Y3828" i="1"/>
  <c r="X3828" i="1"/>
  <c r="AA3827" i="1"/>
  <c r="Z3827" i="1"/>
  <c r="Y3827" i="1"/>
  <c r="X3827" i="1"/>
  <c r="AA3826" i="1"/>
  <c r="Z3826" i="1"/>
  <c r="Y3826" i="1"/>
  <c r="X3826" i="1"/>
  <c r="AA3825" i="1"/>
  <c r="Z3825" i="1"/>
  <c r="Y3825" i="1"/>
  <c r="X3825" i="1"/>
  <c r="AA3824" i="1"/>
  <c r="Z3824" i="1"/>
  <c r="Y3824" i="1"/>
  <c r="X3824" i="1"/>
  <c r="AA3823" i="1"/>
  <c r="Z3823" i="1"/>
  <c r="Y3823" i="1"/>
  <c r="X3823" i="1"/>
  <c r="AA3822" i="1"/>
  <c r="Z3822" i="1"/>
  <c r="Y3822" i="1"/>
  <c r="X3822" i="1"/>
  <c r="AA3821" i="1"/>
  <c r="Z3821" i="1"/>
  <c r="Y3821" i="1"/>
  <c r="X3821" i="1"/>
  <c r="AA3820" i="1"/>
  <c r="Z3820" i="1"/>
  <c r="Y3820" i="1"/>
  <c r="X3820" i="1"/>
  <c r="AA3819" i="1"/>
  <c r="Z3819" i="1"/>
  <c r="Y3819" i="1"/>
  <c r="X3819" i="1"/>
  <c r="AA3818" i="1"/>
  <c r="Z3818" i="1"/>
  <c r="Y3818" i="1"/>
  <c r="X3818" i="1"/>
  <c r="AA3817" i="1"/>
  <c r="Z3817" i="1"/>
  <c r="Y3817" i="1"/>
  <c r="X3817" i="1"/>
  <c r="AA3816" i="1"/>
  <c r="Z3816" i="1"/>
  <c r="Y3816" i="1"/>
  <c r="X3816" i="1"/>
  <c r="AA3815" i="1"/>
  <c r="Z3815" i="1"/>
  <c r="Y3815" i="1"/>
  <c r="X3815" i="1"/>
  <c r="AA3814" i="1"/>
  <c r="Z3814" i="1"/>
  <c r="Y3814" i="1"/>
  <c r="X3814" i="1"/>
  <c r="AA3813" i="1"/>
  <c r="Z3813" i="1"/>
  <c r="Y3813" i="1"/>
  <c r="X3813" i="1"/>
  <c r="AA3812" i="1"/>
  <c r="Z3812" i="1"/>
  <c r="Y3812" i="1"/>
  <c r="X3812" i="1"/>
  <c r="AA3811" i="1"/>
  <c r="Z3811" i="1"/>
  <c r="Y3811" i="1"/>
  <c r="X3811" i="1"/>
  <c r="AA3810" i="1"/>
  <c r="Z3810" i="1"/>
  <c r="Y3810" i="1"/>
  <c r="X3810" i="1"/>
  <c r="AA3809" i="1"/>
  <c r="Z3809" i="1"/>
  <c r="Y3809" i="1"/>
  <c r="X3809" i="1"/>
  <c r="AA3808" i="1"/>
  <c r="Z3808" i="1"/>
  <c r="Y3808" i="1"/>
  <c r="X3808" i="1"/>
  <c r="AA3807" i="1"/>
  <c r="Z3807" i="1"/>
  <c r="Y3807" i="1"/>
  <c r="X3807" i="1"/>
  <c r="AA3806" i="1"/>
  <c r="Z3806" i="1"/>
  <c r="Y3806" i="1"/>
  <c r="X3806" i="1"/>
  <c r="AA3805" i="1"/>
  <c r="Z3805" i="1"/>
  <c r="Y3805" i="1"/>
  <c r="X3805" i="1"/>
  <c r="AA3804" i="1"/>
  <c r="Z3804" i="1"/>
  <c r="Y3804" i="1"/>
  <c r="X3804" i="1"/>
  <c r="AA3803" i="1"/>
  <c r="Z3803" i="1"/>
  <c r="Y3803" i="1"/>
  <c r="X3803" i="1"/>
  <c r="AA3802" i="1"/>
  <c r="Z3802" i="1"/>
  <c r="Y3802" i="1"/>
  <c r="X3802" i="1"/>
  <c r="AA3801" i="1"/>
  <c r="Z3801" i="1"/>
  <c r="Y3801" i="1"/>
  <c r="X3801" i="1"/>
  <c r="AA3800" i="1"/>
  <c r="Z3800" i="1"/>
  <c r="Y3800" i="1"/>
  <c r="X3800" i="1"/>
  <c r="AA3799" i="1"/>
  <c r="Z3799" i="1"/>
  <c r="Y3799" i="1"/>
  <c r="X3799" i="1"/>
  <c r="AA3798" i="1"/>
  <c r="Z3798" i="1"/>
  <c r="Y3798" i="1"/>
  <c r="X3798" i="1"/>
  <c r="AA3797" i="1"/>
  <c r="Z3797" i="1"/>
  <c r="Y3797" i="1"/>
  <c r="X3797" i="1"/>
  <c r="AA3796" i="1"/>
  <c r="Z3796" i="1"/>
  <c r="Y3796" i="1"/>
  <c r="X3796" i="1"/>
  <c r="AA3795" i="1"/>
  <c r="Z3795" i="1"/>
  <c r="Y3795" i="1"/>
  <c r="X3795" i="1"/>
  <c r="AA3794" i="1"/>
  <c r="Z3794" i="1"/>
  <c r="Y3794" i="1"/>
  <c r="X3794" i="1"/>
  <c r="AA3793" i="1"/>
  <c r="Z3793" i="1"/>
  <c r="Y3793" i="1"/>
  <c r="X3793" i="1"/>
  <c r="AA3792" i="1"/>
  <c r="Z3792" i="1"/>
  <c r="Y3792" i="1"/>
  <c r="X3792" i="1"/>
  <c r="AA3791" i="1"/>
  <c r="Z3791" i="1"/>
  <c r="Y3791" i="1"/>
  <c r="X3791" i="1"/>
  <c r="AA3790" i="1"/>
  <c r="Z3790" i="1"/>
  <c r="Y3790" i="1"/>
  <c r="X3790" i="1"/>
  <c r="AA3789" i="1"/>
  <c r="Z3789" i="1"/>
  <c r="Y3789" i="1"/>
  <c r="X3789" i="1"/>
  <c r="AA3788" i="1"/>
  <c r="Z3788" i="1"/>
  <c r="Y3788" i="1"/>
  <c r="X3788" i="1"/>
  <c r="AA3787" i="1"/>
  <c r="Z3787" i="1"/>
  <c r="Y3787" i="1"/>
  <c r="X3787" i="1"/>
  <c r="AA3786" i="1"/>
  <c r="Z3786" i="1"/>
  <c r="Y3786" i="1"/>
  <c r="X3786" i="1"/>
  <c r="AA3785" i="1"/>
  <c r="Z3785" i="1"/>
  <c r="Y3785" i="1"/>
  <c r="X3785" i="1"/>
  <c r="AA3784" i="1"/>
  <c r="Z3784" i="1"/>
  <c r="Y3784" i="1"/>
  <c r="X3784" i="1"/>
  <c r="AA3783" i="1"/>
  <c r="Z3783" i="1"/>
  <c r="Y3783" i="1"/>
  <c r="X3783" i="1"/>
  <c r="AA3782" i="1"/>
  <c r="Z3782" i="1"/>
  <c r="Y3782" i="1"/>
  <c r="X3782" i="1"/>
  <c r="AA3781" i="1"/>
  <c r="Z3781" i="1"/>
  <c r="Y3781" i="1"/>
  <c r="X3781" i="1"/>
  <c r="AA3780" i="1"/>
  <c r="Z3780" i="1"/>
  <c r="Y3780" i="1"/>
  <c r="X3780" i="1"/>
  <c r="AA3779" i="1"/>
  <c r="Z3779" i="1"/>
  <c r="Y3779" i="1"/>
  <c r="X3779" i="1"/>
  <c r="AA3778" i="1"/>
  <c r="Z3778" i="1"/>
  <c r="Y3778" i="1"/>
  <c r="X3778" i="1"/>
  <c r="AA3777" i="1"/>
  <c r="Z3777" i="1"/>
  <c r="Y3777" i="1"/>
  <c r="X3777" i="1"/>
  <c r="AA3776" i="1"/>
  <c r="Z3776" i="1"/>
  <c r="Y3776" i="1"/>
  <c r="X3776" i="1"/>
  <c r="AA3775" i="1"/>
  <c r="Z3775" i="1"/>
  <c r="Y3775" i="1"/>
  <c r="X3775" i="1"/>
  <c r="AA3774" i="1"/>
  <c r="Z3774" i="1"/>
  <c r="Y3774" i="1"/>
  <c r="X3774" i="1"/>
  <c r="AA3773" i="1"/>
  <c r="Z3773" i="1"/>
  <c r="Y3773" i="1"/>
  <c r="X3773" i="1"/>
  <c r="AA3772" i="1"/>
  <c r="Z3772" i="1"/>
  <c r="Y3772" i="1"/>
  <c r="X3772" i="1"/>
  <c r="AA3771" i="1"/>
  <c r="Z3771" i="1"/>
  <c r="Y3771" i="1"/>
  <c r="X3771" i="1"/>
  <c r="AA3770" i="1"/>
  <c r="Z3770" i="1"/>
  <c r="Y3770" i="1"/>
  <c r="X3770" i="1"/>
  <c r="AA3769" i="1"/>
  <c r="Z3769" i="1"/>
  <c r="Y3769" i="1"/>
  <c r="X3769" i="1"/>
  <c r="AA3768" i="1"/>
  <c r="Z3768" i="1"/>
  <c r="Y3768" i="1"/>
  <c r="X3768" i="1"/>
  <c r="AA3767" i="1"/>
  <c r="Z3767" i="1"/>
  <c r="Y3767" i="1"/>
  <c r="X3767" i="1"/>
  <c r="AA3766" i="1"/>
  <c r="Z3766" i="1"/>
  <c r="Y3766" i="1"/>
  <c r="X3766" i="1"/>
  <c r="AA3765" i="1"/>
  <c r="Z3765" i="1"/>
  <c r="Y3765" i="1"/>
  <c r="X3765" i="1"/>
  <c r="AA3764" i="1"/>
  <c r="Z3764" i="1"/>
  <c r="Y3764" i="1"/>
  <c r="X3764" i="1"/>
  <c r="AA3763" i="1"/>
  <c r="Z3763" i="1"/>
  <c r="Y3763" i="1"/>
  <c r="X3763" i="1"/>
  <c r="AA3762" i="1"/>
  <c r="Z3762" i="1"/>
  <c r="Y3762" i="1"/>
  <c r="X3762" i="1"/>
  <c r="AA3761" i="1"/>
  <c r="Z3761" i="1"/>
  <c r="Y3761" i="1"/>
  <c r="X3761" i="1"/>
  <c r="AA3760" i="1"/>
  <c r="Z3760" i="1"/>
  <c r="Y3760" i="1"/>
  <c r="X3760" i="1"/>
  <c r="AA3759" i="1"/>
  <c r="Z3759" i="1"/>
  <c r="Y3759" i="1"/>
  <c r="X3759" i="1"/>
  <c r="AA3758" i="1"/>
  <c r="Z3758" i="1"/>
  <c r="Y3758" i="1"/>
  <c r="X3758" i="1"/>
  <c r="AA3757" i="1"/>
  <c r="Z3757" i="1"/>
  <c r="Y3757" i="1"/>
  <c r="X3757" i="1"/>
  <c r="AA3756" i="1"/>
  <c r="Z3756" i="1"/>
  <c r="Y3756" i="1"/>
  <c r="X3756" i="1"/>
  <c r="AA3755" i="1"/>
  <c r="Z3755" i="1"/>
  <c r="Y3755" i="1"/>
  <c r="X3755" i="1"/>
  <c r="AA3754" i="1"/>
  <c r="Z3754" i="1"/>
  <c r="Y3754" i="1"/>
  <c r="X3754" i="1"/>
  <c r="AA3753" i="1"/>
  <c r="Z3753" i="1"/>
  <c r="Y3753" i="1"/>
  <c r="X3753" i="1"/>
  <c r="AA3752" i="1"/>
  <c r="Z3752" i="1"/>
  <c r="Y3752" i="1"/>
  <c r="X3752" i="1"/>
  <c r="AA3751" i="1"/>
  <c r="Z3751" i="1"/>
  <c r="Y3751" i="1"/>
  <c r="X3751" i="1"/>
  <c r="AA3750" i="1"/>
  <c r="Z3750" i="1"/>
  <c r="Y3750" i="1"/>
  <c r="X3750" i="1"/>
  <c r="AA3749" i="1"/>
  <c r="Z3749" i="1"/>
  <c r="Y3749" i="1"/>
  <c r="X3749" i="1"/>
  <c r="AA3748" i="1"/>
  <c r="Z3748" i="1"/>
  <c r="Y3748" i="1"/>
  <c r="X3748" i="1"/>
  <c r="AA3747" i="1"/>
  <c r="Z3747" i="1"/>
  <c r="Y3747" i="1"/>
  <c r="X3747" i="1"/>
  <c r="AA3746" i="1"/>
  <c r="Z3746" i="1"/>
  <c r="Y3746" i="1"/>
  <c r="X3746" i="1"/>
  <c r="AA3745" i="1"/>
  <c r="Z3745" i="1"/>
  <c r="Y3745" i="1"/>
  <c r="X3745" i="1"/>
  <c r="AA3744" i="1"/>
  <c r="Z3744" i="1"/>
  <c r="Y3744" i="1"/>
  <c r="X3744" i="1"/>
  <c r="AA3743" i="1"/>
  <c r="Z3743" i="1"/>
  <c r="Y3743" i="1"/>
  <c r="X3743" i="1"/>
  <c r="AA3742" i="1"/>
  <c r="Z3742" i="1"/>
  <c r="Y3742" i="1"/>
  <c r="X3742" i="1"/>
  <c r="AA3741" i="1"/>
  <c r="Z3741" i="1"/>
  <c r="Y3741" i="1"/>
  <c r="X3741" i="1"/>
  <c r="AA3740" i="1"/>
  <c r="Z3740" i="1"/>
  <c r="Y3740" i="1"/>
  <c r="X3740" i="1"/>
  <c r="AA3739" i="1"/>
  <c r="Z3739" i="1"/>
  <c r="Y3739" i="1"/>
  <c r="X3739" i="1"/>
  <c r="AA3738" i="1"/>
  <c r="Z3738" i="1"/>
  <c r="Y3738" i="1"/>
  <c r="X3738" i="1"/>
  <c r="AA3737" i="1"/>
  <c r="Z3737" i="1"/>
  <c r="Y3737" i="1"/>
  <c r="X3737" i="1"/>
  <c r="AA3736" i="1"/>
  <c r="Z3736" i="1"/>
  <c r="Y3736" i="1"/>
  <c r="X3736" i="1"/>
  <c r="AA3735" i="1"/>
  <c r="Z3735" i="1"/>
  <c r="Y3735" i="1"/>
  <c r="X3735" i="1"/>
  <c r="AA3734" i="1"/>
  <c r="Z3734" i="1"/>
  <c r="Y3734" i="1"/>
  <c r="X3734" i="1"/>
  <c r="AA3733" i="1"/>
  <c r="Z3733" i="1"/>
  <c r="Y3733" i="1"/>
  <c r="X3733" i="1"/>
  <c r="AA3732" i="1"/>
  <c r="Z3732" i="1"/>
  <c r="Y3732" i="1"/>
  <c r="X3732" i="1"/>
  <c r="AA3731" i="1"/>
  <c r="Z3731" i="1"/>
  <c r="Y3731" i="1"/>
  <c r="X3731" i="1"/>
  <c r="AA3730" i="1"/>
  <c r="Z3730" i="1"/>
  <c r="Y3730" i="1"/>
  <c r="X3730" i="1"/>
  <c r="AA3729" i="1"/>
  <c r="Z3729" i="1"/>
  <c r="Y3729" i="1"/>
  <c r="X3729" i="1"/>
  <c r="AA3728" i="1"/>
  <c r="Z3728" i="1"/>
  <c r="Y3728" i="1"/>
  <c r="X3728" i="1"/>
  <c r="AA3727" i="1"/>
  <c r="Z3727" i="1"/>
  <c r="Y3727" i="1"/>
  <c r="X3727" i="1"/>
  <c r="AA3726" i="1"/>
  <c r="Z3726" i="1"/>
  <c r="Y3726" i="1"/>
  <c r="X3726" i="1"/>
  <c r="AA3725" i="1"/>
  <c r="Z3725" i="1"/>
  <c r="Y3725" i="1"/>
  <c r="X3725" i="1"/>
  <c r="AA3724" i="1"/>
  <c r="Z3724" i="1"/>
  <c r="Y3724" i="1"/>
  <c r="X3724" i="1"/>
  <c r="AA3723" i="1"/>
  <c r="Z3723" i="1"/>
  <c r="Y3723" i="1"/>
  <c r="X3723" i="1"/>
  <c r="AA3722" i="1"/>
  <c r="Z3722" i="1"/>
  <c r="Y3722" i="1"/>
  <c r="X3722" i="1"/>
  <c r="AA3721" i="1"/>
  <c r="Z3721" i="1"/>
  <c r="Y3721" i="1"/>
  <c r="X3721" i="1"/>
  <c r="AA3720" i="1"/>
  <c r="Z3720" i="1"/>
  <c r="Y3720" i="1"/>
  <c r="X3720" i="1"/>
  <c r="AA3719" i="1"/>
  <c r="Z3719" i="1"/>
  <c r="Y3719" i="1"/>
  <c r="X3719" i="1"/>
  <c r="AA3718" i="1"/>
  <c r="Z3718" i="1"/>
  <c r="Y3718" i="1"/>
  <c r="X3718" i="1"/>
  <c r="AA3717" i="1"/>
  <c r="Z3717" i="1"/>
  <c r="Y3717" i="1"/>
  <c r="X3717" i="1"/>
  <c r="AA3716" i="1"/>
  <c r="Z3716" i="1"/>
  <c r="Y3716" i="1"/>
  <c r="X3716" i="1"/>
  <c r="AA3715" i="1"/>
  <c r="Z3715" i="1"/>
  <c r="Y3715" i="1"/>
  <c r="X3715" i="1"/>
  <c r="AA3714" i="1"/>
  <c r="Z3714" i="1"/>
  <c r="Y3714" i="1"/>
  <c r="X3714" i="1"/>
  <c r="AA3713" i="1"/>
  <c r="Z3713" i="1"/>
  <c r="Y3713" i="1"/>
  <c r="X3713" i="1"/>
  <c r="AA3712" i="1"/>
  <c r="Z3712" i="1"/>
  <c r="Y3712" i="1"/>
  <c r="X3712" i="1"/>
  <c r="AA3711" i="1"/>
  <c r="Z3711" i="1"/>
  <c r="Y3711" i="1"/>
  <c r="X3711" i="1"/>
  <c r="AA3710" i="1"/>
  <c r="Z3710" i="1"/>
  <c r="Y3710" i="1"/>
  <c r="X3710" i="1"/>
  <c r="AA3709" i="1"/>
  <c r="Z3709" i="1"/>
  <c r="Y3709" i="1"/>
  <c r="X3709" i="1"/>
  <c r="AA3708" i="1"/>
  <c r="Z3708" i="1"/>
  <c r="Y3708" i="1"/>
  <c r="X3708" i="1"/>
  <c r="AA3707" i="1"/>
  <c r="Z3707" i="1"/>
  <c r="Y3707" i="1"/>
  <c r="X3707" i="1"/>
  <c r="AA3706" i="1"/>
  <c r="Z3706" i="1"/>
  <c r="Y3706" i="1"/>
  <c r="X3706" i="1"/>
  <c r="AA3705" i="1"/>
  <c r="Z3705" i="1"/>
  <c r="Y3705" i="1"/>
  <c r="X3705" i="1"/>
  <c r="AA3704" i="1"/>
  <c r="Z3704" i="1"/>
  <c r="Y3704" i="1"/>
  <c r="X3704" i="1"/>
  <c r="AA3703" i="1"/>
  <c r="Z3703" i="1"/>
  <c r="Y3703" i="1"/>
  <c r="X3703" i="1"/>
  <c r="AA3702" i="1"/>
  <c r="Z3702" i="1"/>
  <c r="Y3702" i="1"/>
  <c r="X3702" i="1"/>
  <c r="AA3701" i="1"/>
  <c r="Z3701" i="1"/>
  <c r="Y3701" i="1"/>
  <c r="X3701" i="1"/>
  <c r="AA3700" i="1"/>
  <c r="Z3700" i="1"/>
  <c r="Y3700" i="1"/>
  <c r="X3700" i="1"/>
  <c r="AA3699" i="1"/>
  <c r="Z3699" i="1"/>
  <c r="Y3699" i="1"/>
  <c r="X3699" i="1"/>
  <c r="AA3698" i="1"/>
  <c r="Z3698" i="1"/>
  <c r="Y3698" i="1"/>
  <c r="X3698" i="1"/>
  <c r="AA3697" i="1"/>
  <c r="Z3697" i="1"/>
  <c r="Y3697" i="1"/>
  <c r="X3697" i="1"/>
  <c r="AA3696" i="1"/>
  <c r="Z3696" i="1"/>
  <c r="Y3696" i="1"/>
  <c r="X3696" i="1"/>
  <c r="AA3695" i="1"/>
  <c r="Z3695" i="1"/>
  <c r="Y3695" i="1"/>
  <c r="X3695" i="1"/>
  <c r="AA3694" i="1"/>
  <c r="Z3694" i="1"/>
  <c r="Y3694" i="1"/>
  <c r="X3694" i="1"/>
  <c r="AA3693" i="1"/>
  <c r="Z3693" i="1"/>
  <c r="Y3693" i="1"/>
  <c r="X3693" i="1"/>
  <c r="AA3692" i="1"/>
  <c r="Z3692" i="1"/>
  <c r="Y3692" i="1"/>
  <c r="X3692" i="1"/>
  <c r="AA3691" i="1"/>
  <c r="Z3691" i="1"/>
  <c r="Y3691" i="1"/>
  <c r="X3691" i="1"/>
  <c r="AA3690" i="1"/>
  <c r="Z3690" i="1"/>
  <c r="Y3690" i="1"/>
  <c r="X3690" i="1"/>
  <c r="AA3689" i="1"/>
  <c r="Z3689" i="1"/>
  <c r="Y3689" i="1"/>
  <c r="X3689" i="1"/>
  <c r="AA3688" i="1"/>
  <c r="Z3688" i="1"/>
  <c r="Y3688" i="1"/>
  <c r="X3688" i="1"/>
  <c r="AA3687" i="1"/>
  <c r="Z3687" i="1"/>
  <c r="Y3687" i="1"/>
  <c r="X3687" i="1"/>
  <c r="AA3686" i="1"/>
  <c r="Z3686" i="1"/>
  <c r="Y3686" i="1"/>
  <c r="X3686" i="1"/>
  <c r="AA3685" i="1"/>
  <c r="Z3685" i="1"/>
  <c r="Y3685" i="1"/>
  <c r="X3685" i="1"/>
  <c r="AA3684" i="1"/>
  <c r="Z3684" i="1"/>
  <c r="Y3684" i="1"/>
  <c r="X3684" i="1"/>
  <c r="AA3683" i="1"/>
  <c r="Z3683" i="1"/>
  <c r="Y3683" i="1"/>
  <c r="X3683" i="1"/>
  <c r="AA3682" i="1"/>
  <c r="Z3682" i="1"/>
  <c r="Y3682" i="1"/>
  <c r="X3682" i="1"/>
  <c r="AA3681" i="1"/>
  <c r="Z3681" i="1"/>
  <c r="Y3681" i="1"/>
  <c r="X3681" i="1"/>
  <c r="AA3680" i="1"/>
  <c r="Z3680" i="1"/>
  <c r="Y3680" i="1"/>
  <c r="X3680" i="1"/>
  <c r="AA3679" i="1"/>
  <c r="Z3679" i="1"/>
  <c r="Y3679" i="1"/>
  <c r="X3679" i="1"/>
  <c r="AA3678" i="1"/>
  <c r="Z3678" i="1"/>
  <c r="Y3678" i="1"/>
  <c r="X3678" i="1"/>
  <c r="AA3677" i="1"/>
  <c r="Z3677" i="1"/>
  <c r="Y3677" i="1"/>
  <c r="X3677" i="1"/>
  <c r="AA3676" i="1"/>
  <c r="Z3676" i="1"/>
  <c r="Y3676" i="1"/>
  <c r="X3676" i="1"/>
  <c r="AA3675" i="1"/>
  <c r="Z3675" i="1"/>
  <c r="Y3675" i="1"/>
  <c r="X3675" i="1"/>
  <c r="AA3674" i="1"/>
  <c r="Z3674" i="1"/>
  <c r="Y3674" i="1"/>
  <c r="X3674" i="1"/>
  <c r="AA3673" i="1"/>
  <c r="Z3673" i="1"/>
  <c r="Y3673" i="1"/>
  <c r="X3673" i="1"/>
  <c r="AA3672" i="1"/>
  <c r="Z3672" i="1"/>
  <c r="Y3672" i="1"/>
  <c r="X3672" i="1"/>
  <c r="AA3671" i="1"/>
  <c r="Z3671" i="1"/>
  <c r="Y3671" i="1"/>
  <c r="X3671" i="1"/>
  <c r="AA3670" i="1"/>
  <c r="Z3670" i="1"/>
  <c r="Y3670" i="1"/>
  <c r="X3670" i="1"/>
  <c r="AA3669" i="1"/>
  <c r="Z3669" i="1"/>
  <c r="Y3669" i="1"/>
  <c r="X3669" i="1"/>
  <c r="AA3668" i="1"/>
  <c r="Z3668" i="1"/>
  <c r="Y3668" i="1"/>
  <c r="X3668" i="1"/>
  <c r="AA3667" i="1"/>
  <c r="Z3667" i="1"/>
  <c r="Y3667" i="1"/>
  <c r="X3667" i="1"/>
  <c r="AA3666" i="1"/>
  <c r="Z3666" i="1"/>
  <c r="Y3666" i="1"/>
  <c r="X3666" i="1"/>
  <c r="AA3665" i="1"/>
  <c r="Z3665" i="1"/>
  <c r="Y3665" i="1"/>
  <c r="X3665" i="1"/>
  <c r="AA3664" i="1"/>
  <c r="Z3664" i="1"/>
  <c r="Y3664" i="1"/>
  <c r="X3664" i="1"/>
  <c r="AA3663" i="1"/>
  <c r="Z3663" i="1"/>
  <c r="Y3663" i="1"/>
  <c r="X3663" i="1"/>
  <c r="AA3662" i="1"/>
  <c r="Z3662" i="1"/>
  <c r="Y3662" i="1"/>
  <c r="X3662" i="1"/>
  <c r="AA3661" i="1"/>
  <c r="Z3661" i="1"/>
  <c r="Y3661" i="1"/>
  <c r="X3661" i="1"/>
  <c r="AA3660" i="1"/>
  <c r="Z3660" i="1"/>
  <c r="Y3660" i="1"/>
  <c r="X3660" i="1"/>
  <c r="AA3659" i="1"/>
  <c r="Z3659" i="1"/>
  <c r="Y3659" i="1"/>
  <c r="X3659" i="1"/>
  <c r="AA3658" i="1"/>
  <c r="Z3658" i="1"/>
  <c r="Y3658" i="1"/>
  <c r="X3658" i="1"/>
  <c r="AA3657" i="1"/>
  <c r="Z3657" i="1"/>
  <c r="Y3657" i="1"/>
  <c r="X3657" i="1"/>
  <c r="AA3656" i="1"/>
  <c r="Z3656" i="1"/>
  <c r="Y3656" i="1"/>
  <c r="X3656" i="1"/>
  <c r="AA3655" i="1"/>
  <c r="Z3655" i="1"/>
  <c r="Y3655" i="1"/>
  <c r="X3655" i="1"/>
  <c r="AA3654" i="1"/>
  <c r="Z3654" i="1"/>
  <c r="Y3654" i="1"/>
  <c r="X3654" i="1"/>
  <c r="AA3653" i="1"/>
  <c r="Z3653" i="1"/>
  <c r="Y3653" i="1"/>
  <c r="X3653" i="1"/>
  <c r="AA3652" i="1"/>
  <c r="Z3652" i="1"/>
  <c r="Y3652" i="1"/>
  <c r="X3652" i="1"/>
  <c r="AA3651" i="1"/>
  <c r="Z3651" i="1"/>
  <c r="Y3651" i="1"/>
  <c r="X3651" i="1"/>
  <c r="AA3650" i="1"/>
  <c r="Z3650" i="1"/>
  <c r="Y3650" i="1"/>
  <c r="X3650" i="1"/>
  <c r="AA3649" i="1"/>
  <c r="Z3649" i="1"/>
  <c r="Y3649" i="1"/>
  <c r="X3649" i="1"/>
  <c r="AA3648" i="1"/>
  <c r="Z3648" i="1"/>
  <c r="Y3648" i="1"/>
  <c r="X3648" i="1"/>
  <c r="AA3647" i="1"/>
  <c r="Z3647" i="1"/>
  <c r="Y3647" i="1"/>
  <c r="X3647" i="1"/>
  <c r="AA3646" i="1"/>
  <c r="Z3646" i="1"/>
  <c r="Y3646" i="1"/>
  <c r="X3646" i="1"/>
  <c r="AA3645" i="1"/>
  <c r="Z3645" i="1"/>
  <c r="Y3645" i="1"/>
  <c r="X3645" i="1"/>
  <c r="AA3644" i="1"/>
  <c r="Z3644" i="1"/>
  <c r="Y3644" i="1"/>
  <c r="X3644" i="1"/>
  <c r="AA3643" i="1"/>
  <c r="Z3643" i="1"/>
  <c r="Y3643" i="1"/>
  <c r="X3643" i="1"/>
  <c r="AA3642" i="1"/>
  <c r="Z3642" i="1"/>
  <c r="Y3642" i="1"/>
  <c r="X3642" i="1"/>
  <c r="AA3641" i="1"/>
  <c r="Z3641" i="1"/>
  <c r="Y3641" i="1"/>
  <c r="X3641" i="1"/>
  <c r="AA3640" i="1"/>
  <c r="Z3640" i="1"/>
  <c r="Y3640" i="1"/>
  <c r="X3640" i="1"/>
  <c r="AA3639" i="1"/>
  <c r="Z3639" i="1"/>
  <c r="Y3639" i="1"/>
  <c r="X3639" i="1"/>
  <c r="AA3638" i="1"/>
  <c r="Z3638" i="1"/>
  <c r="Y3638" i="1"/>
  <c r="X3638" i="1"/>
  <c r="AA3637" i="1"/>
  <c r="Z3637" i="1"/>
  <c r="Y3637" i="1"/>
  <c r="X3637" i="1"/>
  <c r="AA3636" i="1"/>
  <c r="Z3636" i="1"/>
  <c r="Y3636" i="1"/>
  <c r="X3636" i="1"/>
  <c r="AA3635" i="1"/>
  <c r="Z3635" i="1"/>
  <c r="Y3635" i="1"/>
  <c r="X3635" i="1"/>
  <c r="AA3634" i="1"/>
  <c r="Z3634" i="1"/>
  <c r="Y3634" i="1"/>
  <c r="X3634" i="1"/>
  <c r="AA3633" i="1"/>
  <c r="Z3633" i="1"/>
  <c r="Y3633" i="1"/>
  <c r="X3633" i="1"/>
  <c r="AA3632" i="1"/>
  <c r="Z3632" i="1"/>
  <c r="Y3632" i="1"/>
  <c r="X3632" i="1"/>
  <c r="AA3631" i="1"/>
  <c r="Z3631" i="1"/>
  <c r="Y3631" i="1"/>
  <c r="X3631" i="1"/>
  <c r="AA3630" i="1"/>
  <c r="Z3630" i="1"/>
  <c r="Y3630" i="1"/>
  <c r="X3630" i="1"/>
  <c r="AA3629" i="1"/>
  <c r="Z3629" i="1"/>
  <c r="Y3629" i="1"/>
  <c r="X3629" i="1"/>
  <c r="AA3628" i="1"/>
  <c r="Z3628" i="1"/>
  <c r="Y3628" i="1"/>
  <c r="X3628" i="1"/>
  <c r="AA3627" i="1"/>
  <c r="Z3627" i="1"/>
  <c r="Y3627" i="1"/>
  <c r="X3627" i="1"/>
  <c r="AA3626" i="1"/>
  <c r="Z3626" i="1"/>
  <c r="Y3626" i="1"/>
  <c r="X3626" i="1"/>
  <c r="AA3625" i="1"/>
  <c r="Z3625" i="1"/>
  <c r="Y3625" i="1"/>
  <c r="X3625" i="1"/>
  <c r="AA3624" i="1"/>
  <c r="Z3624" i="1"/>
  <c r="Y3624" i="1"/>
  <c r="X3624" i="1"/>
  <c r="AA3623" i="1"/>
  <c r="Z3623" i="1"/>
  <c r="Y3623" i="1"/>
  <c r="X3623" i="1"/>
  <c r="AA3622" i="1"/>
  <c r="Z3622" i="1"/>
  <c r="Y3622" i="1"/>
  <c r="X3622" i="1"/>
  <c r="AA3621" i="1"/>
  <c r="Z3621" i="1"/>
  <c r="Y3621" i="1"/>
  <c r="X3621" i="1"/>
  <c r="AA3620" i="1"/>
  <c r="Z3620" i="1"/>
  <c r="Y3620" i="1"/>
  <c r="X3620" i="1"/>
  <c r="AA3619" i="1"/>
  <c r="Z3619" i="1"/>
  <c r="Y3619" i="1"/>
  <c r="X3619" i="1"/>
  <c r="AA3618" i="1"/>
  <c r="Z3618" i="1"/>
  <c r="Y3618" i="1"/>
  <c r="X3618" i="1"/>
  <c r="AA3617" i="1"/>
  <c r="Z3617" i="1"/>
  <c r="Y3617" i="1"/>
  <c r="X3617" i="1"/>
  <c r="AA3616" i="1"/>
  <c r="Z3616" i="1"/>
  <c r="Y3616" i="1"/>
  <c r="X3616" i="1"/>
  <c r="AA3615" i="1"/>
  <c r="Z3615" i="1"/>
  <c r="Y3615" i="1"/>
  <c r="X3615" i="1"/>
  <c r="AA3614" i="1"/>
  <c r="Z3614" i="1"/>
  <c r="Y3614" i="1"/>
  <c r="X3614" i="1"/>
  <c r="AA3613" i="1"/>
  <c r="Z3613" i="1"/>
  <c r="Y3613" i="1"/>
  <c r="X3613" i="1"/>
  <c r="AA3612" i="1"/>
  <c r="Z3612" i="1"/>
  <c r="Y3612" i="1"/>
  <c r="X3612" i="1"/>
  <c r="AA3611" i="1"/>
  <c r="Z3611" i="1"/>
  <c r="Y3611" i="1"/>
  <c r="X3611" i="1"/>
  <c r="AA3610" i="1"/>
  <c r="Z3610" i="1"/>
  <c r="Y3610" i="1"/>
  <c r="X3610" i="1"/>
  <c r="AA3609" i="1"/>
  <c r="Z3609" i="1"/>
  <c r="Y3609" i="1"/>
  <c r="X3609" i="1"/>
  <c r="AA3608" i="1"/>
  <c r="Z3608" i="1"/>
  <c r="Y3608" i="1"/>
  <c r="X3608" i="1"/>
  <c r="AA3607" i="1"/>
  <c r="Z3607" i="1"/>
  <c r="Y3607" i="1"/>
  <c r="X3607" i="1"/>
  <c r="AA3606" i="1"/>
  <c r="Z3606" i="1"/>
  <c r="Y3606" i="1"/>
  <c r="X3606" i="1"/>
  <c r="AA3605" i="1"/>
  <c r="Z3605" i="1"/>
  <c r="Y3605" i="1"/>
  <c r="X3605" i="1"/>
  <c r="AA3604" i="1"/>
  <c r="Z3604" i="1"/>
  <c r="Y3604" i="1"/>
  <c r="X3604" i="1"/>
  <c r="AA3603" i="1"/>
  <c r="Z3603" i="1"/>
  <c r="Y3603" i="1"/>
  <c r="X3603" i="1"/>
  <c r="AA3602" i="1"/>
  <c r="Z3602" i="1"/>
  <c r="Y3602" i="1"/>
  <c r="X3602" i="1"/>
  <c r="AA3601" i="1"/>
  <c r="Z3601" i="1"/>
  <c r="Y3601" i="1"/>
  <c r="X3601" i="1"/>
  <c r="AA3600" i="1"/>
  <c r="Z3600" i="1"/>
  <c r="Y3600" i="1"/>
  <c r="X3600" i="1"/>
  <c r="AA3599" i="1"/>
  <c r="Z3599" i="1"/>
  <c r="Y3599" i="1"/>
  <c r="X3599" i="1"/>
  <c r="AA3598" i="1"/>
  <c r="Z3598" i="1"/>
  <c r="Y3598" i="1"/>
  <c r="X3598" i="1"/>
  <c r="AA3597" i="1"/>
  <c r="Z3597" i="1"/>
  <c r="Y3597" i="1"/>
  <c r="X3597" i="1"/>
  <c r="AA3596" i="1"/>
  <c r="Z3596" i="1"/>
  <c r="Y3596" i="1"/>
  <c r="X3596" i="1"/>
  <c r="AA3595" i="1"/>
  <c r="Z3595" i="1"/>
  <c r="Y3595" i="1"/>
  <c r="X3595" i="1"/>
  <c r="AA3594" i="1"/>
  <c r="Z3594" i="1"/>
  <c r="Y3594" i="1"/>
  <c r="X3594" i="1"/>
  <c r="AA3593" i="1"/>
  <c r="Z3593" i="1"/>
  <c r="Y3593" i="1"/>
  <c r="X3593" i="1"/>
  <c r="AA3592" i="1"/>
  <c r="Z3592" i="1"/>
  <c r="Y3592" i="1"/>
  <c r="X3592" i="1"/>
  <c r="AA3591" i="1"/>
  <c r="Z3591" i="1"/>
  <c r="Y3591" i="1"/>
  <c r="X3591" i="1"/>
  <c r="AA3590" i="1"/>
  <c r="Z3590" i="1"/>
  <c r="Y3590" i="1"/>
  <c r="X3590" i="1"/>
  <c r="AA3589" i="1"/>
  <c r="Z3589" i="1"/>
  <c r="Y3589" i="1"/>
  <c r="X3589" i="1"/>
  <c r="AA3588" i="1"/>
  <c r="Z3588" i="1"/>
  <c r="Y3588" i="1"/>
  <c r="X3588" i="1"/>
  <c r="AA3587" i="1"/>
  <c r="Z3587" i="1"/>
  <c r="Y3587" i="1"/>
  <c r="X3587" i="1"/>
  <c r="AA3586" i="1"/>
  <c r="Z3586" i="1"/>
  <c r="Y3586" i="1"/>
  <c r="X3586" i="1"/>
  <c r="AA3585" i="1"/>
  <c r="Z3585" i="1"/>
  <c r="Y3585" i="1"/>
  <c r="X3585" i="1"/>
  <c r="AA3584" i="1"/>
  <c r="Z3584" i="1"/>
  <c r="Y3584" i="1"/>
  <c r="X3584" i="1"/>
  <c r="AA3583" i="1"/>
  <c r="Z3583" i="1"/>
  <c r="Y3583" i="1"/>
  <c r="X3583" i="1"/>
  <c r="AA3582" i="1"/>
  <c r="Z3582" i="1"/>
  <c r="Y3582" i="1"/>
  <c r="X3582" i="1"/>
  <c r="AA3581" i="1"/>
  <c r="Z3581" i="1"/>
  <c r="Y3581" i="1"/>
  <c r="X3581" i="1"/>
  <c r="AA3580" i="1"/>
  <c r="Z3580" i="1"/>
  <c r="Y3580" i="1"/>
  <c r="X3580" i="1"/>
  <c r="AA3579" i="1"/>
  <c r="Z3579" i="1"/>
  <c r="Y3579" i="1"/>
  <c r="X3579" i="1"/>
  <c r="AA3578" i="1"/>
  <c r="Z3578" i="1"/>
  <c r="Y3578" i="1"/>
  <c r="X3578" i="1"/>
  <c r="AA3577" i="1"/>
  <c r="Z3577" i="1"/>
  <c r="Y3577" i="1"/>
  <c r="X3577" i="1"/>
  <c r="AA3576" i="1"/>
  <c r="Z3576" i="1"/>
  <c r="Y3576" i="1"/>
  <c r="X3576" i="1"/>
  <c r="AA3575" i="1"/>
  <c r="Z3575" i="1"/>
  <c r="Y3575" i="1"/>
  <c r="X3575" i="1"/>
  <c r="AA3574" i="1"/>
  <c r="Z3574" i="1"/>
  <c r="Y3574" i="1"/>
  <c r="X3574" i="1"/>
  <c r="AA3573" i="1"/>
  <c r="Z3573" i="1"/>
  <c r="Y3573" i="1"/>
  <c r="X3573" i="1"/>
  <c r="AA3572" i="1"/>
  <c r="Z3572" i="1"/>
  <c r="Y3572" i="1"/>
  <c r="X3572" i="1"/>
  <c r="AA3571" i="1"/>
  <c r="Z3571" i="1"/>
  <c r="Y3571" i="1"/>
  <c r="X3571" i="1"/>
  <c r="AA3570" i="1"/>
  <c r="Z3570" i="1"/>
  <c r="Y3570" i="1"/>
  <c r="X3570" i="1"/>
  <c r="AA3569" i="1"/>
  <c r="Z3569" i="1"/>
  <c r="Y3569" i="1"/>
  <c r="X3569" i="1"/>
  <c r="AA3568" i="1"/>
  <c r="Z3568" i="1"/>
  <c r="Y3568" i="1"/>
  <c r="X3568" i="1"/>
  <c r="AA3567" i="1"/>
  <c r="Z3567" i="1"/>
  <c r="Y3567" i="1"/>
  <c r="X3567" i="1"/>
  <c r="AA3566" i="1"/>
  <c r="Z3566" i="1"/>
  <c r="Y3566" i="1"/>
  <c r="X3566" i="1"/>
  <c r="AA3565" i="1"/>
  <c r="Z3565" i="1"/>
  <c r="Y3565" i="1"/>
  <c r="X3565" i="1"/>
  <c r="AA3564" i="1"/>
  <c r="Z3564" i="1"/>
  <c r="Y3564" i="1"/>
  <c r="X3564" i="1"/>
  <c r="AA3563" i="1"/>
  <c r="Z3563" i="1"/>
  <c r="Y3563" i="1"/>
  <c r="X3563" i="1"/>
  <c r="AA3562" i="1"/>
  <c r="Z3562" i="1"/>
  <c r="Y3562" i="1"/>
  <c r="X3562" i="1"/>
  <c r="AA3561" i="1"/>
  <c r="Z3561" i="1"/>
  <c r="Y3561" i="1"/>
  <c r="X3561" i="1"/>
  <c r="AA3560" i="1"/>
  <c r="Z3560" i="1"/>
  <c r="Y3560" i="1"/>
  <c r="X3560" i="1"/>
  <c r="AA3559" i="1"/>
  <c r="Z3559" i="1"/>
  <c r="Y3559" i="1"/>
  <c r="X3559" i="1"/>
  <c r="AA3558" i="1"/>
  <c r="Z3558" i="1"/>
  <c r="Y3558" i="1"/>
  <c r="X3558" i="1"/>
  <c r="AA3557" i="1"/>
  <c r="Z3557" i="1"/>
  <c r="Y3557" i="1"/>
  <c r="X3557" i="1"/>
  <c r="AA3556" i="1"/>
  <c r="Z3556" i="1"/>
  <c r="Y3556" i="1"/>
  <c r="X3556" i="1"/>
  <c r="AA3555" i="1"/>
  <c r="Z3555" i="1"/>
  <c r="Y3555" i="1"/>
  <c r="X3555" i="1"/>
  <c r="AA3554" i="1"/>
  <c r="Z3554" i="1"/>
  <c r="Y3554" i="1"/>
  <c r="X3554" i="1"/>
  <c r="AA3553" i="1"/>
  <c r="Z3553" i="1"/>
  <c r="Y3553" i="1"/>
  <c r="X3553" i="1"/>
  <c r="AA3552" i="1"/>
  <c r="Z3552" i="1"/>
  <c r="Y3552" i="1"/>
  <c r="X3552" i="1"/>
  <c r="AA3551" i="1"/>
  <c r="Z3551" i="1"/>
  <c r="Y3551" i="1"/>
  <c r="X3551" i="1"/>
  <c r="AA3550" i="1"/>
  <c r="Z3550" i="1"/>
  <c r="Y3550" i="1"/>
  <c r="X3550" i="1"/>
  <c r="AA3549" i="1"/>
  <c r="Z3549" i="1"/>
  <c r="Y3549" i="1"/>
  <c r="X3549" i="1"/>
  <c r="AA3548" i="1"/>
  <c r="Z3548" i="1"/>
  <c r="Y3548" i="1"/>
  <c r="X3548" i="1"/>
  <c r="AA3547" i="1"/>
  <c r="Z3547" i="1"/>
  <c r="Y3547" i="1"/>
  <c r="X3547" i="1"/>
  <c r="AA3546" i="1"/>
  <c r="Z3546" i="1"/>
  <c r="Y3546" i="1"/>
  <c r="X3546" i="1"/>
  <c r="AA3545" i="1"/>
  <c r="Z3545" i="1"/>
  <c r="Y3545" i="1"/>
  <c r="X3545" i="1"/>
  <c r="AA3544" i="1"/>
  <c r="Z3544" i="1"/>
  <c r="Y3544" i="1"/>
  <c r="X3544" i="1"/>
  <c r="AA3543" i="1"/>
  <c r="Z3543" i="1"/>
  <c r="Y3543" i="1"/>
  <c r="X3543" i="1"/>
  <c r="AA3542" i="1"/>
  <c r="Z3542" i="1"/>
  <c r="Y3542" i="1"/>
  <c r="X3542" i="1"/>
  <c r="AA3541" i="1"/>
  <c r="Z3541" i="1"/>
  <c r="Y3541" i="1"/>
  <c r="X3541" i="1"/>
  <c r="AA3540" i="1"/>
  <c r="Z3540" i="1"/>
  <c r="Y3540" i="1"/>
  <c r="X3540" i="1"/>
  <c r="AA3539" i="1"/>
  <c r="Z3539" i="1"/>
  <c r="Y3539" i="1"/>
  <c r="X3539" i="1"/>
  <c r="AA3538" i="1"/>
  <c r="Z3538" i="1"/>
  <c r="Y3538" i="1"/>
  <c r="X3538" i="1"/>
  <c r="AA3537" i="1"/>
  <c r="Z3537" i="1"/>
  <c r="Y3537" i="1"/>
  <c r="X3537" i="1"/>
  <c r="AA3536" i="1"/>
  <c r="Z3536" i="1"/>
  <c r="Y3536" i="1"/>
  <c r="X3536" i="1"/>
  <c r="AA3535" i="1"/>
  <c r="Z3535" i="1"/>
  <c r="Y3535" i="1"/>
  <c r="X3535" i="1"/>
  <c r="AA3534" i="1"/>
  <c r="Z3534" i="1"/>
  <c r="Y3534" i="1"/>
  <c r="X3534" i="1"/>
  <c r="AA3533" i="1"/>
  <c r="Z3533" i="1"/>
  <c r="Y3533" i="1"/>
  <c r="X3533" i="1"/>
  <c r="AA3532" i="1"/>
  <c r="Z3532" i="1"/>
  <c r="Y3532" i="1"/>
  <c r="X3532" i="1"/>
  <c r="AA3531" i="1"/>
  <c r="Z3531" i="1"/>
  <c r="Y3531" i="1"/>
  <c r="X3531" i="1"/>
  <c r="AA3530" i="1"/>
  <c r="Z3530" i="1"/>
  <c r="Y3530" i="1"/>
  <c r="X3530" i="1"/>
  <c r="AA3529" i="1"/>
  <c r="Z3529" i="1"/>
  <c r="Y3529" i="1"/>
  <c r="X3529" i="1"/>
  <c r="AA3528" i="1"/>
  <c r="Z3528" i="1"/>
  <c r="Y3528" i="1"/>
  <c r="X3528" i="1"/>
  <c r="AA3527" i="1"/>
  <c r="Z3527" i="1"/>
  <c r="Y3527" i="1"/>
  <c r="X3527" i="1"/>
  <c r="AA3526" i="1"/>
  <c r="Z3526" i="1"/>
  <c r="Y3526" i="1"/>
  <c r="X3526" i="1"/>
  <c r="AA3525" i="1"/>
  <c r="Z3525" i="1"/>
  <c r="Y3525" i="1"/>
  <c r="X3525" i="1"/>
  <c r="AA3524" i="1"/>
  <c r="Z3524" i="1"/>
  <c r="Y3524" i="1"/>
  <c r="X3524" i="1"/>
  <c r="AA3523" i="1"/>
  <c r="Z3523" i="1"/>
  <c r="Y3523" i="1"/>
  <c r="X3523" i="1"/>
  <c r="AA3522" i="1"/>
  <c r="Z3522" i="1"/>
  <c r="Y3522" i="1"/>
  <c r="X3522" i="1"/>
  <c r="AA3521" i="1"/>
  <c r="Z3521" i="1"/>
  <c r="Y3521" i="1"/>
  <c r="X3521" i="1"/>
  <c r="AA3520" i="1"/>
  <c r="Z3520" i="1"/>
  <c r="Y3520" i="1"/>
  <c r="X3520" i="1"/>
  <c r="AA3519" i="1"/>
  <c r="Z3519" i="1"/>
  <c r="Y3519" i="1"/>
  <c r="X3519" i="1"/>
  <c r="AA3518" i="1"/>
  <c r="Z3518" i="1"/>
  <c r="Y3518" i="1"/>
  <c r="X3518" i="1"/>
  <c r="AA3517" i="1"/>
  <c r="Z3517" i="1"/>
  <c r="Y3517" i="1"/>
  <c r="X3517" i="1"/>
  <c r="AA3516" i="1"/>
  <c r="Z3516" i="1"/>
  <c r="Y3516" i="1"/>
  <c r="X3516" i="1"/>
  <c r="AA3515" i="1"/>
  <c r="Z3515" i="1"/>
  <c r="Y3515" i="1"/>
  <c r="X3515" i="1"/>
  <c r="AA3514" i="1"/>
  <c r="Z3514" i="1"/>
  <c r="Y3514" i="1"/>
  <c r="X3514" i="1"/>
  <c r="AA3513" i="1"/>
  <c r="Z3513" i="1"/>
  <c r="Y3513" i="1"/>
  <c r="X3513" i="1"/>
  <c r="AA3512" i="1"/>
  <c r="Z3512" i="1"/>
  <c r="Y3512" i="1"/>
  <c r="X3512" i="1"/>
  <c r="AA3511" i="1"/>
  <c r="Z3511" i="1"/>
  <c r="Y3511" i="1"/>
  <c r="X3511" i="1"/>
  <c r="AA3510" i="1"/>
  <c r="Z3510" i="1"/>
  <c r="Y3510" i="1"/>
  <c r="X3510" i="1"/>
  <c r="AA3509" i="1"/>
  <c r="Z3509" i="1"/>
  <c r="Y3509" i="1"/>
  <c r="X3509" i="1"/>
  <c r="AA3508" i="1"/>
  <c r="Z3508" i="1"/>
  <c r="Y3508" i="1"/>
  <c r="X3508" i="1"/>
  <c r="AA3507" i="1"/>
  <c r="Z3507" i="1"/>
  <c r="Y3507" i="1"/>
  <c r="X3507" i="1"/>
  <c r="AA3506" i="1"/>
  <c r="Z3506" i="1"/>
  <c r="Y3506" i="1"/>
  <c r="X3506" i="1"/>
  <c r="AA3505" i="1"/>
  <c r="Z3505" i="1"/>
  <c r="Y3505" i="1"/>
  <c r="X3505" i="1"/>
  <c r="AA3504" i="1"/>
  <c r="Z3504" i="1"/>
  <c r="Y3504" i="1"/>
  <c r="X3504" i="1"/>
  <c r="AA3503" i="1"/>
  <c r="Z3503" i="1"/>
  <c r="Y3503" i="1"/>
  <c r="X3503" i="1"/>
  <c r="AA3502" i="1"/>
  <c r="Z3502" i="1"/>
  <c r="Y3502" i="1"/>
  <c r="X3502" i="1"/>
  <c r="AA3501" i="1"/>
  <c r="Z3501" i="1"/>
  <c r="Y3501" i="1"/>
  <c r="X3501" i="1"/>
  <c r="AA3500" i="1"/>
  <c r="Z3500" i="1"/>
  <c r="Y3500" i="1"/>
  <c r="X3500" i="1"/>
  <c r="AA3499" i="1"/>
  <c r="Z3499" i="1"/>
  <c r="Y3499" i="1"/>
  <c r="X3499" i="1"/>
  <c r="AA3498" i="1"/>
  <c r="Z3498" i="1"/>
  <c r="Y3498" i="1"/>
  <c r="X3498" i="1"/>
  <c r="AA3497" i="1"/>
  <c r="Z3497" i="1"/>
  <c r="Y3497" i="1"/>
  <c r="X3497" i="1"/>
  <c r="AA3496" i="1"/>
  <c r="Z3496" i="1"/>
  <c r="Y3496" i="1"/>
  <c r="X3496" i="1"/>
  <c r="AA3495" i="1"/>
  <c r="Z3495" i="1"/>
  <c r="Y3495" i="1"/>
  <c r="X3495" i="1"/>
  <c r="AA3494" i="1"/>
  <c r="Z3494" i="1"/>
  <c r="Y3494" i="1"/>
  <c r="X3494" i="1"/>
  <c r="AA3493" i="1"/>
  <c r="Z3493" i="1"/>
  <c r="Y3493" i="1"/>
  <c r="X3493" i="1"/>
  <c r="AA3492" i="1"/>
  <c r="Z3492" i="1"/>
  <c r="Y3492" i="1"/>
  <c r="X3492" i="1"/>
  <c r="AA3491" i="1"/>
  <c r="Z3491" i="1"/>
  <c r="Y3491" i="1"/>
  <c r="X3491" i="1"/>
  <c r="AA3490" i="1"/>
  <c r="Z3490" i="1"/>
  <c r="Y3490" i="1"/>
  <c r="X3490" i="1"/>
  <c r="AA3489" i="1"/>
  <c r="Z3489" i="1"/>
  <c r="Y3489" i="1"/>
  <c r="X3489" i="1"/>
  <c r="AA3488" i="1"/>
  <c r="Z3488" i="1"/>
  <c r="Y3488" i="1"/>
  <c r="X3488" i="1"/>
  <c r="AA3487" i="1"/>
  <c r="Z3487" i="1"/>
  <c r="Y3487" i="1"/>
  <c r="X3487" i="1"/>
  <c r="AA3486" i="1"/>
  <c r="Z3486" i="1"/>
  <c r="Y3486" i="1"/>
  <c r="X3486" i="1"/>
  <c r="AA3485" i="1"/>
  <c r="Z3485" i="1"/>
  <c r="Y3485" i="1"/>
  <c r="X3485" i="1"/>
  <c r="AA3484" i="1"/>
  <c r="Z3484" i="1"/>
  <c r="Y3484" i="1"/>
  <c r="X3484" i="1"/>
  <c r="AA3483" i="1"/>
  <c r="Z3483" i="1"/>
  <c r="Y3483" i="1"/>
  <c r="X3483" i="1"/>
  <c r="AA3482" i="1"/>
  <c r="Z3482" i="1"/>
  <c r="Y3482" i="1"/>
  <c r="X3482" i="1"/>
  <c r="AA3481" i="1"/>
  <c r="Z3481" i="1"/>
  <c r="Y3481" i="1"/>
  <c r="X3481" i="1"/>
  <c r="AA3480" i="1"/>
  <c r="Z3480" i="1"/>
  <c r="Y3480" i="1"/>
  <c r="X3480" i="1"/>
  <c r="AA3479" i="1"/>
  <c r="Z3479" i="1"/>
  <c r="Y3479" i="1"/>
  <c r="X3479" i="1"/>
  <c r="AA3478" i="1"/>
  <c r="Z3478" i="1"/>
  <c r="Y3478" i="1"/>
  <c r="X3478" i="1"/>
  <c r="AA3477" i="1"/>
  <c r="Z3477" i="1"/>
  <c r="Y3477" i="1"/>
  <c r="X3477" i="1"/>
  <c r="AA3476" i="1"/>
  <c r="Z3476" i="1"/>
  <c r="Y3476" i="1"/>
  <c r="X3476" i="1"/>
  <c r="AA3475" i="1"/>
  <c r="Z3475" i="1"/>
  <c r="Y3475" i="1"/>
  <c r="X3475" i="1"/>
  <c r="AA3474" i="1"/>
  <c r="Z3474" i="1"/>
  <c r="Y3474" i="1"/>
  <c r="X3474" i="1"/>
  <c r="AA3473" i="1"/>
  <c r="Z3473" i="1"/>
  <c r="Y3473" i="1"/>
  <c r="X3473" i="1"/>
  <c r="AA3472" i="1"/>
  <c r="Z3472" i="1"/>
  <c r="Y3472" i="1"/>
  <c r="X3472" i="1"/>
  <c r="AA3471" i="1"/>
  <c r="Z3471" i="1"/>
  <c r="Y3471" i="1"/>
  <c r="X3471" i="1"/>
  <c r="AA3470" i="1"/>
  <c r="Z3470" i="1"/>
  <c r="Y3470" i="1"/>
  <c r="X3470" i="1"/>
  <c r="AA3469" i="1"/>
  <c r="Z3469" i="1"/>
  <c r="Y3469" i="1"/>
  <c r="X3469" i="1"/>
  <c r="AA3468" i="1"/>
  <c r="Z3468" i="1"/>
  <c r="Y3468" i="1"/>
  <c r="X3468" i="1"/>
  <c r="AA3467" i="1"/>
  <c r="Z3467" i="1"/>
  <c r="Y3467" i="1"/>
  <c r="X3467" i="1"/>
  <c r="AA3466" i="1"/>
  <c r="Z3466" i="1"/>
  <c r="Y3466" i="1"/>
  <c r="X3466" i="1"/>
  <c r="AA3465" i="1"/>
  <c r="Z3465" i="1"/>
  <c r="Y3465" i="1"/>
  <c r="X3465" i="1"/>
  <c r="AA3464" i="1"/>
  <c r="Z3464" i="1"/>
  <c r="Y3464" i="1"/>
  <c r="X3464" i="1"/>
  <c r="AA3463" i="1"/>
  <c r="Z3463" i="1"/>
  <c r="Y3463" i="1"/>
  <c r="X3463" i="1"/>
  <c r="AA3462" i="1"/>
  <c r="Z3462" i="1"/>
  <c r="Y3462" i="1"/>
  <c r="X3462" i="1"/>
  <c r="AA3461" i="1"/>
  <c r="Z3461" i="1"/>
  <c r="Y3461" i="1"/>
  <c r="X3461" i="1"/>
  <c r="AA3460" i="1"/>
  <c r="Z3460" i="1"/>
  <c r="Y3460" i="1"/>
  <c r="X3460" i="1"/>
  <c r="AA3459" i="1"/>
  <c r="Z3459" i="1"/>
  <c r="Y3459" i="1"/>
  <c r="X3459" i="1"/>
  <c r="AA3458" i="1"/>
  <c r="Z3458" i="1"/>
  <c r="Y3458" i="1"/>
  <c r="X3458" i="1"/>
  <c r="AA3457" i="1"/>
  <c r="Z3457" i="1"/>
  <c r="Y3457" i="1"/>
  <c r="X3457" i="1"/>
  <c r="AA3456" i="1"/>
  <c r="Z3456" i="1"/>
  <c r="Y3456" i="1"/>
  <c r="X3456" i="1"/>
  <c r="AA3455" i="1"/>
  <c r="Z3455" i="1"/>
  <c r="Y3455" i="1"/>
  <c r="X3455" i="1"/>
  <c r="AA3454" i="1"/>
  <c r="Z3454" i="1"/>
  <c r="Y3454" i="1"/>
  <c r="X3454" i="1"/>
  <c r="AA3453" i="1"/>
  <c r="Z3453" i="1"/>
  <c r="Y3453" i="1"/>
  <c r="X3453" i="1"/>
  <c r="AA3452" i="1"/>
  <c r="Z3452" i="1"/>
  <c r="Y3452" i="1"/>
  <c r="X3452" i="1"/>
  <c r="AA3451" i="1"/>
  <c r="Z3451" i="1"/>
  <c r="Y3451" i="1"/>
  <c r="X3451" i="1"/>
  <c r="AA3450" i="1"/>
  <c r="Z3450" i="1"/>
  <c r="Y3450" i="1"/>
  <c r="X3450" i="1"/>
  <c r="AA3449" i="1"/>
  <c r="Z3449" i="1"/>
  <c r="Y3449" i="1"/>
  <c r="X3449" i="1"/>
  <c r="AA3448" i="1"/>
  <c r="Z3448" i="1"/>
  <c r="Y3448" i="1"/>
  <c r="X3448" i="1"/>
  <c r="AA3447" i="1"/>
  <c r="Z3447" i="1"/>
  <c r="Y3447" i="1"/>
  <c r="X3447" i="1"/>
  <c r="AA3446" i="1"/>
  <c r="Z3446" i="1"/>
  <c r="Y3446" i="1"/>
  <c r="X3446" i="1"/>
  <c r="AA3445" i="1"/>
  <c r="Z3445" i="1"/>
  <c r="Y3445" i="1"/>
  <c r="X3445" i="1"/>
  <c r="AA3444" i="1"/>
  <c r="Z3444" i="1"/>
  <c r="Y3444" i="1"/>
  <c r="X3444" i="1"/>
  <c r="AA3443" i="1"/>
  <c r="Z3443" i="1"/>
  <c r="Y3443" i="1"/>
  <c r="X3443" i="1"/>
  <c r="AA3442" i="1"/>
  <c r="Z3442" i="1"/>
  <c r="Y3442" i="1"/>
  <c r="X3442" i="1"/>
  <c r="AA3441" i="1"/>
  <c r="Z3441" i="1"/>
  <c r="Y3441" i="1"/>
  <c r="X3441" i="1"/>
  <c r="AA3440" i="1"/>
  <c r="Z3440" i="1"/>
  <c r="Y3440" i="1"/>
  <c r="X3440" i="1"/>
  <c r="AA3439" i="1"/>
  <c r="Z3439" i="1"/>
  <c r="Y3439" i="1"/>
  <c r="X3439" i="1"/>
  <c r="AA3438" i="1"/>
  <c r="Z3438" i="1"/>
  <c r="Y3438" i="1"/>
  <c r="X3438" i="1"/>
  <c r="AA3437" i="1"/>
  <c r="Z3437" i="1"/>
  <c r="Y3437" i="1"/>
  <c r="X3437" i="1"/>
  <c r="AA3436" i="1"/>
  <c r="Z3436" i="1"/>
  <c r="Y3436" i="1"/>
  <c r="X3436" i="1"/>
  <c r="AA3435" i="1"/>
  <c r="Z3435" i="1"/>
  <c r="Y3435" i="1"/>
  <c r="X3435" i="1"/>
  <c r="AA3434" i="1"/>
  <c r="Z3434" i="1"/>
  <c r="Y3434" i="1"/>
  <c r="X3434" i="1"/>
  <c r="AA3433" i="1"/>
  <c r="Z3433" i="1"/>
  <c r="Y3433" i="1"/>
  <c r="X3433" i="1"/>
  <c r="AA3432" i="1"/>
  <c r="Z3432" i="1"/>
  <c r="Y3432" i="1"/>
  <c r="X3432" i="1"/>
  <c r="AA3431" i="1"/>
  <c r="Z3431" i="1"/>
  <c r="Y3431" i="1"/>
  <c r="X3431" i="1"/>
  <c r="AA3430" i="1"/>
  <c r="Z3430" i="1"/>
  <c r="Y3430" i="1"/>
  <c r="X3430" i="1"/>
  <c r="AA3429" i="1"/>
  <c r="Z3429" i="1"/>
  <c r="Y3429" i="1"/>
  <c r="X3429" i="1"/>
  <c r="AA3428" i="1"/>
  <c r="Z3428" i="1"/>
  <c r="Y3428" i="1"/>
  <c r="X3428" i="1"/>
  <c r="AA3427" i="1"/>
  <c r="Z3427" i="1"/>
  <c r="Y3427" i="1"/>
  <c r="X3427" i="1"/>
  <c r="AA3426" i="1"/>
  <c r="Z3426" i="1"/>
  <c r="Y3426" i="1"/>
  <c r="X3426" i="1"/>
  <c r="AA3425" i="1"/>
  <c r="Z3425" i="1"/>
  <c r="Y3425" i="1"/>
  <c r="X3425" i="1"/>
  <c r="AA3424" i="1"/>
  <c r="Z3424" i="1"/>
  <c r="Y3424" i="1"/>
  <c r="X3424" i="1"/>
  <c r="AA3423" i="1"/>
  <c r="Z3423" i="1"/>
  <c r="Y3423" i="1"/>
  <c r="X3423" i="1"/>
  <c r="AA3422" i="1"/>
  <c r="Z3422" i="1"/>
  <c r="Y3422" i="1"/>
  <c r="X3422" i="1"/>
  <c r="AA3421" i="1"/>
  <c r="Z3421" i="1"/>
  <c r="Y3421" i="1"/>
  <c r="X3421" i="1"/>
  <c r="AA3420" i="1"/>
  <c r="Z3420" i="1"/>
  <c r="Y3420" i="1"/>
  <c r="X3420" i="1"/>
  <c r="AA3419" i="1"/>
  <c r="Z3419" i="1"/>
  <c r="Y3419" i="1"/>
  <c r="X3419" i="1"/>
  <c r="AA3418" i="1"/>
  <c r="Z3418" i="1"/>
  <c r="Y3418" i="1"/>
  <c r="X3418" i="1"/>
  <c r="AA3417" i="1"/>
  <c r="Z3417" i="1"/>
  <c r="Y3417" i="1"/>
  <c r="X3417" i="1"/>
  <c r="AA3416" i="1"/>
  <c r="Z3416" i="1"/>
  <c r="Y3416" i="1"/>
  <c r="X3416" i="1"/>
  <c r="AA3415" i="1"/>
  <c r="Z3415" i="1"/>
  <c r="Y3415" i="1"/>
  <c r="X3415" i="1"/>
  <c r="AA3414" i="1"/>
  <c r="Z3414" i="1"/>
  <c r="Y3414" i="1"/>
  <c r="X3414" i="1"/>
  <c r="AA3413" i="1"/>
  <c r="Z3413" i="1"/>
  <c r="Y3413" i="1"/>
  <c r="X3413" i="1"/>
  <c r="AA3412" i="1"/>
  <c r="Z3412" i="1"/>
  <c r="Y3412" i="1"/>
  <c r="X3412" i="1"/>
  <c r="AA3411" i="1"/>
  <c r="Z3411" i="1"/>
  <c r="Y3411" i="1"/>
  <c r="X3411" i="1"/>
  <c r="AA3410" i="1"/>
  <c r="Z3410" i="1"/>
  <c r="Y3410" i="1"/>
  <c r="X3410" i="1"/>
  <c r="AA3409" i="1"/>
  <c r="Z3409" i="1"/>
  <c r="Y3409" i="1"/>
  <c r="X3409" i="1"/>
  <c r="AA3408" i="1"/>
  <c r="Z3408" i="1"/>
  <c r="Y3408" i="1"/>
  <c r="X3408" i="1"/>
  <c r="AA3407" i="1"/>
  <c r="Z3407" i="1"/>
  <c r="Y3407" i="1"/>
  <c r="X3407" i="1"/>
  <c r="AA3406" i="1"/>
  <c r="Z3406" i="1"/>
  <c r="Y3406" i="1"/>
  <c r="X3406" i="1"/>
  <c r="AA3405" i="1"/>
  <c r="Z3405" i="1"/>
  <c r="Y3405" i="1"/>
  <c r="X3405" i="1"/>
  <c r="AA3404" i="1"/>
  <c r="Z3404" i="1"/>
  <c r="Y3404" i="1"/>
  <c r="X3404" i="1"/>
  <c r="AA3403" i="1"/>
  <c r="Z3403" i="1"/>
  <c r="Y3403" i="1"/>
  <c r="X3403" i="1"/>
  <c r="AA3402" i="1"/>
  <c r="Z3402" i="1"/>
  <c r="Y3402" i="1"/>
  <c r="X3402" i="1"/>
  <c r="AA3401" i="1"/>
  <c r="Z3401" i="1"/>
  <c r="Y3401" i="1"/>
  <c r="X3401" i="1"/>
  <c r="AA3400" i="1"/>
  <c r="Z3400" i="1"/>
  <c r="Y3400" i="1"/>
  <c r="X3400" i="1"/>
  <c r="AA3399" i="1"/>
  <c r="Z3399" i="1"/>
  <c r="Y3399" i="1"/>
  <c r="X3399" i="1"/>
  <c r="AA3398" i="1"/>
  <c r="Z3398" i="1"/>
  <c r="Y3398" i="1"/>
  <c r="X3398" i="1"/>
  <c r="AA3397" i="1"/>
  <c r="Z3397" i="1"/>
  <c r="Y3397" i="1"/>
  <c r="X3397" i="1"/>
  <c r="AA3396" i="1"/>
  <c r="Z3396" i="1"/>
  <c r="Y3396" i="1"/>
  <c r="X3396" i="1"/>
  <c r="AA3395" i="1"/>
  <c r="Z3395" i="1"/>
  <c r="Y3395" i="1"/>
  <c r="X3395" i="1"/>
  <c r="AA3394" i="1"/>
  <c r="Z3394" i="1"/>
  <c r="Y3394" i="1"/>
  <c r="X3394" i="1"/>
  <c r="AA3393" i="1"/>
  <c r="Z3393" i="1"/>
  <c r="Y3393" i="1"/>
  <c r="X3393" i="1"/>
  <c r="AA3392" i="1"/>
  <c r="Z3392" i="1"/>
  <c r="Y3392" i="1"/>
  <c r="X3392" i="1"/>
  <c r="AA3391" i="1"/>
  <c r="Z3391" i="1"/>
  <c r="Y3391" i="1"/>
  <c r="X3391" i="1"/>
  <c r="AA3390" i="1"/>
  <c r="Z3390" i="1"/>
  <c r="Y3390" i="1"/>
  <c r="X3390" i="1"/>
  <c r="AA3389" i="1"/>
  <c r="Z3389" i="1"/>
  <c r="Y3389" i="1"/>
  <c r="X3389" i="1"/>
  <c r="AA3388" i="1"/>
  <c r="Z3388" i="1"/>
  <c r="Y3388" i="1"/>
  <c r="X3388" i="1"/>
  <c r="AA3387" i="1"/>
  <c r="Z3387" i="1"/>
  <c r="Y3387" i="1"/>
  <c r="X3387" i="1"/>
  <c r="AA3386" i="1"/>
  <c r="Z3386" i="1"/>
  <c r="Y3386" i="1"/>
  <c r="X3386" i="1"/>
  <c r="AA3385" i="1"/>
  <c r="Z3385" i="1"/>
  <c r="Y3385" i="1"/>
  <c r="X3385" i="1"/>
  <c r="AA3384" i="1"/>
  <c r="Z3384" i="1"/>
  <c r="Y3384" i="1"/>
  <c r="X3384" i="1"/>
  <c r="AA3383" i="1"/>
  <c r="Z3383" i="1"/>
  <c r="Y3383" i="1"/>
  <c r="X3383" i="1"/>
  <c r="AA3382" i="1"/>
  <c r="Z3382" i="1"/>
  <c r="Y3382" i="1"/>
  <c r="X3382" i="1"/>
  <c r="AA3381" i="1"/>
  <c r="Z3381" i="1"/>
  <c r="Y3381" i="1"/>
  <c r="X3381" i="1"/>
  <c r="AA3380" i="1"/>
  <c r="Z3380" i="1"/>
  <c r="Y3380" i="1"/>
  <c r="X3380" i="1"/>
  <c r="AA3379" i="1"/>
  <c r="Z3379" i="1"/>
  <c r="Y3379" i="1"/>
  <c r="X3379" i="1"/>
  <c r="AA3378" i="1"/>
  <c r="Z3378" i="1"/>
  <c r="Y3378" i="1"/>
  <c r="X3378" i="1"/>
  <c r="AA3377" i="1"/>
  <c r="Z3377" i="1"/>
  <c r="Y3377" i="1"/>
  <c r="X3377" i="1"/>
  <c r="AA3376" i="1"/>
  <c r="Z3376" i="1"/>
  <c r="Y3376" i="1"/>
  <c r="X3376" i="1"/>
  <c r="AA3375" i="1"/>
  <c r="Z3375" i="1"/>
  <c r="Y3375" i="1"/>
  <c r="X3375" i="1"/>
  <c r="AA3374" i="1"/>
  <c r="Z3374" i="1"/>
  <c r="Y3374" i="1"/>
  <c r="X3374" i="1"/>
  <c r="AA3373" i="1"/>
  <c r="Z3373" i="1"/>
  <c r="Y3373" i="1"/>
  <c r="X3373" i="1"/>
  <c r="AA3372" i="1"/>
  <c r="Z3372" i="1"/>
  <c r="Y3372" i="1"/>
  <c r="X3372" i="1"/>
  <c r="AA3371" i="1"/>
  <c r="Z3371" i="1"/>
  <c r="Y3371" i="1"/>
  <c r="X3371" i="1"/>
  <c r="AA3370" i="1"/>
  <c r="Z3370" i="1"/>
  <c r="Y3370" i="1"/>
  <c r="X3370" i="1"/>
  <c r="AA3369" i="1"/>
  <c r="Z3369" i="1"/>
  <c r="Y3369" i="1"/>
  <c r="X3369" i="1"/>
  <c r="AA3368" i="1"/>
  <c r="Z3368" i="1"/>
  <c r="Y3368" i="1"/>
  <c r="X3368" i="1"/>
  <c r="AA3367" i="1"/>
  <c r="Z3367" i="1"/>
  <c r="Y3367" i="1"/>
  <c r="X3367" i="1"/>
  <c r="AA3366" i="1"/>
  <c r="Z3366" i="1"/>
  <c r="Y3366" i="1"/>
  <c r="X3366" i="1"/>
  <c r="AA3365" i="1"/>
  <c r="Z3365" i="1"/>
  <c r="Y3365" i="1"/>
  <c r="X3365" i="1"/>
  <c r="AA3364" i="1"/>
  <c r="Z3364" i="1"/>
  <c r="Y3364" i="1"/>
  <c r="X3364" i="1"/>
  <c r="AA3363" i="1"/>
  <c r="Z3363" i="1"/>
  <c r="Y3363" i="1"/>
  <c r="X3363" i="1"/>
  <c r="AA3362" i="1"/>
  <c r="Z3362" i="1"/>
  <c r="Y3362" i="1"/>
  <c r="X3362" i="1"/>
  <c r="AA3361" i="1"/>
  <c r="Z3361" i="1"/>
  <c r="Y3361" i="1"/>
  <c r="X3361" i="1"/>
  <c r="AA3360" i="1"/>
  <c r="Z3360" i="1"/>
  <c r="Y3360" i="1"/>
  <c r="X3360" i="1"/>
  <c r="AA3359" i="1"/>
  <c r="Z3359" i="1"/>
  <c r="Y3359" i="1"/>
  <c r="X3359" i="1"/>
  <c r="AA3358" i="1"/>
  <c r="Z3358" i="1"/>
  <c r="Y3358" i="1"/>
  <c r="X3358" i="1"/>
  <c r="AA3357" i="1"/>
  <c r="Z3357" i="1"/>
  <c r="Y3357" i="1"/>
  <c r="X3357" i="1"/>
  <c r="AA3356" i="1"/>
  <c r="Z3356" i="1"/>
  <c r="Y3356" i="1"/>
  <c r="X3356" i="1"/>
  <c r="AA3355" i="1"/>
  <c r="Z3355" i="1"/>
  <c r="Y3355" i="1"/>
  <c r="X3355" i="1"/>
  <c r="AA3354" i="1"/>
  <c r="Z3354" i="1"/>
  <c r="Y3354" i="1"/>
  <c r="X3354" i="1"/>
  <c r="AA3353" i="1"/>
  <c r="Z3353" i="1"/>
  <c r="Y3353" i="1"/>
  <c r="X3353" i="1"/>
  <c r="AA3352" i="1"/>
  <c r="Z3352" i="1"/>
  <c r="Y3352" i="1"/>
  <c r="X3352" i="1"/>
  <c r="AA3351" i="1"/>
  <c r="Z3351" i="1"/>
  <c r="Y3351" i="1"/>
  <c r="X3351" i="1"/>
  <c r="AA3350" i="1"/>
  <c r="Z3350" i="1"/>
  <c r="Y3350" i="1"/>
  <c r="X3350" i="1"/>
  <c r="AA3349" i="1"/>
  <c r="Z3349" i="1"/>
  <c r="Y3349" i="1"/>
  <c r="X3349" i="1"/>
  <c r="AA3348" i="1"/>
  <c r="Z3348" i="1"/>
  <c r="Y3348" i="1"/>
  <c r="X3348" i="1"/>
  <c r="AA3347" i="1"/>
  <c r="Z3347" i="1"/>
  <c r="Y3347" i="1"/>
  <c r="X3347" i="1"/>
  <c r="AA3346" i="1"/>
  <c r="Z3346" i="1"/>
  <c r="Y3346" i="1"/>
  <c r="X3346" i="1"/>
  <c r="AA3345" i="1"/>
  <c r="Z3345" i="1"/>
  <c r="Y3345" i="1"/>
  <c r="X3345" i="1"/>
  <c r="AA3344" i="1"/>
  <c r="Z3344" i="1"/>
  <c r="Y3344" i="1"/>
  <c r="X3344" i="1"/>
  <c r="AA3343" i="1"/>
  <c r="Z3343" i="1"/>
  <c r="Y3343" i="1"/>
  <c r="X3343" i="1"/>
  <c r="AA3342" i="1"/>
  <c r="Z3342" i="1"/>
  <c r="Y3342" i="1"/>
  <c r="X3342" i="1"/>
  <c r="AA3341" i="1"/>
  <c r="Z3341" i="1"/>
  <c r="Y3341" i="1"/>
  <c r="X3341" i="1"/>
  <c r="AA3340" i="1"/>
  <c r="Z3340" i="1"/>
  <c r="Y3340" i="1"/>
  <c r="X3340" i="1"/>
  <c r="AA3339" i="1"/>
  <c r="Z3339" i="1"/>
  <c r="Y3339" i="1"/>
  <c r="X3339" i="1"/>
  <c r="AA3338" i="1"/>
  <c r="Z3338" i="1"/>
  <c r="Y3338" i="1"/>
  <c r="X3338" i="1"/>
  <c r="AA3337" i="1"/>
  <c r="Z3337" i="1"/>
  <c r="Y3337" i="1"/>
  <c r="X3337" i="1"/>
  <c r="AA3336" i="1"/>
  <c r="Z3336" i="1"/>
  <c r="Y3336" i="1"/>
  <c r="X3336" i="1"/>
  <c r="AA3335" i="1"/>
  <c r="Z3335" i="1"/>
  <c r="Y3335" i="1"/>
  <c r="X3335" i="1"/>
  <c r="AA3334" i="1"/>
  <c r="Z3334" i="1"/>
  <c r="Y3334" i="1"/>
  <c r="X3334" i="1"/>
  <c r="AA3333" i="1"/>
  <c r="Z3333" i="1"/>
  <c r="Y3333" i="1"/>
  <c r="X3333" i="1"/>
  <c r="AA3332" i="1"/>
  <c r="Z3332" i="1"/>
  <c r="Y3332" i="1"/>
  <c r="X3332" i="1"/>
  <c r="AA3331" i="1"/>
  <c r="Z3331" i="1"/>
  <c r="Y3331" i="1"/>
  <c r="X3331" i="1"/>
  <c r="AA3330" i="1"/>
  <c r="Z3330" i="1"/>
  <c r="Y3330" i="1"/>
  <c r="X3330" i="1"/>
  <c r="AA3329" i="1"/>
  <c r="Z3329" i="1"/>
  <c r="Y3329" i="1"/>
  <c r="X3329" i="1"/>
  <c r="AA3328" i="1"/>
  <c r="Z3328" i="1"/>
  <c r="Y3328" i="1"/>
  <c r="X3328" i="1"/>
  <c r="AA3327" i="1"/>
  <c r="Z3327" i="1"/>
  <c r="Y3327" i="1"/>
  <c r="X3327" i="1"/>
  <c r="AA3326" i="1"/>
  <c r="Z3326" i="1"/>
  <c r="Y3326" i="1"/>
  <c r="X3326" i="1"/>
  <c r="AA3325" i="1"/>
  <c r="Z3325" i="1"/>
  <c r="Y3325" i="1"/>
  <c r="X3325" i="1"/>
  <c r="AA3324" i="1"/>
  <c r="Z3324" i="1"/>
  <c r="Y3324" i="1"/>
  <c r="X3324" i="1"/>
  <c r="AA3323" i="1"/>
  <c r="Z3323" i="1"/>
  <c r="Y3323" i="1"/>
  <c r="X3323" i="1"/>
  <c r="AA3322" i="1"/>
  <c r="Z3322" i="1"/>
  <c r="Y3322" i="1"/>
  <c r="X3322" i="1"/>
  <c r="AA3321" i="1"/>
  <c r="Z3321" i="1"/>
  <c r="Y3321" i="1"/>
  <c r="X3321" i="1"/>
  <c r="AA3320" i="1"/>
  <c r="Z3320" i="1"/>
  <c r="Y3320" i="1"/>
  <c r="X3320" i="1"/>
  <c r="AA3319" i="1"/>
  <c r="Z3319" i="1"/>
  <c r="Y3319" i="1"/>
  <c r="X3319" i="1"/>
  <c r="AA3318" i="1"/>
  <c r="Z3318" i="1"/>
  <c r="Y3318" i="1"/>
  <c r="X3318" i="1"/>
  <c r="AA3317" i="1"/>
  <c r="Z3317" i="1"/>
  <c r="Y3317" i="1"/>
  <c r="X3317" i="1"/>
  <c r="AA3316" i="1"/>
  <c r="Z3316" i="1"/>
  <c r="Y3316" i="1"/>
  <c r="X3316" i="1"/>
  <c r="AA3315" i="1"/>
  <c r="Z3315" i="1"/>
  <c r="Y3315" i="1"/>
  <c r="X3315" i="1"/>
  <c r="AA3314" i="1"/>
  <c r="Z3314" i="1"/>
  <c r="Y3314" i="1"/>
  <c r="X3314" i="1"/>
  <c r="AA3313" i="1"/>
  <c r="Z3313" i="1"/>
  <c r="Y3313" i="1"/>
  <c r="X3313" i="1"/>
  <c r="AA3312" i="1"/>
  <c r="Z3312" i="1"/>
  <c r="Y3312" i="1"/>
  <c r="X3312" i="1"/>
  <c r="AA3311" i="1"/>
  <c r="Z3311" i="1"/>
  <c r="Y3311" i="1"/>
  <c r="X3311" i="1"/>
  <c r="AA3310" i="1"/>
  <c r="Z3310" i="1"/>
  <c r="Y3310" i="1"/>
  <c r="X3310" i="1"/>
  <c r="AA3309" i="1"/>
  <c r="Z3309" i="1"/>
  <c r="Y3309" i="1"/>
  <c r="X3309" i="1"/>
  <c r="AA3308" i="1"/>
  <c r="Z3308" i="1"/>
  <c r="Y3308" i="1"/>
  <c r="X3308" i="1"/>
  <c r="AA3307" i="1"/>
  <c r="Z3307" i="1"/>
  <c r="Y3307" i="1"/>
  <c r="X3307" i="1"/>
  <c r="AA3306" i="1"/>
  <c r="Z3306" i="1"/>
  <c r="Y3306" i="1"/>
  <c r="X3306" i="1"/>
  <c r="AA3305" i="1"/>
  <c r="Z3305" i="1"/>
  <c r="Y3305" i="1"/>
  <c r="X3305" i="1"/>
  <c r="AA3304" i="1"/>
  <c r="Z3304" i="1"/>
  <c r="Y3304" i="1"/>
  <c r="X3304" i="1"/>
  <c r="AA3303" i="1"/>
  <c r="Z3303" i="1"/>
  <c r="Y3303" i="1"/>
  <c r="X3303" i="1"/>
  <c r="AA3302" i="1"/>
  <c r="Z3302" i="1"/>
  <c r="Y3302" i="1"/>
  <c r="X3302" i="1"/>
  <c r="AA3301" i="1"/>
  <c r="Z3301" i="1"/>
  <c r="Y3301" i="1"/>
  <c r="X3301" i="1"/>
  <c r="AA3300" i="1"/>
  <c r="Z3300" i="1"/>
  <c r="Y3300" i="1"/>
  <c r="X3300" i="1"/>
  <c r="AA3299" i="1"/>
  <c r="Z3299" i="1"/>
  <c r="Y3299" i="1"/>
  <c r="X3299" i="1"/>
  <c r="AA3298" i="1"/>
  <c r="Z3298" i="1"/>
  <c r="Y3298" i="1"/>
  <c r="X3298" i="1"/>
  <c r="AA3297" i="1"/>
  <c r="Z3297" i="1"/>
  <c r="Y3297" i="1"/>
  <c r="X3297" i="1"/>
  <c r="AA3296" i="1"/>
  <c r="Z3296" i="1"/>
  <c r="Y3296" i="1"/>
  <c r="X3296" i="1"/>
  <c r="AA3295" i="1"/>
  <c r="Z3295" i="1"/>
  <c r="Y3295" i="1"/>
  <c r="X3295" i="1"/>
  <c r="AA3294" i="1"/>
  <c r="Z3294" i="1"/>
  <c r="Y3294" i="1"/>
  <c r="X3294" i="1"/>
  <c r="AA3293" i="1"/>
  <c r="Z3293" i="1"/>
  <c r="Y3293" i="1"/>
  <c r="X3293" i="1"/>
  <c r="AA3292" i="1"/>
  <c r="Z3292" i="1"/>
  <c r="Y3292" i="1"/>
  <c r="X3292" i="1"/>
  <c r="AA3291" i="1"/>
  <c r="Z3291" i="1"/>
  <c r="Y3291" i="1"/>
  <c r="X3291" i="1"/>
  <c r="AA3290" i="1"/>
  <c r="Z3290" i="1"/>
  <c r="Y3290" i="1"/>
  <c r="X3290" i="1"/>
  <c r="AA3289" i="1"/>
  <c r="Z3289" i="1"/>
  <c r="Y3289" i="1"/>
  <c r="X3289" i="1"/>
  <c r="AA3288" i="1"/>
  <c r="Z3288" i="1"/>
  <c r="Y3288" i="1"/>
  <c r="X3288" i="1"/>
  <c r="AA3287" i="1"/>
  <c r="Z3287" i="1"/>
  <c r="Y3287" i="1"/>
  <c r="X3287" i="1"/>
  <c r="AA3286" i="1"/>
  <c r="Z3286" i="1"/>
  <c r="Y3286" i="1"/>
  <c r="X3286" i="1"/>
  <c r="AA3285" i="1"/>
  <c r="Z3285" i="1"/>
  <c r="Y3285" i="1"/>
  <c r="X3285" i="1"/>
  <c r="AA3284" i="1"/>
  <c r="Z3284" i="1"/>
  <c r="Y3284" i="1"/>
  <c r="X3284" i="1"/>
  <c r="AA3283" i="1"/>
  <c r="Z3283" i="1"/>
  <c r="Y3283" i="1"/>
  <c r="X3283" i="1"/>
  <c r="AA3282" i="1"/>
  <c r="Z3282" i="1"/>
  <c r="Y3282" i="1"/>
  <c r="X3282" i="1"/>
  <c r="AA3281" i="1"/>
  <c r="Z3281" i="1"/>
  <c r="Y3281" i="1"/>
  <c r="X3281" i="1"/>
  <c r="AA3280" i="1"/>
  <c r="Z3280" i="1"/>
  <c r="Y3280" i="1"/>
  <c r="X3280" i="1"/>
  <c r="AA3279" i="1"/>
  <c r="Z3279" i="1"/>
  <c r="Y3279" i="1"/>
  <c r="X3279" i="1"/>
  <c r="AA3278" i="1"/>
  <c r="Z3278" i="1"/>
  <c r="Y3278" i="1"/>
  <c r="X3278" i="1"/>
  <c r="AA3277" i="1"/>
  <c r="Z3277" i="1"/>
  <c r="Y3277" i="1"/>
  <c r="X3277" i="1"/>
  <c r="AA3276" i="1"/>
  <c r="Z3276" i="1"/>
  <c r="Y3276" i="1"/>
  <c r="X3276" i="1"/>
  <c r="AA3275" i="1"/>
  <c r="Z3275" i="1"/>
  <c r="Y3275" i="1"/>
  <c r="X3275" i="1"/>
  <c r="AA3274" i="1"/>
  <c r="Z3274" i="1"/>
  <c r="Y3274" i="1"/>
  <c r="X3274" i="1"/>
  <c r="AA3273" i="1"/>
  <c r="Z3273" i="1"/>
  <c r="Y3273" i="1"/>
  <c r="X3273" i="1"/>
  <c r="AA3272" i="1"/>
  <c r="Z3272" i="1"/>
  <c r="Y3272" i="1"/>
  <c r="X3272" i="1"/>
  <c r="AA3271" i="1"/>
  <c r="Z3271" i="1"/>
  <c r="Y3271" i="1"/>
  <c r="X3271" i="1"/>
  <c r="AA3270" i="1"/>
  <c r="Z3270" i="1"/>
  <c r="Y3270" i="1"/>
  <c r="X3270" i="1"/>
  <c r="AA3269" i="1"/>
  <c r="Z3269" i="1"/>
  <c r="Y3269" i="1"/>
  <c r="X3269" i="1"/>
  <c r="AA3268" i="1"/>
  <c r="Z3268" i="1"/>
  <c r="Y3268" i="1"/>
  <c r="X3268" i="1"/>
  <c r="AA3267" i="1"/>
  <c r="Z3267" i="1"/>
  <c r="Y3267" i="1"/>
  <c r="X3267" i="1"/>
  <c r="AA3266" i="1"/>
  <c r="Z3266" i="1"/>
  <c r="Y3266" i="1"/>
  <c r="X3266" i="1"/>
  <c r="AA3265" i="1"/>
  <c r="Z3265" i="1"/>
  <c r="Y3265" i="1"/>
  <c r="X3265" i="1"/>
  <c r="AA3264" i="1"/>
  <c r="Z3264" i="1"/>
  <c r="Y3264" i="1"/>
  <c r="X3264" i="1"/>
  <c r="AA3263" i="1"/>
  <c r="Z3263" i="1"/>
  <c r="Y3263" i="1"/>
  <c r="X3263" i="1"/>
  <c r="AA3262" i="1"/>
  <c r="Z3262" i="1"/>
  <c r="Y3262" i="1"/>
  <c r="X3262" i="1"/>
  <c r="AA3261" i="1"/>
  <c r="Z3261" i="1"/>
  <c r="Y3261" i="1"/>
  <c r="X3261" i="1"/>
  <c r="AA3260" i="1"/>
  <c r="Z3260" i="1"/>
  <c r="Y3260" i="1"/>
  <c r="X3260" i="1"/>
  <c r="AA3259" i="1"/>
  <c r="Z3259" i="1"/>
  <c r="Y3259" i="1"/>
  <c r="X3259" i="1"/>
  <c r="AA3258" i="1"/>
  <c r="Z3258" i="1"/>
  <c r="Y3258" i="1"/>
  <c r="X3258" i="1"/>
  <c r="AA3257" i="1"/>
  <c r="Z3257" i="1"/>
  <c r="Y3257" i="1"/>
  <c r="X3257" i="1"/>
  <c r="AA3256" i="1"/>
  <c r="Z3256" i="1"/>
  <c r="Y3256" i="1"/>
  <c r="X3256" i="1"/>
  <c r="AA3255" i="1"/>
  <c r="Z3255" i="1"/>
  <c r="Y3255" i="1"/>
  <c r="X3255" i="1"/>
  <c r="AA3254" i="1"/>
  <c r="Z3254" i="1"/>
  <c r="Y3254" i="1"/>
  <c r="X3254" i="1"/>
  <c r="AA3253" i="1"/>
  <c r="Z3253" i="1"/>
  <c r="Y3253" i="1"/>
  <c r="X3253" i="1"/>
  <c r="AA3252" i="1"/>
  <c r="Z3252" i="1"/>
  <c r="Y3252" i="1"/>
  <c r="X3252" i="1"/>
  <c r="AA3251" i="1"/>
  <c r="Z3251" i="1"/>
  <c r="Y3251" i="1"/>
  <c r="X3251" i="1"/>
  <c r="AA3250" i="1"/>
  <c r="Z3250" i="1"/>
  <c r="Y3250" i="1"/>
  <c r="X3250" i="1"/>
  <c r="AA3249" i="1"/>
  <c r="Z3249" i="1"/>
  <c r="Y3249" i="1"/>
  <c r="X3249" i="1"/>
  <c r="AA3248" i="1"/>
  <c r="Z3248" i="1"/>
  <c r="Y3248" i="1"/>
  <c r="X3248" i="1"/>
  <c r="AA3247" i="1"/>
  <c r="Z3247" i="1"/>
  <c r="Y3247" i="1"/>
  <c r="X3247" i="1"/>
  <c r="AA3246" i="1"/>
  <c r="Z3246" i="1"/>
  <c r="Y3246" i="1"/>
  <c r="X3246" i="1"/>
  <c r="AA3245" i="1"/>
  <c r="Z3245" i="1"/>
  <c r="Y3245" i="1"/>
  <c r="X3245" i="1"/>
  <c r="AA3244" i="1"/>
  <c r="Z3244" i="1"/>
  <c r="Y3244" i="1"/>
  <c r="X3244" i="1"/>
  <c r="AA3243" i="1"/>
  <c r="Z3243" i="1"/>
  <c r="Y3243" i="1"/>
  <c r="X3243" i="1"/>
  <c r="AA3242" i="1"/>
  <c r="Z3242" i="1"/>
  <c r="Y3242" i="1"/>
  <c r="X3242" i="1"/>
  <c r="AA3241" i="1"/>
  <c r="Z3241" i="1"/>
  <c r="Y3241" i="1"/>
  <c r="X3241" i="1"/>
  <c r="AA3240" i="1"/>
  <c r="Z3240" i="1"/>
  <c r="Y3240" i="1"/>
  <c r="X3240" i="1"/>
  <c r="AA3239" i="1"/>
  <c r="Z3239" i="1"/>
  <c r="Y3239" i="1"/>
  <c r="X3239" i="1"/>
  <c r="AA3238" i="1"/>
  <c r="Z3238" i="1"/>
  <c r="Y3238" i="1"/>
  <c r="X3238" i="1"/>
  <c r="AA3237" i="1"/>
  <c r="Z3237" i="1"/>
  <c r="Y3237" i="1"/>
  <c r="X3237" i="1"/>
  <c r="AA3236" i="1"/>
  <c r="Z3236" i="1"/>
  <c r="Y3236" i="1"/>
  <c r="X3236" i="1"/>
  <c r="AA3235" i="1"/>
  <c r="Z3235" i="1"/>
  <c r="Y3235" i="1"/>
  <c r="X3235" i="1"/>
  <c r="AA3234" i="1"/>
  <c r="Z3234" i="1"/>
  <c r="Y3234" i="1"/>
  <c r="X3234" i="1"/>
  <c r="AA3233" i="1"/>
  <c r="Z3233" i="1"/>
  <c r="Y3233" i="1"/>
  <c r="X3233" i="1"/>
  <c r="AA3232" i="1"/>
  <c r="Z3232" i="1"/>
  <c r="Y3232" i="1"/>
  <c r="X3232" i="1"/>
  <c r="AA3231" i="1"/>
  <c r="Z3231" i="1"/>
  <c r="Y3231" i="1"/>
  <c r="X3231" i="1"/>
  <c r="AA3230" i="1"/>
  <c r="Z3230" i="1"/>
  <c r="Y3230" i="1"/>
  <c r="X3230" i="1"/>
  <c r="AA3229" i="1"/>
  <c r="Z3229" i="1"/>
  <c r="Y3229" i="1"/>
  <c r="X3229" i="1"/>
  <c r="AA3228" i="1"/>
  <c r="Z3228" i="1"/>
  <c r="Y3228" i="1"/>
  <c r="X3228" i="1"/>
  <c r="AA3227" i="1"/>
  <c r="Z3227" i="1"/>
  <c r="Y3227" i="1"/>
  <c r="X3227" i="1"/>
  <c r="AA3226" i="1"/>
  <c r="Z3226" i="1"/>
  <c r="Y3226" i="1"/>
  <c r="X3226" i="1"/>
  <c r="AA3225" i="1"/>
  <c r="Z3225" i="1"/>
  <c r="Y3225" i="1"/>
  <c r="X3225" i="1"/>
  <c r="AA3224" i="1"/>
  <c r="Z3224" i="1"/>
  <c r="Y3224" i="1"/>
  <c r="X3224" i="1"/>
  <c r="AA3223" i="1"/>
  <c r="Z3223" i="1"/>
  <c r="Y3223" i="1"/>
  <c r="X3223" i="1"/>
  <c r="AA3222" i="1"/>
  <c r="Z3222" i="1"/>
  <c r="Y3222" i="1"/>
  <c r="X3222" i="1"/>
  <c r="AA3221" i="1"/>
  <c r="Z3221" i="1"/>
  <c r="Y3221" i="1"/>
  <c r="X3221" i="1"/>
  <c r="AA3220" i="1"/>
  <c r="Z3220" i="1"/>
  <c r="Y3220" i="1"/>
  <c r="X3220" i="1"/>
  <c r="AA3219" i="1"/>
  <c r="Z3219" i="1"/>
  <c r="Y3219" i="1"/>
  <c r="X3219" i="1"/>
  <c r="AA3218" i="1"/>
  <c r="Z3218" i="1"/>
  <c r="Y3218" i="1"/>
  <c r="X3218" i="1"/>
  <c r="AA3217" i="1"/>
  <c r="Z3217" i="1"/>
  <c r="Y3217" i="1"/>
  <c r="X3217" i="1"/>
  <c r="AA3216" i="1"/>
  <c r="Z3216" i="1"/>
  <c r="Y3216" i="1"/>
  <c r="X3216" i="1"/>
  <c r="AA3215" i="1"/>
  <c r="Z3215" i="1"/>
  <c r="Y3215" i="1"/>
  <c r="X3215" i="1"/>
  <c r="AA3214" i="1"/>
  <c r="Z3214" i="1"/>
  <c r="Y3214" i="1"/>
  <c r="X3214" i="1"/>
  <c r="AA3213" i="1"/>
  <c r="Z3213" i="1"/>
  <c r="Y3213" i="1"/>
  <c r="X3213" i="1"/>
  <c r="AA3212" i="1"/>
  <c r="Z3212" i="1"/>
  <c r="Y3212" i="1"/>
  <c r="X3212" i="1"/>
  <c r="AA3211" i="1"/>
  <c r="Z3211" i="1"/>
  <c r="Y3211" i="1"/>
  <c r="X3211" i="1"/>
  <c r="AA3210" i="1"/>
  <c r="Z3210" i="1"/>
  <c r="Y3210" i="1"/>
  <c r="X3210" i="1"/>
  <c r="AA3209" i="1"/>
  <c r="Z3209" i="1"/>
  <c r="Y3209" i="1"/>
  <c r="X3209" i="1"/>
  <c r="AA3208" i="1"/>
  <c r="Z3208" i="1"/>
  <c r="Y3208" i="1"/>
  <c r="X3208" i="1"/>
  <c r="AA3207" i="1"/>
  <c r="Z3207" i="1"/>
  <c r="Y3207" i="1"/>
  <c r="X3207" i="1"/>
  <c r="AA3206" i="1"/>
  <c r="Z3206" i="1"/>
  <c r="Y3206" i="1"/>
  <c r="X3206" i="1"/>
  <c r="AA3205" i="1"/>
  <c r="Z3205" i="1"/>
  <c r="Y3205" i="1"/>
  <c r="X3205" i="1"/>
  <c r="AA3204" i="1"/>
  <c r="Z3204" i="1"/>
  <c r="Y3204" i="1"/>
  <c r="X3204" i="1"/>
  <c r="AA3203" i="1"/>
  <c r="Z3203" i="1"/>
  <c r="Y3203" i="1"/>
  <c r="X3203" i="1"/>
  <c r="AA3202" i="1"/>
  <c r="Z3202" i="1"/>
  <c r="Y3202" i="1"/>
  <c r="X3202" i="1"/>
  <c r="AA3201" i="1"/>
  <c r="Z3201" i="1"/>
  <c r="Y3201" i="1"/>
  <c r="X3201" i="1"/>
  <c r="AA3200" i="1"/>
  <c r="Z3200" i="1"/>
  <c r="Y3200" i="1"/>
  <c r="X3200" i="1"/>
  <c r="AA3199" i="1"/>
  <c r="Z3199" i="1"/>
  <c r="Y3199" i="1"/>
  <c r="X3199" i="1"/>
  <c r="AA3198" i="1"/>
  <c r="Z3198" i="1"/>
  <c r="Y3198" i="1"/>
  <c r="X3198" i="1"/>
  <c r="AA3197" i="1"/>
  <c r="Z3197" i="1"/>
  <c r="Y3197" i="1"/>
  <c r="X3197" i="1"/>
  <c r="AA3196" i="1"/>
  <c r="Z3196" i="1"/>
  <c r="Y3196" i="1"/>
  <c r="X3196" i="1"/>
  <c r="AA3195" i="1"/>
  <c r="Z3195" i="1"/>
  <c r="Y3195" i="1"/>
  <c r="X3195" i="1"/>
  <c r="AA3194" i="1"/>
  <c r="Z3194" i="1"/>
  <c r="Y3194" i="1"/>
  <c r="X3194" i="1"/>
  <c r="AA3193" i="1"/>
  <c r="Z3193" i="1"/>
  <c r="Y3193" i="1"/>
  <c r="X3193" i="1"/>
  <c r="AA3192" i="1"/>
  <c r="Z3192" i="1"/>
  <c r="Y3192" i="1"/>
  <c r="X3192" i="1"/>
  <c r="AA3191" i="1"/>
  <c r="Z3191" i="1"/>
  <c r="Y3191" i="1"/>
  <c r="X3191" i="1"/>
  <c r="AA3190" i="1"/>
  <c r="Z3190" i="1"/>
  <c r="Y3190" i="1"/>
  <c r="X3190" i="1"/>
  <c r="AA3189" i="1"/>
  <c r="Z3189" i="1"/>
  <c r="Y3189" i="1"/>
  <c r="X3189" i="1"/>
  <c r="AA3188" i="1"/>
  <c r="Z3188" i="1"/>
  <c r="Y3188" i="1"/>
  <c r="X3188" i="1"/>
  <c r="AA3187" i="1"/>
  <c r="Z3187" i="1"/>
  <c r="Y3187" i="1"/>
  <c r="X3187" i="1"/>
  <c r="AA3186" i="1"/>
  <c r="Z3186" i="1"/>
  <c r="Y3186" i="1"/>
  <c r="X3186" i="1"/>
  <c r="AA3185" i="1"/>
  <c r="Z3185" i="1"/>
  <c r="Y3185" i="1"/>
  <c r="X3185" i="1"/>
  <c r="AA3184" i="1"/>
  <c r="Z3184" i="1"/>
  <c r="Y3184" i="1"/>
  <c r="X3184" i="1"/>
  <c r="AA3183" i="1"/>
  <c r="Z3183" i="1"/>
  <c r="Y3183" i="1"/>
  <c r="X3183" i="1"/>
  <c r="AA3182" i="1"/>
  <c r="Z3182" i="1"/>
  <c r="Y3182" i="1"/>
  <c r="X3182" i="1"/>
  <c r="AA3181" i="1"/>
  <c r="Z3181" i="1"/>
  <c r="Y3181" i="1"/>
  <c r="X3181" i="1"/>
  <c r="AA3180" i="1"/>
  <c r="Z3180" i="1"/>
  <c r="Y3180" i="1"/>
  <c r="X3180" i="1"/>
  <c r="AA3179" i="1"/>
  <c r="Z3179" i="1"/>
  <c r="Y3179" i="1"/>
  <c r="X3179" i="1"/>
  <c r="AA3178" i="1"/>
  <c r="Z3178" i="1"/>
  <c r="Y3178" i="1"/>
  <c r="X3178" i="1"/>
  <c r="AA3177" i="1"/>
  <c r="Z3177" i="1"/>
  <c r="Y3177" i="1"/>
  <c r="X3177" i="1"/>
  <c r="AA3176" i="1"/>
  <c r="Z3176" i="1"/>
  <c r="Y3176" i="1"/>
  <c r="X3176" i="1"/>
  <c r="AA3175" i="1"/>
  <c r="Z3175" i="1"/>
  <c r="Y3175" i="1"/>
  <c r="X3175" i="1"/>
  <c r="AA3174" i="1"/>
  <c r="Z3174" i="1"/>
  <c r="Y3174" i="1"/>
  <c r="X3174" i="1"/>
  <c r="AA3173" i="1"/>
  <c r="Z3173" i="1"/>
  <c r="Y3173" i="1"/>
  <c r="X3173" i="1"/>
  <c r="AA3172" i="1"/>
  <c r="Z3172" i="1"/>
  <c r="Y3172" i="1"/>
  <c r="X3172" i="1"/>
  <c r="AA3171" i="1"/>
  <c r="Z3171" i="1"/>
  <c r="Y3171" i="1"/>
  <c r="X3171" i="1"/>
  <c r="AA3170" i="1"/>
  <c r="Z3170" i="1"/>
  <c r="Y3170" i="1"/>
  <c r="X3170" i="1"/>
  <c r="AA3169" i="1"/>
  <c r="Z3169" i="1"/>
  <c r="Y3169" i="1"/>
  <c r="X3169" i="1"/>
  <c r="AA3168" i="1"/>
  <c r="Z3168" i="1"/>
  <c r="Y3168" i="1"/>
  <c r="X3168" i="1"/>
  <c r="AA3167" i="1"/>
  <c r="Z3167" i="1"/>
  <c r="Y3167" i="1"/>
  <c r="X3167" i="1"/>
  <c r="AA3166" i="1"/>
  <c r="Z3166" i="1"/>
  <c r="Y3166" i="1"/>
  <c r="X3166" i="1"/>
  <c r="AA3165" i="1"/>
  <c r="Z3165" i="1"/>
  <c r="Y3165" i="1"/>
  <c r="X3165" i="1"/>
  <c r="AA3164" i="1"/>
  <c r="Z3164" i="1"/>
  <c r="Y3164" i="1"/>
  <c r="X3164" i="1"/>
  <c r="AA3163" i="1"/>
  <c r="Z3163" i="1"/>
  <c r="Y3163" i="1"/>
  <c r="X3163" i="1"/>
  <c r="AA3162" i="1"/>
  <c r="Z3162" i="1"/>
  <c r="Y3162" i="1"/>
  <c r="X3162" i="1"/>
  <c r="AA3161" i="1"/>
  <c r="Z3161" i="1"/>
  <c r="Y3161" i="1"/>
  <c r="X3161" i="1"/>
  <c r="AA3160" i="1"/>
  <c r="Z3160" i="1"/>
  <c r="Y3160" i="1"/>
  <c r="X3160" i="1"/>
  <c r="AA3159" i="1"/>
  <c r="Z3159" i="1"/>
  <c r="Y3159" i="1"/>
  <c r="X3159" i="1"/>
  <c r="AA3158" i="1"/>
  <c r="Z3158" i="1"/>
  <c r="Y3158" i="1"/>
  <c r="X3158" i="1"/>
  <c r="AA3157" i="1"/>
  <c r="Z3157" i="1"/>
  <c r="Y3157" i="1"/>
  <c r="X3157" i="1"/>
  <c r="AA3156" i="1"/>
  <c r="Z3156" i="1"/>
  <c r="Y3156" i="1"/>
  <c r="X3156" i="1"/>
  <c r="AA3155" i="1"/>
  <c r="Z3155" i="1"/>
  <c r="Y3155" i="1"/>
  <c r="X3155" i="1"/>
  <c r="AA3154" i="1"/>
  <c r="Z3154" i="1"/>
  <c r="Y3154" i="1"/>
  <c r="X3154" i="1"/>
  <c r="AA3153" i="1"/>
  <c r="Z3153" i="1"/>
  <c r="Y3153" i="1"/>
  <c r="X3153" i="1"/>
  <c r="AA3152" i="1"/>
  <c r="Z3152" i="1"/>
  <c r="Y3152" i="1"/>
  <c r="X3152" i="1"/>
  <c r="AA3151" i="1"/>
  <c r="Z3151" i="1"/>
  <c r="Y3151" i="1"/>
  <c r="X3151" i="1"/>
  <c r="AA3150" i="1"/>
  <c r="Z3150" i="1"/>
  <c r="Y3150" i="1"/>
  <c r="X3150" i="1"/>
  <c r="AA3149" i="1"/>
  <c r="Z3149" i="1"/>
  <c r="Y3149" i="1"/>
  <c r="X3149" i="1"/>
  <c r="AA3148" i="1"/>
  <c r="Z3148" i="1"/>
  <c r="Y3148" i="1"/>
  <c r="X3148" i="1"/>
  <c r="AA3147" i="1"/>
  <c r="Z3147" i="1"/>
  <c r="Y3147" i="1"/>
  <c r="X3147" i="1"/>
  <c r="AA3146" i="1"/>
  <c r="Z3146" i="1"/>
  <c r="Y3146" i="1"/>
  <c r="X3146" i="1"/>
  <c r="AA3145" i="1"/>
  <c r="Z3145" i="1"/>
  <c r="Y3145" i="1"/>
  <c r="X3145" i="1"/>
  <c r="AA3144" i="1"/>
  <c r="Z3144" i="1"/>
  <c r="Y3144" i="1"/>
  <c r="X3144" i="1"/>
  <c r="AA3143" i="1"/>
  <c r="Z3143" i="1"/>
  <c r="Y3143" i="1"/>
  <c r="X3143" i="1"/>
  <c r="AA3142" i="1"/>
  <c r="Z3142" i="1"/>
  <c r="Y3142" i="1"/>
  <c r="X3142" i="1"/>
  <c r="AA3141" i="1"/>
  <c r="Z3141" i="1"/>
  <c r="Y3141" i="1"/>
  <c r="X3141" i="1"/>
  <c r="AA3140" i="1"/>
  <c r="Z3140" i="1"/>
  <c r="Y3140" i="1"/>
  <c r="X3140" i="1"/>
  <c r="AA3139" i="1"/>
  <c r="Z3139" i="1"/>
  <c r="Y3139" i="1"/>
  <c r="X3139" i="1"/>
  <c r="AA3138" i="1"/>
  <c r="Z3138" i="1"/>
  <c r="Y3138" i="1"/>
  <c r="X3138" i="1"/>
  <c r="AA3137" i="1"/>
  <c r="Z3137" i="1"/>
  <c r="Y3137" i="1"/>
  <c r="X3137" i="1"/>
  <c r="AA3136" i="1"/>
  <c r="Z3136" i="1"/>
  <c r="Y3136" i="1"/>
  <c r="X3136" i="1"/>
  <c r="AA3135" i="1"/>
  <c r="Z3135" i="1"/>
  <c r="Y3135" i="1"/>
  <c r="X3135" i="1"/>
  <c r="AA3134" i="1"/>
  <c r="Z3134" i="1"/>
  <c r="Y3134" i="1"/>
  <c r="X3134" i="1"/>
  <c r="AA3133" i="1"/>
  <c r="Z3133" i="1"/>
  <c r="Y3133" i="1"/>
  <c r="X3133" i="1"/>
  <c r="AA3132" i="1"/>
  <c r="Z3132" i="1"/>
  <c r="Y3132" i="1"/>
  <c r="X3132" i="1"/>
  <c r="AA3131" i="1"/>
  <c r="Z3131" i="1"/>
  <c r="Y3131" i="1"/>
  <c r="X3131" i="1"/>
  <c r="AA3130" i="1"/>
  <c r="Z3130" i="1"/>
  <c r="Y3130" i="1"/>
  <c r="X3130" i="1"/>
  <c r="AA3129" i="1"/>
  <c r="Z3129" i="1"/>
  <c r="Y3129" i="1"/>
  <c r="X3129" i="1"/>
  <c r="AA3128" i="1"/>
  <c r="Z3128" i="1"/>
  <c r="Y3128" i="1"/>
  <c r="X3128" i="1"/>
  <c r="AA3127" i="1"/>
  <c r="Z3127" i="1"/>
  <c r="Y3127" i="1"/>
  <c r="X3127" i="1"/>
  <c r="AA3126" i="1"/>
  <c r="Z3126" i="1"/>
  <c r="Y3126" i="1"/>
  <c r="X3126" i="1"/>
  <c r="AA3125" i="1"/>
  <c r="Z3125" i="1"/>
  <c r="Y3125" i="1"/>
  <c r="X3125" i="1"/>
  <c r="AA3124" i="1"/>
  <c r="Z3124" i="1"/>
  <c r="Y3124" i="1"/>
  <c r="X3124" i="1"/>
  <c r="AA3123" i="1"/>
  <c r="Z3123" i="1"/>
  <c r="Y3123" i="1"/>
  <c r="X3123" i="1"/>
  <c r="AA3122" i="1"/>
  <c r="Z3122" i="1"/>
  <c r="Y3122" i="1"/>
  <c r="X3122" i="1"/>
  <c r="AA3121" i="1"/>
  <c r="Z3121" i="1"/>
  <c r="Y3121" i="1"/>
  <c r="X3121" i="1"/>
  <c r="AA3120" i="1"/>
  <c r="Z3120" i="1"/>
  <c r="Y3120" i="1"/>
  <c r="X3120" i="1"/>
  <c r="AA3119" i="1"/>
  <c r="Z3119" i="1"/>
  <c r="Y3119" i="1"/>
  <c r="X3119" i="1"/>
  <c r="AA3118" i="1"/>
  <c r="Z3118" i="1"/>
  <c r="Y3118" i="1"/>
  <c r="X3118" i="1"/>
  <c r="AA3117" i="1"/>
  <c r="Z3117" i="1"/>
  <c r="Y3117" i="1"/>
  <c r="X3117" i="1"/>
  <c r="AA3116" i="1"/>
  <c r="Z3116" i="1"/>
  <c r="Y3116" i="1"/>
  <c r="X3116" i="1"/>
  <c r="AA3115" i="1"/>
  <c r="Z3115" i="1"/>
  <c r="Y3115" i="1"/>
  <c r="X3115" i="1"/>
  <c r="AA3114" i="1"/>
  <c r="Z3114" i="1"/>
  <c r="Y3114" i="1"/>
  <c r="X3114" i="1"/>
  <c r="AA3113" i="1"/>
  <c r="Z3113" i="1"/>
  <c r="Y3113" i="1"/>
  <c r="X3113" i="1"/>
  <c r="AA3112" i="1"/>
  <c r="Z3112" i="1"/>
  <c r="Y3112" i="1"/>
  <c r="X3112" i="1"/>
  <c r="AA3111" i="1"/>
  <c r="Z3111" i="1"/>
  <c r="Y3111" i="1"/>
  <c r="X3111" i="1"/>
  <c r="AA3110" i="1"/>
  <c r="Z3110" i="1"/>
  <c r="Y3110" i="1"/>
  <c r="X3110" i="1"/>
  <c r="AA3109" i="1"/>
  <c r="Z3109" i="1"/>
  <c r="Y3109" i="1"/>
  <c r="X3109" i="1"/>
  <c r="AA3108" i="1"/>
  <c r="Z3108" i="1"/>
  <c r="Y3108" i="1"/>
  <c r="X3108" i="1"/>
  <c r="AA3107" i="1"/>
  <c r="Z3107" i="1"/>
  <c r="Y3107" i="1"/>
  <c r="X3107" i="1"/>
  <c r="AA3106" i="1"/>
  <c r="Z3106" i="1"/>
  <c r="Y3106" i="1"/>
  <c r="X3106" i="1"/>
  <c r="AA3105" i="1"/>
  <c r="Z3105" i="1"/>
  <c r="Y3105" i="1"/>
  <c r="X3105" i="1"/>
  <c r="AA3104" i="1"/>
  <c r="Z3104" i="1"/>
  <c r="Y3104" i="1"/>
  <c r="X3104" i="1"/>
  <c r="AA3103" i="1"/>
  <c r="Z3103" i="1"/>
  <c r="Y3103" i="1"/>
  <c r="X3103" i="1"/>
  <c r="AA3102" i="1"/>
  <c r="Z3102" i="1"/>
  <c r="Y3102" i="1"/>
  <c r="X3102" i="1"/>
  <c r="AA3101" i="1"/>
  <c r="Z3101" i="1"/>
  <c r="Y3101" i="1"/>
  <c r="X3101" i="1"/>
  <c r="AA3100" i="1"/>
  <c r="Z3100" i="1"/>
  <c r="Y3100" i="1"/>
  <c r="X3100" i="1"/>
  <c r="AA3099" i="1"/>
  <c r="Z3099" i="1"/>
  <c r="Y3099" i="1"/>
  <c r="X3099" i="1"/>
  <c r="AA3098" i="1"/>
  <c r="Z3098" i="1"/>
  <c r="Y3098" i="1"/>
  <c r="X3098" i="1"/>
  <c r="AA3097" i="1"/>
  <c r="Z3097" i="1"/>
  <c r="Y3097" i="1"/>
  <c r="X3097" i="1"/>
  <c r="AA3096" i="1"/>
  <c r="Z3096" i="1"/>
  <c r="Y3096" i="1"/>
  <c r="X3096" i="1"/>
  <c r="AA3095" i="1"/>
  <c r="Z3095" i="1"/>
  <c r="Y3095" i="1"/>
  <c r="X3095" i="1"/>
  <c r="AA3094" i="1"/>
  <c r="Z3094" i="1"/>
  <c r="Y3094" i="1"/>
  <c r="X3094" i="1"/>
  <c r="AA3093" i="1"/>
  <c r="Z3093" i="1"/>
  <c r="Y3093" i="1"/>
  <c r="X3093" i="1"/>
  <c r="AA3092" i="1"/>
  <c r="Z3092" i="1"/>
  <c r="Y3092" i="1"/>
  <c r="X3092" i="1"/>
  <c r="AA3091" i="1"/>
  <c r="Z3091" i="1"/>
  <c r="Y3091" i="1"/>
  <c r="X3091" i="1"/>
  <c r="AA3090" i="1"/>
  <c r="Z3090" i="1"/>
  <c r="Y3090" i="1"/>
  <c r="X3090" i="1"/>
  <c r="AA3089" i="1"/>
  <c r="Z3089" i="1"/>
  <c r="Y3089" i="1"/>
  <c r="X3089" i="1"/>
  <c r="AA3088" i="1"/>
  <c r="Z3088" i="1"/>
  <c r="Y3088" i="1"/>
  <c r="X3088" i="1"/>
  <c r="AA3087" i="1"/>
  <c r="Z3087" i="1"/>
  <c r="Y3087" i="1"/>
  <c r="X3087" i="1"/>
  <c r="AA3086" i="1"/>
  <c r="Z3086" i="1"/>
  <c r="Y3086" i="1"/>
  <c r="X3086" i="1"/>
  <c r="AA3085" i="1"/>
  <c r="Z3085" i="1"/>
  <c r="Y3085" i="1"/>
  <c r="X3085" i="1"/>
  <c r="AA3084" i="1"/>
  <c r="Z3084" i="1"/>
  <c r="Y3084" i="1"/>
  <c r="X3084" i="1"/>
  <c r="AA3083" i="1"/>
  <c r="Z3083" i="1"/>
  <c r="Y3083" i="1"/>
  <c r="X3083" i="1"/>
  <c r="AA3082" i="1"/>
  <c r="Z3082" i="1"/>
  <c r="Y3082" i="1"/>
  <c r="X3082" i="1"/>
  <c r="AA3081" i="1"/>
  <c r="Z3081" i="1"/>
  <c r="Y3081" i="1"/>
  <c r="X3081" i="1"/>
  <c r="AA3080" i="1"/>
  <c r="Z3080" i="1"/>
  <c r="Y3080" i="1"/>
  <c r="X3080" i="1"/>
  <c r="AA3079" i="1"/>
  <c r="Z3079" i="1"/>
  <c r="Y3079" i="1"/>
  <c r="X3079" i="1"/>
  <c r="AA3078" i="1"/>
  <c r="Z3078" i="1"/>
  <c r="Y3078" i="1"/>
  <c r="X3078" i="1"/>
  <c r="AA3077" i="1"/>
  <c r="Z3077" i="1"/>
  <c r="Y3077" i="1"/>
  <c r="X3077" i="1"/>
  <c r="AA3076" i="1"/>
  <c r="Z3076" i="1"/>
  <c r="Y3076" i="1"/>
  <c r="X3076" i="1"/>
  <c r="AA3075" i="1"/>
  <c r="Z3075" i="1"/>
  <c r="Y3075" i="1"/>
  <c r="X3075" i="1"/>
  <c r="AA3074" i="1"/>
  <c r="Z3074" i="1"/>
  <c r="Y3074" i="1"/>
  <c r="X3074" i="1"/>
  <c r="AA3073" i="1"/>
  <c r="Z3073" i="1"/>
  <c r="Y3073" i="1"/>
  <c r="X3073" i="1"/>
  <c r="AA3072" i="1"/>
  <c r="Z3072" i="1"/>
  <c r="Y3072" i="1"/>
  <c r="X3072" i="1"/>
  <c r="AA3071" i="1"/>
  <c r="Z3071" i="1"/>
  <c r="Y3071" i="1"/>
  <c r="X3071" i="1"/>
  <c r="AA3070" i="1"/>
  <c r="Z3070" i="1"/>
  <c r="Y3070" i="1"/>
  <c r="X3070" i="1"/>
  <c r="AA3069" i="1"/>
  <c r="Z3069" i="1"/>
  <c r="Y3069" i="1"/>
  <c r="X3069" i="1"/>
  <c r="AA3068" i="1"/>
  <c r="Z3068" i="1"/>
  <c r="Y3068" i="1"/>
  <c r="X3068" i="1"/>
  <c r="AA3067" i="1"/>
  <c r="Z3067" i="1"/>
  <c r="Y3067" i="1"/>
  <c r="X3067" i="1"/>
  <c r="AA3066" i="1"/>
  <c r="Z3066" i="1"/>
  <c r="Y3066" i="1"/>
  <c r="X3066" i="1"/>
  <c r="AA3065" i="1"/>
  <c r="Z3065" i="1"/>
  <c r="Y3065" i="1"/>
  <c r="X3065" i="1"/>
  <c r="AA3064" i="1"/>
  <c r="Z3064" i="1"/>
  <c r="Y3064" i="1"/>
  <c r="X3064" i="1"/>
  <c r="AA3063" i="1"/>
  <c r="Z3063" i="1"/>
  <c r="Y3063" i="1"/>
  <c r="X3063" i="1"/>
  <c r="AA3062" i="1"/>
  <c r="Z3062" i="1"/>
  <c r="Y3062" i="1"/>
  <c r="X3062" i="1"/>
  <c r="AA3061" i="1"/>
  <c r="Z3061" i="1"/>
  <c r="Y3061" i="1"/>
  <c r="X3061" i="1"/>
  <c r="AA3060" i="1"/>
  <c r="Z3060" i="1"/>
  <c r="Y3060" i="1"/>
  <c r="X3060" i="1"/>
  <c r="AA3059" i="1"/>
  <c r="Z3059" i="1"/>
  <c r="Y3059" i="1"/>
  <c r="X3059" i="1"/>
  <c r="AA3058" i="1"/>
  <c r="Z3058" i="1"/>
  <c r="Y3058" i="1"/>
  <c r="X3058" i="1"/>
  <c r="AA3057" i="1"/>
  <c r="Z3057" i="1"/>
  <c r="Y3057" i="1"/>
  <c r="X3057" i="1"/>
  <c r="AA3056" i="1"/>
  <c r="Z3056" i="1"/>
  <c r="Y3056" i="1"/>
  <c r="X3056" i="1"/>
  <c r="AA3055" i="1"/>
  <c r="Z3055" i="1"/>
  <c r="Y3055" i="1"/>
  <c r="X3055" i="1"/>
  <c r="AA3054" i="1"/>
  <c r="Z3054" i="1"/>
  <c r="Y3054" i="1"/>
  <c r="X3054" i="1"/>
  <c r="AA3053" i="1"/>
  <c r="Z3053" i="1"/>
  <c r="Y3053" i="1"/>
  <c r="X3053" i="1"/>
  <c r="AA3052" i="1"/>
  <c r="Z3052" i="1"/>
  <c r="Y3052" i="1"/>
  <c r="X3052" i="1"/>
  <c r="AA3051" i="1"/>
  <c r="Z3051" i="1"/>
  <c r="Y3051" i="1"/>
  <c r="X3051" i="1"/>
  <c r="AA3050" i="1"/>
  <c r="Z3050" i="1"/>
  <c r="Y3050" i="1"/>
  <c r="X3050" i="1"/>
  <c r="AA3049" i="1"/>
  <c r="Z3049" i="1"/>
  <c r="Y3049" i="1"/>
  <c r="X3049" i="1"/>
  <c r="AA3048" i="1"/>
  <c r="Z3048" i="1"/>
  <c r="Y3048" i="1"/>
  <c r="X3048" i="1"/>
  <c r="AA3047" i="1"/>
  <c r="Z3047" i="1"/>
  <c r="Y3047" i="1"/>
  <c r="X3047" i="1"/>
  <c r="AA3046" i="1"/>
  <c r="Z3046" i="1"/>
  <c r="Y3046" i="1"/>
  <c r="X3046" i="1"/>
  <c r="AA3045" i="1"/>
  <c r="Z3045" i="1"/>
  <c r="Y3045" i="1"/>
  <c r="X3045" i="1"/>
  <c r="AA3044" i="1"/>
  <c r="Z3044" i="1"/>
  <c r="Y3044" i="1"/>
  <c r="X3044" i="1"/>
  <c r="AA3043" i="1"/>
  <c r="Z3043" i="1"/>
  <c r="Y3043" i="1"/>
  <c r="X3043" i="1"/>
  <c r="AA3042" i="1"/>
  <c r="Z3042" i="1"/>
  <c r="Y3042" i="1"/>
  <c r="X3042" i="1"/>
  <c r="AA3041" i="1"/>
  <c r="Z3041" i="1"/>
  <c r="Y3041" i="1"/>
  <c r="X3041" i="1"/>
  <c r="AA3040" i="1"/>
  <c r="Z3040" i="1"/>
  <c r="Y3040" i="1"/>
  <c r="X3040" i="1"/>
  <c r="AA3039" i="1"/>
  <c r="Z3039" i="1"/>
  <c r="Y3039" i="1"/>
  <c r="X3039" i="1"/>
  <c r="AA3038" i="1"/>
  <c r="Z3038" i="1"/>
  <c r="Y3038" i="1"/>
  <c r="X3038" i="1"/>
  <c r="AA3037" i="1"/>
  <c r="Z3037" i="1"/>
  <c r="Y3037" i="1"/>
  <c r="X3037" i="1"/>
  <c r="AA3036" i="1"/>
  <c r="Z3036" i="1"/>
  <c r="Y3036" i="1"/>
  <c r="X3036" i="1"/>
  <c r="AA3035" i="1"/>
  <c r="Z3035" i="1"/>
  <c r="Y3035" i="1"/>
  <c r="X3035" i="1"/>
  <c r="AA3034" i="1"/>
  <c r="Z3034" i="1"/>
  <c r="Y3034" i="1"/>
  <c r="X3034" i="1"/>
  <c r="AA3033" i="1"/>
  <c r="Z3033" i="1"/>
  <c r="Y3033" i="1"/>
  <c r="X3033" i="1"/>
  <c r="AA3032" i="1"/>
  <c r="Z3032" i="1"/>
  <c r="Y3032" i="1"/>
  <c r="X3032" i="1"/>
  <c r="AA3031" i="1"/>
  <c r="Z3031" i="1"/>
  <c r="Y3031" i="1"/>
  <c r="X3031" i="1"/>
  <c r="AA3030" i="1"/>
  <c r="Z3030" i="1"/>
  <c r="Y3030" i="1"/>
  <c r="X3030" i="1"/>
  <c r="AA3029" i="1"/>
  <c r="Z3029" i="1"/>
  <c r="Y3029" i="1"/>
  <c r="X3029" i="1"/>
  <c r="AA3028" i="1"/>
  <c r="Z3028" i="1"/>
  <c r="Y3028" i="1"/>
  <c r="X3028" i="1"/>
  <c r="AA3027" i="1"/>
  <c r="Z3027" i="1"/>
  <c r="Y3027" i="1"/>
  <c r="X3027" i="1"/>
  <c r="AA3026" i="1"/>
  <c r="Z3026" i="1"/>
  <c r="Y3026" i="1"/>
  <c r="X3026" i="1"/>
  <c r="AA3025" i="1"/>
  <c r="Z3025" i="1"/>
  <c r="Y3025" i="1"/>
  <c r="X3025" i="1"/>
  <c r="AA3024" i="1"/>
  <c r="Z3024" i="1"/>
  <c r="Y3024" i="1"/>
  <c r="X3024" i="1"/>
  <c r="AA3023" i="1"/>
  <c r="Z3023" i="1"/>
  <c r="Y3023" i="1"/>
  <c r="X3023" i="1"/>
  <c r="AA3022" i="1"/>
  <c r="Z3022" i="1"/>
  <c r="Y3022" i="1"/>
  <c r="X3022" i="1"/>
  <c r="AA3021" i="1"/>
  <c r="Z3021" i="1"/>
  <c r="Y3021" i="1"/>
  <c r="X3021" i="1"/>
  <c r="AA3020" i="1"/>
  <c r="Z3020" i="1"/>
  <c r="Y3020" i="1"/>
  <c r="X3020" i="1"/>
  <c r="AA3019" i="1"/>
  <c r="Z3019" i="1"/>
  <c r="Y3019" i="1"/>
  <c r="X3019" i="1"/>
  <c r="AA3018" i="1"/>
  <c r="Z3018" i="1"/>
  <c r="Y3018" i="1"/>
  <c r="X3018" i="1"/>
  <c r="AA3017" i="1"/>
  <c r="Z3017" i="1"/>
  <c r="Y3017" i="1"/>
  <c r="X3017" i="1"/>
  <c r="AA3016" i="1"/>
  <c r="Z3016" i="1"/>
  <c r="Y3016" i="1"/>
  <c r="X3016" i="1"/>
  <c r="AA3015" i="1"/>
  <c r="Z3015" i="1"/>
  <c r="Y3015" i="1"/>
  <c r="X3015" i="1"/>
  <c r="AA3014" i="1"/>
  <c r="Z3014" i="1"/>
  <c r="Y3014" i="1"/>
  <c r="X3014" i="1"/>
  <c r="AA3013" i="1"/>
  <c r="Z3013" i="1"/>
  <c r="Y3013" i="1"/>
  <c r="X3013" i="1"/>
  <c r="AA3012" i="1"/>
  <c r="Z3012" i="1"/>
  <c r="Y3012" i="1"/>
  <c r="X3012" i="1"/>
  <c r="AA3011" i="1"/>
  <c r="Z3011" i="1"/>
  <c r="Y3011" i="1"/>
  <c r="X3011" i="1"/>
  <c r="AA3010" i="1"/>
  <c r="Z3010" i="1"/>
  <c r="Y3010" i="1"/>
  <c r="X3010" i="1"/>
  <c r="AA3009" i="1"/>
  <c r="Z3009" i="1"/>
  <c r="Y3009" i="1"/>
  <c r="X3009" i="1"/>
  <c r="AA3008" i="1"/>
  <c r="Z3008" i="1"/>
  <c r="Y3008" i="1"/>
  <c r="X3008" i="1"/>
  <c r="AA3007" i="1"/>
  <c r="Z3007" i="1"/>
  <c r="Y3007" i="1"/>
  <c r="X3007" i="1"/>
  <c r="AA3006" i="1"/>
  <c r="Z3006" i="1"/>
  <c r="Y3006" i="1"/>
  <c r="X3006" i="1"/>
  <c r="AA3005" i="1"/>
  <c r="Z3005" i="1"/>
  <c r="Y3005" i="1"/>
  <c r="X3005" i="1"/>
  <c r="AA3004" i="1"/>
  <c r="Z3004" i="1"/>
  <c r="Y3004" i="1"/>
  <c r="X3004" i="1"/>
  <c r="AA3003" i="1"/>
  <c r="Z3003" i="1"/>
  <c r="Y3003" i="1"/>
  <c r="X3003" i="1"/>
  <c r="AA3002" i="1"/>
  <c r="Z3002" i="1"/>
  <c r="Y3002" i="1"/>
  <c r="X3002" i="1"/>
  <c r="AA3001" i="1"/>
  <c r="Z3001" i="1"/>
  <c r="Y3001" i="1"/>
  <c r="X3001" i="1"/>
  <c r="AA3000" i="1"/>
  <c r="Z3000" i="1"/>
  <c r="Y3000" i="1"/>
  <c r="X3000" i="1"/>
  <c r="AA2999" i="1"/>
  <c r="Z2999" i="1"/>
  <c r="Y2999" i="1"/>
  <c r="X2999" i="1"/>
  <c r="AA2998" i="1"/>
  <c r="Z2998" i="1"/>
  <c r="Y2998" i="1"/>
  <c r="X2998" i="1"/>
  <c r="AA2997" i="1"/>
  <c r="Z2997" i="1"/>
  <c r="Y2997" i="1"/>
  <c r="X2997" i="1"/>
  <c r="AA2996" i="1"/>
  <c r="Z2996" i="1"/>
  <c r="Y2996" i="1"/>
  <c r="X2996" i="1"/>
  <c r="AA2995" i="1"/>
  <c r="Z2995" i="1"/>
  <c r="Y2995" i="1"/>
  <c r="X2995" i="1"/>
  <c r="AA2994" i="1"/>
  <c r="Z2994" i="1"/>
  <c r="Y2994" i="1"/>
  <c r="X2994" i="1"/>
  <c r="AA2993" i="1"/>
  <c r="Z2993" i="1"/>
  <c r="Y2993" i="1"/>
  <c r="X2993" i="1"/>
  <c r="AA2992" i="1"/>
  <c r="Z2992" i="1"/>
  <c r="Y2992" i="1"/>
  <c r="X2992" i="1"/>
  <c r="AA2991" i="1"/>
  <c r="Z2991" i="1"/>
  <c r="Y2991" i="1"/>
  <c r="X2991" i="1"/>
  <c r="AA2990" i="1"/>
  <c r="Z2990" i="1"/>
  <c r="Y2990" i="1"/>
  <c r="X2990" i="1"/>
  <c r="AA2989" i="1"/>
  <c r="Z2989" i="1"/>
  <c r="Y2989" i="1"/>
  <c r="X2989" i="1"/>
  <c r="AA2988" i="1"/>
  <c r="Z2988" i="1"/>
  <c r="Y2988" i="1"/>
  <c r="X2988" i="1"/>
  <c r="AA2987" i="1"/>
  <c r="Z2987" i="1"/>
  <c r="Y2987" i="1"/>
  <c r="X2987" i="1"/>
  <c r="AA2986" i="1"/>
  <c r="Z2986" i="1"/>
  <c r="Y2986" i="1"/>
  <c r="X2986" i="1"/>
  <c r="AA2985" i="1"/>
  <c r="Z2985" i="1"/>
  <c r="Y2985" i="1"/>
  <c r="X2985" i="1"/>
  <c r="AA2984" i="1"/>
  <c r="Z2984" i="1"/>
  <c r="Y2984" i="1"/>
  <c r="X2984" i="1"/>
  <c r="AA2983" i="1"/>
  <c r="Z2983" i="1"/>
  <c r="Y2983" i="1"/>
  <c r="X2983" i="1"/>
  <c r="AA2982" i="1"/>
  <c r="Z2982" i="1"/>
  <c r="Y2982" i="1"/>
  <c r="X2982" i="1"/>
  <c r="AA2981" i="1"/>
  <c r="Z2981" i="1"/>
  <c r="Y2981" i="1"/>
  <c r="X2981" i="1"/>
  <c r="AA2980" i="1"/>
  <c r="Z2980" i="1"/>
  <c r="Y2980" i="1"/>
  <c r="X2980" i="1"/>
  <c r="AA2979" i="1"/>
  <c r="Z2979" i="1"/>
  <c r="Y2979" i="1"/>
  <c r="X2979" i="1"/>
  <c r="AA2978" i="1"/>
  <c r="Z2978" i="1"/>
  <c r="Y2978" i="1"/>
  <c r="X2978" i="1"/>
  <c r="AA2977" i="1"/>
  <c r="Z2977" i="1"/>
  <c r="Y2977" i="1"/>
  <c r="X2977" i="1"/>
  <c r="AA2976" i="1"/>
  <c r="Z2976" i="1"/>
  <c r="Y2976" i="1"/>
  <c r="X2976" i="1"/>
  <c r="AA2975" i="1"/>
  <c r="Z2975" i="1"/>
  <c r="Y2975" i="1"/>
  <c r="X2975" i="1"/>
  <c r="AA2974" i="1"/>
  <c r="Z2974" i="1"/>
  <c r="Y2974" i="1"/>
  <c r="X2974" i="1"/>
  <c r="AA2973" i="1"/>
  <c r="Z2973" i="1"/>
  <c r="Y2973" i="1"/>
  <c r="X2973" i="1"/>
  <c r="AA2972" i="1"/>
  <c r="Z2972" i="1"/>
  <c r="Y2972" i="1"/>
  <c r="X2972" i="1"/>
  <c r="AA2971" i="1"/>
  <c r="Z2971" i="1"/>
  <c r="Y2971" i="1"/>
  <c r="X2971" i="1"/>
  <c r="AA2970" i="1"/>
  <c r="Z2970" i="1"/>
  <c r="Y2970" i="1"/>
  <c r="X2970" i="1"/>
  <c r="AA2969" i="1"/>
  <c r="Z2969" i="1"/>
  <c r="Y2969" i="1"/>
  <c r="X2969" i="1"/>
  <c r="AA2968" i="1"/>
  <c r="Z2968" i="1"/>
  <c r="Y2968" i="1"/>
  <c r="X2968" i="1"/>
  <c r="AA2967" i="1"/>
  <c r="Z2967" i="1"/>
  <c r="Y2967" i="1"/>
  <c r="X2967" i="1"/>
  <c r="AA2966" i="1"/>
  <c r="Z2966" i="1"/>
  <c r="Y2966" i="1"/>
  <c r="X2966" i="1"/>
  <c r="AA2965" i="1"/>
  <c r="Z2965" i="1"/>
  <c r="Y2965" i="1"/>
  <c r="X2965" i="1"/>
  <c r="AA2964" i="1"/>
  <c r="Z2964" i="1"/>
  <c r="Y2964" i="1"/>
  <c r="X2964" i="1"/>
  <c r="AA2963" i="1"/>
  <c r="Z2963" i="1"/>
  <c r="Y2963" i="1"/>
  <c r="X2963" i="1"/>
  <c r="AA2962" i="1"/>
  <c r="Z2962" i="1"/>
  <c r="Y2962" i="1"/>
  <c r="X2962" i="1"/>
  <c r="AA2961" i="1"/>
  <c r="Z2961" i="1"/>
  <c r="Y2961" i="1"/>
  <c r="X2961" i="1"/>
  <c r="AA2960" i="1"/>
  <c r="Z2960" i="1"/>
  <c r="Y2960" i="1"/>
  <c r="X2960" i="1"/>
  <c r="AA2959" i="1"/>
  <c r="Z2959" i="1"/>
  <c r="Y2959" i="1"/>
  <c r="X2959" i="1"/>
  <c r="AA2958" i="1"/>
  <c r="Z2958" i="1"/>
  <c r="Y2958" i="1"/>
  <c r="X2958" i="1"/>
  <c r="AA2957" i="1"/>
  <c r="Z2957" i="1"/>
  <c r="Y2957" i="1"/>
  <c r="X2957" i="1"/>
  <c r="AA2956" i="1"/>
  <c r="Z2956" i="1"/>
  <c r="Y2956" i="1"/>
  <c r="X2956" i="1"/>
  <c r="AA2955" i="1"/>
  <c r="Z2955" i="1"/>
  <c r="Y2955" i="1"/>
  <c r="X2955" i="1"/>
  <c r="AA2954" i="1"/>
  <c r="Z2954" i="1"/>
  <c r="Y2954" i="1"/>
  <c r="X2954" i="1"/>
  <c r="AA2953" i="1"/>
  <c r="Z2953" i="1"/>
  <c r="Y2953" i="1"/>
  <c r="X2953" i="1"/>
  <c r="AA2952" i="1"/>
  <c r="Z2952" i="1"/>
  <c r="Y2952" i="1"/>
  <c r="X2952" i="1"/>
  <c r="AA2951" i="1"/>
  <c r="Z2951" i="1"/>
  <c r="Y2951" i="1"/>
  <c r="X2951" i="1"/>
  <c r="AA2950" i="1"/>
  <c r="Z2950" i="1"/>
  <c r="Y2950" i="1"/>
  <c r="X2950" i="1"/>
  <c r="AA2949" i="1"/>
  <c r="Z2949" i="1"/>
  <c r="Y2949" i="1"/>
  <c r="X2949" i="1"/>
  <c r="AA2948" i="1"/>
  <c r="Z2948" i="1"/>
  <c r="Y2948" i="1"/>
  <c r="X2948" i="1"/>
  <c r="AA2947" i="1"/>
  <c r="Z2947" i="1"/>
  <c r="Y2947" i="1"/>
  <c r="X2947" i="1"/>
  <c r="AA2946" i="1"/>
  <c r="Z2946" i="1"/>
  <c r="Y2946" i="1"/>
  <c r="X2946" i="1"/>
  <c r="AA2945" i="1"/>
  <c r="Z2945" i="1"/>
  <c r="Y2945" i="1"/>
  <c r="X2945" i="1"/>
  <c r="AA2944" i="1"/>
  <c r="Z2944" i="1"/>
  <c r="Y2944" i="1"/>
  <c r="X2944" i="1"/>
  <c r="AA2943" i="1"/>
  <c r="Z2943" i="1"/>
  <c r="Y2943" i="1"/>
  <c r="X2943" i="1"/>
  <c r="AA2942" i="1"/>
  <c r="Z2942" i="1"/>
  <c r="Y2942" i="1"/>
  <c r="X2942" i="1"/>
  <c r="AA2941" i="1"/>
  <c r="Z2941" i="1"/>
  <c r="Y2941" i="1"/>
  <c r="X2941" i="1"/>
  <c r="AA2940" i="1"/>
  <c r="Z2940" i="1"/>
  <c r="Y2940" i="1"/>
  <c r="X2940" i="1"/>
  <c r="AA2939" i="1"/>
  <c r="Z2939" i="1"/>
  <c r="Y2939" i="1"/>
  <c r="X2939" i="1"/>
  <c r="AA2938" i="1"/>
  <c r="Z2938" i="1"/>
  <c r="Y2938" i="1"/>
  <c r="X2938" i="1"/>
  <c r="AA2937" i="1"/>
  <c r="Z2937" i="1"/>
  <c r="Y2937" i="1"/>
  <c r="X2937" i="1"/>
  <c r="AA2936" i="1"/>
  <c r="Z2936" i="1"/>
  <c r="Y2936" i="1"/>
  <c r="X2936" i="1"/>
  <c r="AA2935" i="1"/>
  <c r="Z2935" i="1"/>
  <c r="Y2935" i="1"/>
  <c r="X2935" i="1"/>
  <c r="AA2934" i="1"/>
  <c r="Z2934" i="1"/>
  <c r="Y2934" i="1"/>
  <c r="X2934" i="1"/>
  <c r="AA2933" i="1"/>
  <c r="Z2933" i="1"/>
  <c r="Y2933" i="1"/>
  <c r="X2933" i="1"/>
  <c r="AA2932" i="1"/>
  <c r="Z2932" i="1"/>
  <c r="Y2932" i="1"/>
  <c r="X2932" i="1"/>
  <c r="AA2931" i="1"/>
  <c r="Z2931" i="1"/>
  <c r="Y2931" i="1"/>
  <c r="X2931" i="1"/>
  <c r="AA2930" i="1"/>
  <c r="Z2930" i="1"/>
  <c r="Y2930" i="1"/>
  <c r="X2930" i="1"/>
  <c r="AA2929" i="1"/>
  <c r="Z2929" i="1"/>
  <c r="Y2929" i="1"/>
  <c r="X2929" i="1"/>
  <c r="AA2928" i="1"/>
  <c r="Z2928" i="1"/>
  <c r="Y2928" i="1"/>
  <c r="X2928" i="1"/>
  <c r="AA2927" i="1"/>
  <c r="Z2927" i="1"/>
  <c r="Y2927" i="1"/>
  <c r="X2927" i="1"/>
  <c r="AA2926" i="1"/>
  <c r="Z2926" i="1"/>
  <c r="Y2926" i="1"/>
  <c r="X2926" i="1"/>
  <c r="AA2925" i="1"/>
  <c r="Z2925" i="1"/>
  <c r="Y2925" i="1"/>
  <c r="X2925" i="1"/>
  <c r="AA2924" i="1"/>
  <c r="Z2924" i="1"/>
  <c r="Y2924" i="1"/>
  <c r="X2924" i="1"/>
  <c r="AA2923" i="1"/>
  <c r="Z2923" i="1"/>
  <c r="Y2923" i="1"/>
  <c r="X2923" i="1"/>
  <c r="AA2922" i="1"/>
  <c r="Z2922" i="1"/>
  <c r="Y2922" i="1"/>
  <c r="X2922" i="1"/>
  <c r="AA2921" i="1"/>
  <c r="Z2921" i="1"/>
  <c r="Y2921" i="1"/>
  <c r="X2921" i="1"/>
  <c r="AA2920" i="1"/>
  <c r="Z2920" i="1"/>
  <c r="Y2920" i="1"/>
  <c r="X2920" i="1"/>
  <c r="AA2919" i="1"/>
  <c r="Z2919" i="1"/>
  <c r="Y2919" i="1"/>
  <c r="X2919" i="1"/>
  <c r="AA2918" i="1"/>
  <c r="Z2918" i="1"/>
  <c r="Y2918" i="1"/>
  <c r="X2918" i="1"/>
  <c r="AA2917" i="1"/>
  <c r="Z2917" i="1"/>
  <c r="Y2917" i="1"/>
  <c r="X2917" i="1"/>
  <c r="AA2916" i="1"/>
  <c r="Z2916" i="1"/>
  <c r="Y2916" i="1"/>
  <c r="X2916" i="1"/>
  <c r="AA2915" i="1"/>
  <c r="Z2915" i="1"/>
  <c r="Y2915" i="1"/>
  <c r="X2915" i="1"/>
  <c r="AA2914" i="1"/>
  <c r="Z2914" i="1"/>
  <c r="Y2914" i="1"/>
  <c r="X2914" i="1"/>
  <c r="AA2913" i="1"/>
  <c r="Z2913" i="1"/>
  <c r="Y2913" i="1"/>
  <c r="X2913" i="1"/>
  <c r="AA2912" i="1"/>
  <c r="Z2912" i="1"/>
  <c r="Y2912" i="1"/>
  <c r="X2912" i="1"/>
  <c r="AA2911" i="1"/>
  <c r="Z2911" i="1"/>
  <c r="Y2911" i="1"/>
  <c r="X2911" i="1"/>
  <c r="AA2910" i="1"/>
  <c r="Z2910" i="1"/>
  <c r="Y2910" i="1"/>
  <c r="X2910" i="1"/>
  <c r="AA2909" i="1"/>
  <c r="Z2909" i="1"/>
  <c r="Y2909" i="1"/>
  <c r="X2909" i="1"/>
  <c r="AA2908" i="1"/>
  <c r="Z2908" i="1"/>
  <c r="Y2908" i="1"/>
  <c r="X2908" i="1"/>
  <c r="AA2907" i="1"/>
  <c r="Z2907" i="1"/>
  <c r="Y2907" i="1"/>
  <c r="X2907" i="1"/>
  <c r="AA2906" i="1"/>
  <c r="Z2906" i="1"/>
  <c r="Y2906" i="1"/>
  <c r="X2906" i="1"/>
  <c r="AA2905" i="1"/>
  <c r="Z2905" i="1"/>
  <c r="Y2905" i="1"/>
  <c r="X2905" i="1"/>
  <c r="AA2904" i="1"/>
  <c r="Z2904" i="1"/>
  <c r="Y2904" i="1"/>
  <c r="X2904" i="1"/>
  <c r="AA2903" i="1"/>
  <c r="Z2903" i="1"/>
  <c r="Y2903" i="1"/>
  <c r="X2903" i="1"/>
  <c r="AA2902" i="1"/>
  <c r="Z2902" i="1"/>
  <c r="Y2902" i="1"/>
  <c r="X2902" i="1"/>
  <c r="AA2901" i="1"/>
  <c r="Z2901" i="1"/>
  <c r="Y2901" i="1"/>
  <c r="X2901" i="1"/>
  <c r="AA2900" i="1"/>
  <c r="Z2900" i="1"/>
  <c r="Y2900" i="1"/>
  <c r="X2900" i="1"/>
  <c r="AA2899" i="1"/>
  <c r="Z2899" i="1"/>
  <c r="Y2899" i="1"/>
  <c r="X2899" i="1"/>
  <c r="AA2898" i="1"/>
  <c r="Z2898" i="1"/>
  <c r="Y2898" i="1"/>
  <c r="X2898" i="1"/>
  <c r="AA2897" i="1"/>
  <c r="Z2897" i="1"/>
  <c r="Y2897" i="1"/>
  <c r="X2897" i="1"/>
  <c r="AA2896" i="1"/>
  <c r="Z2896" i="1"/>
  <c r="Y2896" i="1"/>
  <c r="X2896" i="1"/>
  <c r="AA2895" i="1"/>
  <c r="Z2895" i="1"/>
  <c r="Y2895" i="1"/>
  <c r="X2895" i="1"/>
  <c r="AA2894" i="1"/>
  <c r="Z2894" i="1"/>
  <c r="Y2894" i="1"/>
  <c r="X2894" i="1"/>
  <c r="AA2893" i="1"/>
  <c r="Z2893" i="1"/>
  <c r="Y2893" i="1"/>
  <c r="X2893" i="1"/>
  <c r="AA2892" i="1"/>
  <c r="Z2892" i="1"/>
  <c r="Y2892" i="1"/>
  <c r="X2892" i="1"/>
  <c r="AA2891" i="1"/>
  <c r="Z2891" i="1"/>
  <c r="Y2891" i="1"/>
  <c r="X2891" i="1"/>
  <c r="AA2890" i="1"/>
  <c r="Z2890" i="1"/>
  <c r="Y2890" i="1"/>
  <c r="X2890" i="1"/>
  <c r="AA2889" i="1"/>
  <c r="Z2889" i="1"/>
  <c r="Y2889" i="1"/>
  <c r="X2889" i="1"/>
  <c r="AA2888" i="1"/>
  <c r="Z2888" i="1"/>
  <c r="Y2888" i="1"/>
  <c r="X2888" i="1"/>
  <c r="AA2887" i="1"/>
  <c r="Z2887" i="1"/>
  <c r="Y2887" i="1"/>
  <c r="X2887" i="1"/>
  <c r="AA2886" i="1"/>
  <c r="Z2886" i="1"/>
  <c r="Y2886" i="1"/>
  <c r="X2886" i="1"/>
  <c r="AA2885" i="1"/>
  <c r="Z2885" i="1"/>
  <c r="Y2885" i="1"/>
  <c r="X2885" i="1"/>
  <c r="AA2884" i="1"/>
  <c r="Z2884" i="1"/>
  <c r="Y2884" i="1"/>
  <c r="X2884" i="1"/>
  <c r="AA2883" i="1"/>
  <c r="Z2883" i="1"/>
  <c r="Y2883" i="1"/>
  <c r="X2883" i="1"/>
  <c r="AA2882" i="1"/>
  <c r="Z2882" i="1"/>
  <c r="Y2882" i="1"/>
  <c r="X2882" i="1"/>
  <c r="AA2881" i="1"/>
  <c r="Z2881" i="1"/>
  <c r="Y2881" i="1"/>
  <c r="X2881" i="1"/>
  <c r="AA2880" i="1"/>
  <c r="Z2880" i="1"/>
  <c r="Y2880" i="1"/>
  <c r="X2880" i="1"/>
  <c r="AA2879" i="1"/>
  <c r="Z2879" i="1"/>
  <c r="Y2879" i="1"/>
  <c r="X2879" i="1"/>
  <c r="AA2878" i="1"/>
  <c r="Z2878" i="1"/>
  <c r="Y2878" i="1"/>
  <c r="X2878" i="1"/>
  <c r="AA2877" i="1"/>
  <c r="Z2877" i="1"/>
  <c r="Y2877" i="1"/>
  <c r="X2877" i="1"/>
  <c r="AA2876" i="1"/>
  <c r="Z2876" i="1"/>
  <c r="Y2876" i="1"/>
  <c r="X2876" i="1"/>
  <c r="AA2875" i="1"/>
  <c r="Z2875" i="1"/>
  <c r="Y2875" i="1"/>
  <c r="X2875" i="1"/>
  <c r="AA2874" i="1"/>
  <c r="Z2874" i="1"/>
  <c r="Y2874" i="1"/>
  <c r="X2874" i="1"/>
  <c r="AA2873" i="1"/>
  <c r="Z2873" i="1"/>
  <c r="Y2873" i="1"/>
  <c r="X2873" i="1"/>
  <c r="AA2872" i="1"/>
  <c r="Z2872" i="1"/>
  <c r="Y2872" i="1"/>
  <c r="X2872" i="1"/>
  <c r="AA2871" i="1"/>
  <c r="Z2871" i="1"/>
  <c r="Y2871" i="1"/>
  <c r="X2871" i="1"/>
  <c r="AA2870" i="1"/>
  <c r="Z2870" i="1"/>
  <c r="Y2870" i="1"/>
  <c r="X2870" i="1"/>
  <c r="AA2869" i="1"/>
  <c r="Z2869" i="1"/>
  <c r="Y2869" i="1"/>
  <c r="X2869" i="1"/>
  <c r="AA2868" i="1"/>
  <c r="Z2868" i="1"/>
  <c r="Y2868" i="1"/>
  <c r="X2868" i="1"/>
  <c r="AA2867" i="1"/>
  <c r="Z2867" i="1"/>
  <c r="Y2867" i="1"/>
  <c r="X2867" i="1"/>
  <c r="AA2866" i="1"/>
  <c r="Z2866" i="1"/>
  <c r="Y2866" i="1"/>
  <c r="X2866" i="1"/>
  <c r="AA2865" i="1"/>
  <c r="Z2865" i="1"/>
  <c r="Y2865" i="1"/>
  <c r="X2865" i="1"/>
  <c r="AA2864" i="1"/>
  <c r="Z2864" i="1"/>
  <c r="Y2864" i="1"/>
  <c r="X2864" i="1"/>
  <c r="AA2863" i="1"/>
  <c r="Z2863" i="1"/>
  <c r="Y2863" i="1"/>
  <c r="X2863" i="1"/>
  <c r="AA2862" i="1"/>
  <c r="Z2862" i="1"/>
  <c r="Y2862" i="1"/>
  <c r="X2862" i="1"/>
  <c r="AA2861" i="1"/>
  <c r="Z2861" i="1"/>
  <c r="Y2861" i="1"/>
  <c r="X2861" i="1"/>
  <c r="AA2860" i="1"/>
  <c r="Z2860" i="1"/>
  <c r="Y2860" i="1"/>
  <c r="X2860" i="1"/>
  <c r="AA2859" i="1"/>
  <c r="Z2859" i="1"/>
  <c r="Y2859" i="1"/>
  <c r="X2859" i="1"/>
  <c r="AA2858" i="1"/>
  <c r="Z2858" i="1"/>
  <c r="Y2858" i="1"/>
  <c r="X2858" i="1"/>
  <c r="AA2857" i="1"/>
  <c r="Z2857" i="1"/>
  <c r="Y2857" i="1"/>
  <c r="X2857" i="1"/>
  <c r="AA2856" i="1"/>
  <c r="Z2856" i="1"/>
  <c r="Y2856" i="1"/>
  <c r="X2856" i="1"/>
  <c r="AA2855" i="1"/>
  <c r="Z2855" i="1"/>
  <c r="Y2855" i="1"/>
  <c r="X2855" i="1"/>
  <c r="AA2854" i="1"/>
  <c r="Z2854" i="1"/>
  <c r="Y2854" i="1"/>
  <c r="X2854" i="1"/>
  <c r="AA2853" i="1"/>
  <c r="Z2853" i="1"/>
  <c r="Y2853" i="1"/>
  <c r="X2853" i="1"/>
  <c r="AA2852" i="1"/>
  <c r="Z2852" i="1"/>
  <c r="Y2852" i="1"/>
  <c r="X2852" i="1"/>
  <c r="AA2851" i="1"/>
  <c r="Z2851" i="1"/>
  <c r="Y2851" i="1"/>
  <c r="X2851" i="1"/>
  <c r="AA2850" i="1"/>
  <c r="Z2850" i="1"/>
  <c r="Y2850" i="1"/>
  <c r="X2850" i="1"/>
  <c r="AA2849" i="1"/>
  <c r="Z2849" i="1"/>
  <c r="Y2849" i="1"/>
  <c r="X2849" i="1"/>
  <c r="AA2848" i="1"/>
  <c r="Z2848" i="1"/>
  <c r="Y2848" i="1"/>
  <c r="X2848" i="1"/>
  <c r="AA2847" i="1"/>
  <c r="Z2847" i="1"/>
  <c r="Y2847" i="1"/>
  <c r="X2847" i="1"/>
  <c r="AA2846" i="1"/>
  <c r="Z2846" i="1"/>
  <c r="Y2846" i="1"/>
  <c r="X2846" i="1"/>
  <c r="AA2845" i="1"/>
  <c r="Z2845" i="1"/>
  <c r="Y2845" i="1"/>
  <c r="X2845" i="1"/>
  <c r="AA2844" i="1"/>
  <c r="Z2844" i="1"/>
  <c r="Y2844" i="1"/>
  <c r="X2844" i="1"/>
  <c r="AA2843" i="1"/>
  <c r="Z2843" i="1"/>
  <c r="Y2843" i="1"/>
  <c r="X2843" i="1"/>
  <c r="AA2842" i="1"/>
  <c r="Z2842" i="1"/>
  <c r="Y2842" i="1"/>
  <c r="X2842" i="1"/>
  <c r="AA2841" i="1"/>
  <c r="Z2841" i="1"/>
  <c r="Y2841" i="1"/>
  <c r="X2841" i="1"/>
  <c r="AA2840" i="1"/>
  <c r="Z2840" i="1"/>
  <c r="Y2840" i="1"/>
  <c r="X2840" i="1"/>
  <c r="AA2839" i="1"/>
  <c r="Z2839" i="1"/>
  <c r="Y2839" i="1"/>
  <c r="X2839" i="1"/>
  <c r="AA2838" i="1"/>
  <c r="Z2838" i="1"/>
  <c r="Y2838" i="1"/>
  <c r="X2838" i="1"/>
  <c r="AA2837" i="1"/>
  <c r="Z2837" i="1"/>
  <c r="Y2837" i="1"/>
  <c r="X2837" i="1"/>
  <c r="AA2836" i="1"/>
  <c r="Z2836" i="1"/>
  <c r="Y2836" i="1"/>
  <c r="X2836" i="1"/>
  <c r="AA2835" i="1"/>
  <c r="Z2835" i="1"/>
  <c r="Y2835" i="1"/>
  <c r="X2835" i="1"/>
  <c r="AA2834" i="1"/>
  <c r="Z2834" i="1"/>
  <c r="Y2834" i="1"/>
  <c r="X2834" i="1"/>
  <c r="AA2833" i="1"/>
  <c r="Z2833" i="1"/>
  <c r="Y2833" i="1"/>
  <c r="X2833" i="1"/>
  <c r="AA2832" i="1"/>
  <c r="Z2832" i="1"/>
  <c r="Y2832" i="1"/>
  <c r="X2832" i="1"/>
  <c r="AA2831" i="1"/>
  <c r="Z2831" i="1"/>
  <c r="Y2831" i="1"/>
  <c r="X2831" i="1"/>
  <c r="AA2830" i="1"/>
  <c r="Z2830" i="1"/>
  <c r="Y2830" i="1"/>
  <c r="X2830" i="1"/>
  <c r="AA2829" i="1"/>
  <c r="Z2829" i="1"/>
  <c r="Y2829" i="1"/>
  <c r="X2829" i="1"/>
  <c r="AA2828" i="1"/>
  <c r="Z2828" i="1"/>
  <c r="Y2828" i="1"/>
  <c r="X2828" i="1"/>
  <c r="AA2827" i="1"/>
  <c r="Z2827" i="1"/>
  <c r="Y2827" i="1"/>
  <c r="X2827" i="1"/>
  <c r="AA2826" i="1"/>
  <c r="Z2826" i="1"/>
  <c r="Y2826" i="1"/>
  <c r="X2826" i="1"/>
  <c r="AA2825" i="1"/>
  <c r="Z2825" i="1"/>
  <c r="Y2825" i="1"/>
  <c r="X2825" i="1"/>
  <c r="AA2824" i="1"/>
  <c r="Z2824" i="1"/>
  <c r="Y2824" i="1"/>
  <c r="X2824" i="1"/>
  <c r="AA2823" i="1"/>
  <c r="Z2823" i="1"/>
  <c r="Y2823" i="1"/>
  <c r="X2823" i="1"/>
  <c r="AA2822" i="1"/>
  <c r="Z2822" i="1"/>
  <c r="Y2822" i="1"/>
  <c r="X2822" i="1"/>
  <c r="AA2821" i="1"/>
  <c r="Z2821" i="1"/>
  <c r="Y2821" i="1"/>
  <c r="X2821" i="1"/>
  <c r="AA2820" i="1"/>
  <c r="Z2820" i="1"/>
  <c r="Y2820" i="1"/>
  <c r="X2820" i="1"/>
  <c r="AA2819" i="1"/>
  <c r="Z2819" i="1"/>
  <c r="Y2819" i="1"/>
  <c r="X2819" i="1"/>
  <c r="AA2818" i="1"/>
  <c r="Z2818" i="1"/>
  <c r="Y2818" i="1"/>
  <c r="X2818" i="1"/>
  <c r="AA2817" i="1"/>
  <c r="Z2817" i="1"/>
  <c r="Y2817" i="1"/>
  <c r="X2817" i="1"/>
  <c r="AA2816" i="1"/>
  <c r="Z2816" i="1"/>
  <c r="Y2816" i="1"/>
  <c r="X2816" i="1"/>
  <c r="AA2815" i="1"/>
  <c r="Z2815" i="1"/>
  <c r="Y2815" i="1"/>
  <c r="X2815" i="1"/>
  <c r="AA2814" i="1"/>
  <c r="Z2814" i="1"/>
  <c r="Y2814" i="1"/>
  <c r="X2814" i="1"/>
  <c r="AA2813" i="1"/>
  <c r="Z2813" i="1"/>
  <c r="Y2813" i="1"/>
  <c r="X2813" i="1"/>
  <c r="AA2812" i="1"/>
  <c r="Z2812" i="1"/>
  <c r="Y2812" i="1"/>
  <c r="X2812" i="1"/>
  <c r="AA2811" i="1"/>
  <c r="Z2811" i="1"/>
  <c r="Y2811" i="1"/>
  <c r="X2811" i="1"/>
  <c r="AA2810" i="1"/>
  <c r="Z2810" i="1"/>
  <c r="Y2810" i="1"/>
  <c r="X2810" i="1"/>
  <c r="AA2809" i="1"/>
  <c r="Z2809" i="1"/>
  <c r="Y2809" i="1"/>
  <c r="X2809" i="1"/>
  <c r="AA2808" i="1"/>
  <c r="Z2808" i="1"/>
  <c r="Y2808" i="1"/>
  <c r="X2808" i="1"/>
  <c r="AA2807" i="1"/>
  <c r="Z2807" i="1"/>
  <c r="Y2807" i="1"/>
  <c r="X2807" i="1"/>
  <c r="AA2806" i="1"/>
  <c r="Z2806" i="1"/>
  <c r="Y2806" i="1"/>
  <c r="X2806" i="1"/>
  <c r="AA2805" i="1"/>
  <c r="Z2805" i="1"/>
  <c r="Y2805" i="1"/>
  <c r="X2805" i="1"/>
  <c r="AA2804" i="1"/>
  <c r="Z2804" i="1"/>
  <c r="Y2804" i="1"/>
  <c r="X2804" i="1"/>
  <c r="AA2803" i="1"/>
  <c r="Z2803" i="1"/>
  <c r="Y2803" i="1"/>
  <c r="X2803" i="1"/>
  <c r="AA2802" i="1"/>
  <c r="Z2802" i="1"/>
  <c r="Y2802" i="1"/>
  <c r="X2802" i="1"/>
  <c r="AA2801" i="1"/>
  <c r="Z2801" i="1"/>
  <c r="Y2801" i="1"/>
  <c r="X2801" i="1"/>
  <c r="AA2800" i="1"/>
  <c r="Z2800" i="1"/>
  <c r="Y2800" i="1"/>
  <c r="X2800" i="1"/>
  <c r="AA2799" i="1"/>
  <c r="Z2799" i="1"/>
  <c r="Y2799" i="1"/>
  <c r="X2799" i="1"/>
  <c r="AA2798" i="1"/>
  <c r="Z2798" i="1"/>
  <c r="Y2798" i="1"/>
  <c r="X2798" i="1"/>
  <c r="AA2797" i="1"/>
  <c r="Z2797" i="1"/>
  <c r="Y2797" i="1"/>
  <c r="X2797" i="1"/>
  <c r="AA2796" i="1"/>
  <c r="Z2796" i="1"/>
  <c r="Y2796" i="1"/>
  <c r="X2796" i="1"/>
  <c r="AA2795" i="1"/>
  <c r="Z2795" i="1"/>
  <c r="Y2795" i="1"/>
  <c r="X2795" i="1"/>
  <c r="AA2794" i="1"/>
  <c r="Z2794" i="1"/>
  <c r="Y2794" i="1"/>
  <c r="X2794" i="1"/>
  <c r="AA2793" i="1"/>
  <c r="Z2793" i="1"/>
  <c r="Y2793" i="1"/>
  <c r="X2793" i="1"/>
  <c r="AA2792" i="1"/>
  <c r="Z2792" i="1"/>
  <c r="Y2792" i="1"/>
  <c r="X2792" i="1"/>
  <c r="AA2791" i="1"/>
  <c r="Z2791" i="1"/>
  <c r="Y2791" i="1"/>
  <c r="X2791" i="1"/>
  <c r="AA2790" i="1"/>
  <c r="Z2790" i="1"/>
  <c r="Y2790" i="1"/>
  <c r="X2790" i="1"/>
  <c r="AA2789" i="1"/>
  <c r="Z2789" i="1"/>
  <c r="Y2789" i="1"/>
  <c r="X2789" i="1"/>
  <c r="AA2788" i="1"/>
  <c r="Z2788" i="1"/>
  <c r="Y2788" i="1"/>
  <c r="X2788" i="1"/>
  <c r="AA2787" i="1"/>
  <c r="Z2787" i="1"/>
  <c r="Y2787" i="1"/>
  <c r="X2787" i="1"/>
  <c r="AA2786" i="1"/>
  <c r="Z2786" i="1"/>
  <c r="Y2786" i="1"/>
  <c r="X2786" i="1"/>
  <c r="AA2785" i="1"/>
  <c r="Z2785" i="1"/>
  <c r="Y2785" i="1"/>
  <c r="X2785" i="1"/>
  <c r="AA2784" i="1"/>
  <c r="Z2784" i="1"/>
  <c r="Y2784" i="1"/>
  <c r="X2784" i="1"/>
  <c r="AA2783" i="1"/>
  <c r="Z2783" i="1"/>
  <c r="Y2783" i="1"/>
  <c r="X2783" i="1"/>
  <c r="AA2782" i="1"/>
  <c r="Z2782" i="1"/>
  <c r="Y2782" i="1"/>
  <c r="X2782" i="1"/>
  <c r="AA2781" i="1"/>
  <c r="Z2781" i="1"/>
  <c r="Y2781" i="1"/>
  <c r="X2781" i="1"/>
  <c r="AA2780" i="1"/>
  <c r="Z2780" i="1"/>
  <c r="Y2780" i="1"/>
  <c r="X2780" i="1"/>
  <c r="AA2779" i="1"/>
  <c r="Z2779" i="1"/>
  <c r="Y2779" i="1"/>
  <c r="X2779" i="1"/>
  <c r="AA2778" i="1"/>
  <c r="Z2778" i="1"/>
  <c r="Y2778" i="1"/>
  <c r="X2778" i="1"/>
  <c r="AA2777" i="1"/>
  <c r="Z2777" i="1"/>
  <c r="Y2777" i="1"/>
  <c r="X2777" i="1"/>
  <c r="AA2776" i="1"/>
  <c r="Z2776" i="1"/>
  <c r="Y2776" i="1"/>
  <c r="X2776" i="1"/>
  <c r="AA2775" i="1"/>
  <c r="Z2775" i="1"/>
  <c r="Y2775" i="1"/>
  <c r="X2775" i="1"/>
  <c r="AA2774" i="1"/>
  <c r="Z2774" i="1"/>
  <c r="Y2774" i="1"/>
  <c r="X2774" i="1"/>
  <c r="AA2773" i="1"/>
  <c r="Z2773" i="1"/>
  <c r="Y2773" i="1"/>
  <c r="X2773" i="1"/>
  <c r="AA2772" i="1"/>
  <c r="Z2772" i="1"/>
  <c r="Y2772" i="1"/>
  <c r="X2772" i="1"/>
  <c r="AA2771" i="1"/>
  <c r="Z2771" i="1"/>
  <c r="Y2771" i="1"/>
  <c r="X2771" i="1"/>
  <c r="AA2770" i="1"/>
  <c r="Z2770" i="1"/>
  <c r="Y2770" i="1"/>
  <c r="X2770" i="1"/>
  <c r="AA2769" i="1"/>
  <c r="Z2769" i="1"/>
  <c r="Y2769" i="1"/>
  <c r="X2769" i="1"/>
  <c r="AA2768" i="1"/>
  <c r="Z2768" i="1"/>
  <c r="Y2768" i="1"/>
  <c r="X2768" i="1"/>
  <c r="AA2767" i="1"/>
  <c r="Z2767" i="1"/>
  <c r="Y2767" i="1"/>
  <c r="X2767" i="1"/>
  <c r="AA2766" i="1"/>
  <c r="Z2766" i="1"/>
  <c r="Y2766" i="1"/>
  <c r="X2766" i="1"/>
  <c r="AA2765" i="1"/>
  <c r="Z2765" i="1"/>
  <c r="Y2765" i="1"/>
  <c r="X2765" i="1"/>
  <c r="AA2764" i="1"/>
  <c r="Z2764" i="1"/>
  <c r="Y2764" i="1"/>
  <c r="X2764" i="1"/>
  <c r="AA2763" i="1"/>
  <c r="Z2763" i="1"/>
  <c r="Y2763" i="1"/>
  <c r="X2763" i="1"/>
  <c r="AA2762" i="1"/>
  <c r="Z2762" i="1"/>
  <c r="Y2762" i="1"/>
  <c r="X2762" i="1"/>
  <c r="AA2761" i="1"/>
  <c r="Z2761" i="1"/>
  <c r="Y2761" i="1"/>
  <c r="X2761" i="1"/>
  <c r="AA2760" i="1"/>
  <c r="Z2760" i="1"/>
  <c r="Y2760" i="1"/>
  <c r="X2760" i="1"/>
  <c r="AA2759" i="1"/>
  <c r="Z2759" i="1"/>
  <c r="Y2759" i="1"/>
  <c r="X2759" i="1"/>
  <c r="AA2758" i="1"/>
  <c r="Z2758" i="1"/>
  <c r="Y2758" i="1"/>
  <c r="X2758" i="1"/>
  <c r="AA2757" i="1"/>
  <c r="Z2757" i="1"/>
  <c r="Y2757" i="1"/>
  <c r="X2757" i="1"/>
  <c r="AA2756" i="1"/>
  <c r="Z2756" i="1"/>
  <c r="Y2756" i="1"/>
  <c r="X2756" i="1"/>
  <c r="AA2755" i="1"/>
  <c r="Z2755" i="1"/>
  <c r="Y2755" i="1"/>
  <c r="X2755" i="1"/>
  <c r="AA2754" i="1"/>
  <c r="Z2754" i="1"/>
  <c r="Y2754" i="1"/>
  <c r="X2754" i="1"/>
  <c r="AA2753" i="1"/>
  <c r="Z2753" i="1"/>
  <c r="Y2753" i="1"/>
  <c r="X2753" i="1"/>
  <c r="AA2752" i="1"/>
  <c r="Z2752" i="1"/>
  <c r="Y2752" i="1"/>
  <c r="X2752" i="1"/>
  <c r="AA2751" i="1"/>
  <c r="Z2751" i="1"/>
  <c r="Y2751" i="1"/>
  <c r="X2751" i="1"/>
  <c r="AA2750" i="1"/>
  <c r="Z2750" i="1"/>
  <c r="Y2750" i="1"/>
  <c r="X2750" i="1"/>
  <c r="AA2749" i="1"/>
  <c r="Z2749" i="1"/>
  <c r="Y2749" i="1"/>
  <c r="X2749" i="1"/>
  <c r="AA2748" i="1"/>
  <c r="Z2748" i="1"/>
  <c r="Y2748" i="1"/>
  <c r="X2748" i="1"/>
  <c r="AA2747" i="1"/>
  <c r="Z2747" i="1"/>
  <c r="Y2747" i="1"/>
  <c r="X2747" i="1"/>
  <c r="AA2746" i="1"/>
  <c r="Z2746" i="1"/>
  <c r="Y2746" i="1"/>
  <c r="X2746" i="1"/>
  <c r="AA2745" i="1"/>
  <c r="Z2745" i="1"/>
  <c r="Y2745" i="1"/>
  <c r="X2745" i="1"/>
  <c r="AA2744" i="1"/>
  <c r="Z2744" i="1"/>
  <c r="Y2744" i="1"/>
  <c r="X2744" i="1"/>
  <c r="AA2743" i="1"/>
  <c r="Z2743" i="1"/>
  <c r="Y2743" i="1"/>
  <c r="X2743" i="1"/>
  <c r="AA2742" i="1"/>
  <c r="Z2742" i="1"/>
  <c r="Y2742" i="1"/>
  <c r="X2742" i="1"/>
  <c r="AA2741" i="1"/>
  <c r="Z2741" i="1"/>
  <c r="Y2741" i="1"/>
  <c r="X2741" i="1"/>
  <c r="AA2740" i="1"/>
  <c r="Z2740" i="1"/>
  <c r="Y2740" i="1"/>
  <c r="X2740" i="1"/>
  <c r="AA2739" i="1"/>
  <c r="Z2739" i="1"/>
  <c r="Y2739" i="1"/>
  <c r="X2739" i="1"/>
  <c r="AA2738" i="1"/>
  <c r="Z2738" i="1"/>
  <c r="Y2738" i="1"/>
  <c r="X2738" i="1"/>
  <c r="AA2737" i="1"/>
  <c r="Z2737" i="1"/>
  <c r="Y2737" i="1"/>
  <c r="X2737" i="1"/>
  <c r="AA2736" i="1"/>
  <c r="Z2736" i="1"/>
  <c r="Y2736" i="1"/>
  <c r="X2736" i="1"/>
  <c r="AA2735" i="1"/>
  <c r="Z2735" i="1"/>
  <c r="Y2735" i="1"/>
  <c r="X2735" i="1"/>
  <c r="AA2734" i="1"/>
  <c r="Z2734" i="1"/>
  <c r="Y2734" i="1"/>
  <c r="X2734" i="1"/>
  <c r="AA2733" i="1"/>
  <c r="Z2733" i="1"/>
  <c r="Y2733" i="1"/>
  <c r="X2733" i="1"/>
  <c r="AA2732" i="1"/>
  <c r="Z2732" i="1"/>
  <c r="Y2732" i="1"/>
  <c r="X2732" i="1"/>
  <c r="AA2731" i="1"/>
  <c r="Z2731" i="1"/>
  <c r="Y2731" i="1"/>
  <c r="X2731" i="1"/>
  <c r="AA2730" i="1"/>
  <c r="Z2730" i="1"/>
  <c r="Y2730" i="1"/>
  <c r="X2730" i="1"/>
  <c r="AA2729" i="1"/>
  <c r="Z2729" i="1"/>
  <c r="Y2729" i="1"/>
  <c r="X2729" i="1"/>
  <c r="AA2728" i="1"/>
  <c r="Z2728" i="1"/>
  <c r="Y2728" i="1"/>
  <c r="X2728" i="1"/>
  <c r="AA2727" i="1"/>
  <c r="Z2727" i="1"/>
  <c r="Y2727" i="1"/>
  <c r="X2727" i="1"/>
  <c r="AA2726" i="1"/>
  <c r="Z2726" i="1"/>
  <c r="Y2726" i="1"/>
  <c r="X2726" i="1"/>
  <c r="AA2725" i="1"/>
  <c r="Z2725" i="1"/>
  <c r="Y2725" i="1"/>
  <c r="X2725" i="1"/>
  <c r="AA2724" i="1"/>
  <c r="Z2724" i="1"/>
  <c r="Y2724" i="1"/>
  <c r="X2724" i="1"/>
  <c r="AA2723" i="1"/>
  <c r="Z2723" i="1"/>
  <c r="Y2723" i="1"/>
  <c r="X2723" i="1"/>
  <c r="AA2722" i="1"/>
  <c r="Z2722" i="1"/>
  <c r="Y2722" i="1"/>
  <c r="X2722" i="1"/>
  <c r="AA2721" i="1"/>
  <c r="Z2721" i="1"/>
  <c r="Y2721" i="1"/>
  <c r="X2721" i="1"/>
  <c r="AA2720" i="1"/>
  <c r="Z2720" i="1"/>
  <c r="Y2720" i="1"/>
  <c r="X2720" i="1"/>
  <c r="AA2719" i="1"/>
  <c r="Z2719" i="1"/>
  <c r="Y2719" i="1"/>
  <c r="X2719" i="1"/>
  <c r="AA2718" i="1"/>
  <c r="Z2718" i="1"/>
  <c r="Y2718" i="1"/>
  <c r="X2718" i="1"/>
  <c r="AA2717" i="1"/>
  <c r="Z2717" i="1"/>
  <c r="Y2717" i="1"/>
  <c r="X2717" i="1"/>
  <c r="AA2716" i="1"/>
  <c r="Z2716" i="1"/>
  <c r="Y2716" i="1"/>
  <c r="X2716" i="1"/>
  <c r="AA2715" i="1"/>
  <c r="Z2715" i="1"/>
  <c r="Y2715" i="1"/>
  <c r="X2715" i="1"/>
  <c r="AA2714" i="1"/>
  <c r="Z2714" i="1"/>
  <c r="Y2714" i="1"/>
  <c r="X2714" i="1"/>
  <c r="AA2713" i="1"/>
  <c r="Z2713" i="1"/>
  <c r="Y2713" i="1"/>
  <c r="X2713" i="1"/>
  <c r="AA2712" i="1"/>
  <c r="Z2712" i="1"/>
  <c r="Y2712" i="1"/>
  <c r="X2712" i="1"/>
  <c r="AA2711" i="1"/>
  <c r="Z2711" i="1"/>
  <c r="Y2711" i="1"/>
  <c r="X2711" i="1"/>
  <c r="AA2710" i="1"/>
  <c r="Z2710" i="1"/>
  <c r="Y2710" i="1"/>
  <c r="X2710" i="1"/>
  <c r="AA2709" i="1"/>
  <c r="Z2709" i="1"/>
  <c r="Y2709" i="1"/>
  <c r="X2709" i="1"/>
  <c r="AA2708" i="1"/>
  <c r="Z2708" i="1"/>
  <c r="Y2708" i="1"/>
  <c r="X2708" i="1"/>
  <c r="AA2707" i="1"/>
  <c r="Z2707" i="1"/>
  <c r="Y2707" i="1"/>
  <c r="X2707" i="1"/>
  <c r="AA2706" i="1"/>
  <c r="Z2706" i="1"/>
  <c r="Y2706" i="1"/>
  <c r="X2706" i="1"/>
  <c r="AA2705" i="1"/>
  <c r="Z2705" i="1"/>
  <c r="Y2705" i="1"/>
  <c r="X2705" i="1"/>
  <c r="AA2704" i="1"/>
  <c r="Z2704" i="1"/>
  <c r="Y2704" i="1"/>
  <c r="X2704" i="1"/>
  <c r="AA2703" i="1"/>
  <c r="Z2703" i="1"/>
  <c r="Y2703" i="1"/>
  <c r="X2703" i="1"/>
  <c r="AA2702" i="1"/>
  <c r="Z2702" i="1"/>
  <c r="Y2702" i="1"/>
  <c r="X2702" i="1"/>
  <c r="AA2701" i="1"/>
  <c r="Z2701" i="1"/>
  <c r="Y2701" i="1"/>
  <c r="X2701" i="1"/>
  <c r="AA2700" i="1"/>
  <c r="Z2700" i="1"/>
  <c r="Y2700" i="1"/>
  <c r="X2700" i="1"/>
  <c r="AA2699" i="1"/>
  <c r="Z2699" i="1"/>
  <c r="Y2699" i="1"/>
  <c r="X2699" i="1"/>
  <c r="AA2698" i="1"/>
  <c r="Z2698" i="1"/>
  <c r="Y2698" i="1"/>
  <c r="X2698" i="1"/>
  <c r="AA2697" i="1"/>
  <c r="Z2697" i="1"/>
  <c r="Y2697" i="1"/>
  <c r="X2697" i="1"/>
  <c r="AA2696" i="1"/>
  <c r="Z2696" i="1"/>
  <c r="Y2696" i="1"/>
  <c r="X2696" i="1"/>
  <c r="AA2695" i="1"/>
  <c r="Z2695" i="1"/>
  <c r="Y2695" i="1"/>
  <c r="X2695" i="1"/>
  <c r="AA2694" i="1"/>
  <c r="Z2694" i="1"/>
  <c r="Y2694" i="1"/>
  <c r="X2694" i="1"/>
  <c r="AA2693" i="1"/>
  <c r="Z2693" i="1"/>
  <c r="Y2693" i="1"/>
  <c r="X2693" i="1"/>
  <c r="AA2692" i="1"/>
  <c r="Z2692" i="1"/>
  <c r="Y2692" i="1"/>
  <c r="X2692" i="1"/>
  <c r="AA2691" i="1"/>
  <c r="Z2691" i="1"/>
  <c r="Y2691" i="1"/>
  <c r="X2691" i="1"/>
  <c r="AA2690" i="1"/>
  <c r="Z2690" i="1"/>
  <c r="Y2690" i="1"/>
  <c r="X2690" i="1"/>
  <c r="AA2689" i="1"/>
  <c r="Z2689" i="1"/>
  <c r="Y2689" i="1"/>
  <c r="X2689" i="1"/>
  <c r="AA2688" i="1"/>
  <c r="Z2688" i="1"/>
  <c r="Y2688" i="1"/>
  <c r="X2688" i="1"/>
  <c r="AA2687" i="1"/>
  <c r="Z2687" i="1"/>
  <c r="Y2687" i="1"/>
  <c r="X2687" i="1"/>
  <c r="AA2686" i="1"/>
  <c r="Z2686" i="1"/>
  <c r="Y2686" i="1"/>
  <c r="X2686" i="1"/>
  <c r="AA2685" i="1"/>
  <c r="Z2685" i="1"/>
  <c r="Y2685" i="1"/>
  <c r="X2685" i="1"/>
  <c r="AA2684" i="1"/>
  <c r="Z2684" i="1"/>
  <c r="Y2684" i="1"/>
  <c r="X2684" i="1"/>
  <c r="AA2683" i="1"/>
  <c r="Z2683" i="1"/>
  <c r="Y2683" i="1"/>
  <c r="X2683" i="1"/>
  <c r="AA2682" i="1"/>
  <c r="Z2682" i="1"/>
  <c r="Y2682" i="1"/>
  <c r="X2682" i="1"/>
  <c r="AA2681" i="1"/>
  <c r="Z2681" i="1"/>
  <c r="Y2681" i="1"/>
  <c r="X2681" i="1"/>
  <c r="AA2680" i="1"/>
  <c r="Z2680" i="1"/>
  <c r="Y2680" i="1"/>
  <c r="X2680" i="1"/>
  <c r="AA2679" i="1"/>
  <c r="Z2679" i="1"/>
  <c r="Y2679" i="1"/>
  <c r="X2679" i="1"/>
  <c r="AA2678" i="1"/>
  <c r="Z2678" i="1"/>
  <c r="Y2678" i="1"/>
  <c r="X2678" i="1"/>
  <c r="AA2677" i="1"/>
  <c r="Z2677" i="1"/>
  <c r="Y2677" i="1"/>
  <c r="X2677" i="1"/>
  <c r="AA2676" i="1"/>
  <c r="Z2676" i="1"/>
  <c r="Y2676" i="1"/>
  <c r="X2676" i="1"/>
  <c r="AA2675" i="1"/>
  <c r="Z2675" i="1"/>
  <c r="Y2675" i="1"/>
  <c r="X2675" i="1"/>
  <c r="AA2674" i="1"/>
  <c r="Z2674" i="1"/>
  <c r="Y2674" i="1"/>
  <c r="X2674" i="1"/>
  <c r="AA2673" i="1"/>
  <c r="Z2673" i="1"/>
  <c r="Y2673" i="1"/>
  <c r="X2673" i="1"/>
  <c r="AA2672" i="1"/>
  <c r="Z2672" i="1"/>
  <c r="Y2672" i="1"/>
  <c r="X2672" i="1"/>
  <c r="AA2671" i="1"/>
  <c r="Z2671" i="1"/>
  <c r="Y2671" i="1"/>
  <c r="X2671" i="1"/>
  <c r="AA2670" i="1"/>
  <c r="Z2670" i="1"/>
  <c r="Y2670" i="1"/>
  <c r="X2670" i="1"/>
  <c r="AA2669" i="1"/>
  <c r="Z2669" i="1"/>
  <c r="Y2669" i="1"/>
  <c r="X2669" i="1"/>
  <c r="AA2668" i="1"/>
  <c r="Z2668" i="1"/>
  <c r="Y2668" i="1"/>
  <c r="X2668" i="1"/>
  <c r="AA2667" i="1"/>
  <c r="Z2667" i="1"/>
  <c r="Y2667" i="1"/>
  <c r="X2667" i="1"/>
  <c r="AA2666" i="1"/>
  <c r="Z2666" i="1"/>
  <c r="Y2666" i="1"/>
  <c r="X2666" i="1"/>
  <c r="AA2665" i="1"/>
  <c r="Z2665" i="1"/>
  <c r="Y2665" i="1"/>
  <c r="X2665" i="1"/>
  <c r="AA2664" i="1"/>
  <c r="Z2664" i="1"/>
  <c r="Y2664" i="1"/>
  <c r="X2664" i="1"/>
  <c r="AA2663" i="1"/>
  <c r="Z2663" i="1"/>
  <c r="Y2663" i="1"/>
  <c r="X2663" i="1"/>
  <c r="AA2662" i="1"/>
  <c r="Z2662" i="1"/>
  <c r="Y2662" i="1"/>
  <c r="X2662" i="1"/>
  <c r="AA2661" i="1"/>
  <c r="Z2661" i="1"/>
  <c r="Y2661" i="1"/>
  <c r="X2661" i="1"/>
  <c r="AA2660" i="1"/>
  <c r="Z2660" i="1"/>
  <c r="Y2660" i="1"/>
  <c r="X2660" i="1"/>
  <c r="AA2659" i="1"/>
  <c r="Z2659" i="1"/>
  <c r="Y2659" i="1"/>
  <c r="X2659" i="1"/>
  <c r="AA2658" i="1"/>
  <c r="Z2658" i="1"/>
  <c r="Y2658" i="1"/>
  <c r="X2658" i="1"/>
  <c r="AA2657" i="1"/>
  <c r="Z2657" i="1"/>
  <c r="Y2657" i="1"/>
  <c r="X2657" i="1"/>
  <c r="AA2656" i="1"/>
  <c r="Z2656" i="1"/>
  <c r="Y2656" i="1"/>
  <c r="X2656" i="1"/>
  <c r="AA2655" i="1"/>
  <c r="Z2655" i="1"/>
  <c r="Y2655" i="1"/>
  <c r="X2655" i="1"/>
  <c r="AA2654" i="1"/>
  <c r="Z2654" i="1"/>
  <c r="Y2654" i="1"/>
  <c r="X2654" i="1"/>
  <c r="AA2653" i="1"/>
  <c r="Z2653" i="1"/>
  <c r="Y2653" i="1"/>
  <c r="X2653" i="1"/>
  <c r="AA2652" i="1"/>
  <c r="Z2652" i="1"/>
  <c r="Y2652" i="1"/>
  <c r="X2652" i="1"/>
  <c r="AA2651" i="1"/>
  <c r="Z2651" i="1"/>
  <c r="Y2651" i="1"/>
  <c r="X2651" i="1"/>
  <c r="AA2650" i="1"/>
  <c r="Z2650" i="1"/>
  <c r="Y2650" i="1"/>
  <c r="X2650" i="1"/>
  <c r="AA2649" i="1"/>
  <c r="Z2649" i="1"/>
  <c r="Y2649" i="1"/>
  <c r="X2649" i="1"/>
  <c r="AA2648" i="1"/>
  <c r="Z2648" i="1"/>
  <c r="Y2648" i="1"/>
  <c r="X2648" i="1"/>
  <c r="AA2647" i="1"/>
  <c r="Z2647" i="1"/>
  <c r="Y2647" i="1"/>
  <c r="X2647" i="1"/>
  <c r="AA2646" i="1"/>
  <c r="Z2646" i="1"/>
  <c r="Y2646" i="1"/>
  <c r="X2646" i="1"/>
  <c r="AA2645" i="1"/>
  <c r="Z2645" i="1"/>
  <c r="Y2645" i="1"/>
  <c r="X2645" i="1"/>
  <c r="AA2644" i="1"/>
  <c r="Z2644" i="1"/>
  <c r="Y2644" i="1"/>
  <c r="X2644" i="1"/>
  <c r="AA2643" i="1"/>
  <c r="Z2643" i="1"/>
  <c r="Y2643" i="1"/>
  <c r="X2643" i="1"/>
  <c r="AA2642" i="1"/>
  <c r="Z2642" i="1"/>
  <c r="Y2642" i="1"/>
  <c r="X2642" i="1"/>
  <c r="AA2641" i="1"/>
  <c r="Z2641" i="1"/>
  <c r="Y2641" i="1"/>
  <c r="X2641" i="1"/>
  <c r="AA2640" i="1"/>
  <c r="Z2640" i="1"/>
  <c r="Y2640" i="1"/>
  <c r="X2640" i="1"/>
  <c r="AA2639" i="1"/>
  <c r="Z2639" i="1"/>
  <c r="Y2639" i="1"/>
  <c r="X2639" i="1"/>
  <c r="AA2638" i="1"/>
  <c r="Z2638" i="1"/>
  <c r="Y2638" i="1"/>
  <c r="X2638" i="1"/>
  <c r="AA2637" i="1"/>
  <c r="Z2637" i="1"/>
  <c r="Y2637" i="1"/>
  <c r="X2637" i="1"/>
  <c r="AA2636" i="1"/>
  <c r="Z2636" i="1"/>
  <c r="Y2636" i="1"/>
  <c r="X2636" i="1"/>
  <c r="AA2635" i="1"/>
  <c r="Z2635" i="1"/>
  <c r="Y2635" i="1"/>
  <c r="X2635" i="1"/>
  <c r="AA2634" i="1"/>
  <c r="Z2634" i="1"/>
  <c r="Y2634" i="1"/>
  <c r="X2634" i="1"/>
  <c r="AA2633" i="1"/>
  <c r="Z2633" i="1"/>
  <c r="Y2633" i="1"/>
  <c r="X2633" i="1"/>
  <c r="AA2632" i="1"/>
  <c r="Z2632" i="1"/>
  <c r="Y2632" i="1"/>
  <c r="X2632" i="1"/>
  <c r="AA2631" i="1"/>
  <c r="Z2631" i="1"/>
  <c r="Y2631" i="1"/>
  <c r="X2631" i="1"/>
  <c r="AA2630" i="1"/>
  <c r="Z2630" i="1"/>
  <c r="Y2630" i="1"/>
  <c r="X2630" i="1"/>
  <c r="AA2629" i="1"/>
  <c r="Z2629" i="1"/>
  <c r="Y2629" i="1"/>
  <c r="X2629" i="1"/>
  <c r="AA2628" i="1"/>
  <c r="Z2628" i="1"/>
  <c r="Y2628" i="1"/>
  <c r="X2628" i="1"/>
  <c r="AA2627" i="1"/>
  <c r="Z2627" i="1"/>
  <c r="Y2627" i="1"/>
  <c r="X2627" i="1"/>
  <c r="AA2626" i="1"/>
  <c r="Z2626" i="1"/>
  <c r="Y2626" i="1"/>
  <c r="X2626" i="1"/>
  <c r="AA2625" i="1"/>
  <c r="Z2625" i="1"/>
  <c r="Y2625" i="1"/>
  <c r="X2625" i="1"/>
  <c r="AA2624" i="1"/>
  <c r="Z2624" i="1"/>
  <c r="Y2624" i="1"/>
  <c r="X2624" i="1"/>
  <c r="AA2623" i="1"/>
  <c r="Z2623" i="1"/>
  <c r="Y2623" i="1"/>
  <c r="X2623" i="1"/>
  <c r="AA2622" i="1"/>
  <c r="Z2622" i="1"/>
  <c r="Y2622" i="1"/>
  <c r="X2622" i="1"/>
  <c r="AA2621" i="1"/>
  <c r="Z2621" i="1"/>
  <c r="Y2621" i="1"/>
  <c r="X2621" i="1"/>
  <c r="AA2620" i="1"/>
  <c r="Z2620" i="1"/>
  <c r="Y2620" i="1"/>
  <c r="X2620" i="1"/>
  <c r="AA2619" i="1"/>
  <c r="Z2619" i="1"/>
  <c r="Y2619" i="1"/>
  <c r="X2619" i="1"/>
  <c r="AA2618" i="1"/>
  <c r="Z2618" i="1"/>
  <c r="Y2618" i="1"/>
  <c r="X2618" i="1"/>
  <c r="AA2617" i="1"/>
  <c r="Z2617" i="1"/>
  <c r="Y2617" i="1"/>
  <c r="X2617" i="1"/>
  <c r="AA2616" i="1"/>
  <c r="Z2616" i="1"/>
  <c r="Y2616" i="1"/>
  <c r="X2616" i="1"/>
  <c r="AA2615" i="1"/>
  <c r="Z2615" i="1"/>
  <c r="Y2615" i="1"/>
  <c r="X2615" i="1"/>
  <c r="AA2614" i="1"/>
  <c r="Z2614" i="1"/>
  <c r="Y2614" i="1"/>
  <c r="X2614" i="1"/>
  <c r="AA2613" i="1"/>
  <c r="Z2613" i="1"/>
  <c r="Y2613" i="1"/>
  <c r="X2613" i="1"/>
  <c r="AA2612" i="1"/>
  <c r="Z2612" i="1"/>
  <c r="Y2612" i="1"/>
  <c r="X2612" i="1"/>
  <c r="AA2611" i="1"/>
  <c r="Z2611" i="1"/>
  <c r="Y2611" i="1"/>
  <c r="X2611" i="1"/>
  <c r="AA2610" i="1"/>
  <c r="Z2610" i="1"/>
  <c r="Y2610" i="1"/>
  <c r="X2610" i="1"/>
  <c r="AA2609" i="1"/>
  <c r="Z2609" i="1"/>
  <c r="Y2609" i="1"/>
  <c r="X2609" i="1"/>
  <c r="AA2608" i="1"/>
  <c r="Z2608" i="1"/>
  <c r="Y2608" i="1"/>
  <c r="X2608" i="1"/>
  <c r="AA2607" i="1"/>
  <c r="Z2607" i="1"/>
  <c r="Y2607" i="1"/>
  <c r="X2607" i="1"/>
  <c r="AA2606" i="1"/>
  <c r="Z2606" i="1"/>
  <c r="Y2606" i="1"/>
  <c r="X2606" i="1"/>
  <c r="AA2605" i="1"/>
  <c r="Z2605" i="1"/>
  <c r="Y2605" i="1"/>
  <c r="X2605" i="1"/>
  <c r="AA2604" i="1"/>
  <c r="Z2604" i="1"/>
  <c r="Y2604" i="1"/>
  <c r="X2604" i="1"/>
  <c r="AA2603" i="1"/>
  <c r="Z2603" i="1"/>
  <c r="Y2603" i="1"/>
  <c r="X2603" i="1"/>
  <c r="AA2602" i="1"/>
  <c r="Z2602" i="1"/>
  <c r="Y2602" i="1"/>
  <c r="X2602" i="1"/>
  <c r="AA2601" i="1"/>
  <c r="Z2601" i="1"/>
  <c r="Y2601" i="1"/>
  <c r="X2601" i="1"/>
  <c r="AA2600" i="1"/>
  <c r="Z2600" i="1"/>
  <c r="Y2600" i="1"/>
  <c r="X2600" i="1"/>
  <c r="AA2599" i="1"/>
  <c r="Z2599" i="1"/>
  <c r="Y2599" i="1"/>
  <c r="X2599" i="1"/>
  <c r="AA2598" i="1"/>
  <c r="Z2598" i="1"/>
  <c r="Y2598" i="1"/>
  <c r="X2598" i="1"/>
  <c r="AA2597" i="1"/>
  <c r="Z2597" i="1"/>
  <c r="Y2597" i="1"/>
  <c r="X2597" i="1"/>
  <c r="AA2596" i="1"/>
  <c r="Z2596" i="1"/>
  <c r="Y2596" i="1"/>
  <c r="X2596" i="1"/>
  <c r="AA2595" i="1"/>
  <c r="Z2595" i="1"/>
  <c r="Y2595" i="1"/>
  <c r="X2595" i="1"/>
  <c r="AA2594" i="1"/>
  <c r="Z2594" i="1"/>
  <c r="Y2594" i="1"/>
  <c r="X2594" i="1"/>
  <c r="AA2593" i="1"/>
  <c r="Z2593" i="1"/>
  <c r="Y2593" i="1"/>
  <c r="X2593" i="1"/>
  <c r="AA2592" i="1"/>
  <c r="Z2592" i="1"/>
  <c r="Y2592" i="1"/>
  <c r="X2592" i="1"/>
  <c r="AA2591" i="1"/>
  <c r="Z2591" i="1"/>
  <c r="Y2591" i="1"/>
  <c r="X2591" i="1"/>
  <c r="AA2590" i="1"/>
  <c r="Z2590" i="1"/>
  <c r="Y2590" i="1"/>
  <c r="X2590" i="1"/>
  <c r="AA2589" i="1"/>
  <c r="Z2589" i="1"/>
  <c r="Y2589" i="1"/>
  <c r="X2589" i="1"/>
  <c r="AA2588" i="1"/>
  <c r="Z2588" i="1"/>
  <c r="Y2588" i="1"/>
  <c r="X2588" i="1"/>
  <c r="AA2587" i="1"/>
  <c r="Z2587" i="1"/>
  <c r="Y2587" i="1"/>
  <c r="X2587" i="1"/>
  <c r="AA2586" i="1"/>
  <c r="Z2586" i="1"/>
  <c r="Y2586" i="1"/>
  <c r="X2586" i="1"/>
  <c r="AA2585" i="1"/>
  <c r="Z2585" i="1"/>
  <c r="Y2585" i="1"/>
  <c r="X2585" i="1"/>
  <c r="AA2584" i="1"/>
  <c r="Z2584" i="1"/>
  <c r="Y2584" i="1"/>
  <c r="X2584" i="1"/>
  <c r="AA2583" i="1"/>
  <c r="Z2583" i="1"/>
  <c r="Y2583" i="1"/>
  <c r="X2583" i="1"/>
  <c r="AA2582" i="1"/>
  <c r="Z2582" i="1"/>
  <c r="Y2582" i="1"/>
  <c r="X2582" i="1"/>
  <c r="AA2581" i="1"/>
  <c r="Z2581" i="1"/>
  <c r="Y2581" i="1"/>
  <c r="X2581" i="1"/>
  <c r="AA2580" i="1"/>
  <c r="Z2580" i="1"/>
  <c r="Y2580" i="1"/>
  <c r="X2580" i="1"/>
  <c r="AA2579" i="1"/>
  <c r="Z2579" i="1"/>
  <c r="Y2579" i="1"/>
  <c r="X2579" i="1"/>
  <c r="AA2578" i="1"/>
  <c r="Z2578" i="1"/>
  <c r="Y2578" i="1"/>
  <c r="X2578" i="1"/>
  <c r="AA2577" i="1"/>
  <c r="Z2577" i="1"/>
  <c r="Y2577" i="1"/>
  <c r="X2577" i="1"/>
  <c r="AA2576" i="1"/>
  <c r="Z2576" i="1"/>
  <c r="Y2576" i="1"/>
  <c r="X2576" i="1"/>
  <c r="AA2575" i="1"/>
  <c r="Z2575" i="1"/>
  <c r="Y2575" i="1"/>
  <c r="X2575" i="1"/>
  <c r="AA2574" i="1"/>
  <c r="Z2574" i="1"/>
  <c r="Y2574" i="1"/>
  <c r="X2574" i="1"/>
  <c r="AA2573" i="1"/>
  <c r="Z2573" i="1"/>
  <c r="Y2573" i="1"/>
  <c r="X2573" i="1"/>
  <c r="AA2572" i="1"/>
  <c r="Z2572" i="1"/>
  <c r="Y2572" i="1"/>
  <c r="X2572" i="1"/>
  <c r="AA2571" i="1"/>
  <c r="Z2571" i="1"/>
  <c r="Y2571" i="1"/>
  <c r="X2571" i="1"/>
  <c r="AA2570" i="1"/>
  <c r="Z2570" i="1"/>
  <c r="Y2570" i="1"/>
  <c r="X2570" i="1"/>
  <c r="AA2569" i="1"/>
  <c r="Z2569" i="1"/>
  <c r="Y2569" i="1"/>
  <c r="X2569" i="1"/>
  <c r="AA2568" i="1"/>
  <c r="Z2568" i="1"/>
  <c r="Y2568" i="1"/>
  <c r="X2568" i="1"/>
  <c r="AA2567" i="1"/>
  <c r="Z2567" i="1"/>
  <c r="Y2567" i="1"/>
  <c r="X2567" i="1"/>
  <c r="AA2566" i="1"/>
  <c r="Z2566" i="1"/>
  <c r="Y2566" i="1"/>
  <c r="X2566" i="1"/>
  <c r="AA2565" i="1"/>
  <c r="Z2565" i="1"/>
  <c r="Y2565" i="1"/>
  <c r="X2565" i="1"/>
  <c r="AA2564" i="1"/>
  <c r="Z2564" i="1"/>
  <c r="Y2564" i="1"/>
  <c r="X2564" i="1"/>
  <c r="AA2563" i="1"/>
  <c r="Z2563" i="1"/>
  <c r="Y2563" i="1"/>
  <c r="X2563" i="1"/>
  <c r="AA2562" i="1"/>
  <c r="Z2562" i="1"/>
  <c r="Y2562" i="1"/>
  <c r="X2562" i="1"/>
  <c r="AA2561" i="1"/>
  <c r="Z2561" i="1"/>
  <c r="Y2561" i="1"/>
  <c r="X2561" i="1"/>
  <c r="AA2560" i="1"/>
  <c r="Z2560" i="1"/>
  <c r="Y2560" i="1"/>
  <c r="X2560" i="1"/>
  <c r="AA2559" i="1"/>
  <c r="Z2559" i="1"/>
  <c r="Y2559" i="1"/>
  <c r="X2559" i="1"/>
  <c r="AA2558" i="1"/>
  <c r="Z2558" i="1"/>
  <c r="Y2558" i="1"/>
  <c r="X2558" i="1"/>
  <c r="AA2557" i="1"/>
  <c r="Z2557" i="1"/>
  <c r="Y2557" i="1"/>
  <c r="X2557" i="1"/>
  <c r="AA2556" i="1"/>
  <c r="Z2556" i="1"/>
  <c r="Y2556" i="1"/>
  <c r="X2556" i="1"/>
  <c r="AA2555" i="1"/>
  <c r="Z2555" i="1"/>
  <c r="Y2555" i="1"/>
  <c r="X2555" i="1"/>
  <c r="AA2554" i="1"/>
  <c r="Z2554" i="1"/>
  <c r="Y2554" i="1"/>
  <c r="X2554" i="1"/>
  <c r="AA2553" i="1"/>
  <c r="Z2553" i="1"/>
  <c r="Y2553" i="1"/>
  <c r="X2553" i="1"/>
  <c r="AA2552" i="1"/>
  <c r="Z2552" i="1"/>
  <c r="Y2552" i="1"/>
  <c r="X2552" i="1"/>
  <c r="AA2551" i="1"/>
  <c r="Z2551" i="1"/>
  <c r="Y2551" i="1"/>
  <c r="X2551" i="1"/>
  <c r="AA2550" i="1"/>
  <c r="Z2550" i="1"/>
  <c r="Y2550" i="1"/>
  <c r="X2550" i="1"/>
  <c r="AA2549" i="1"/>
  <c r="Z2549" i="1"/>
  <c r="Y2549" i="1"/>
  <c r="X2549" i="1"/>
  <c r="AA2548" i="1"/>
  <c r="Z2548" i="1"/>
  <c r="Y2548" i="1"/>
  <c r="X2548" i="1"/>
  <c r="AA2547" i="1"/>
  <c r="Z2547" i="1"/>
  <c r="Y2547" i="1"/>
  <c r="X2547" i="1"/>
  <c r="AA2546" i="1"/>
  <c r="Z2546" i="1"/>
  <c r="Y2546" i="1"/>
  <c r="X2546" i="1"/>
  <c r="AA2545" i="1"/>
  <c r="Z2545" i="1"/>
  <c r="Y2545" i="1"/>
  <c r="X2545" i="1"/>
  <c r="AA2544" i="1"/>
  <c r="Z2544" i="1"/>
  <c r="Y2544" i="1"/>
  <c r="X2544" i="1"/>
  <c r="AA2543" i="1"/>
  <c r="Z2543" i="1"/>
  <c r="Y2543" i="1"/>
  <c r="X2543" i="1"/>
  <c r="AA2542" i="1"/>
  <c r="Z2542" i="1"/>
  <c r="Y2542" i="1"/>
  <c r="X2542" i="1"/>
  <c r="AA2541" i="1"/>
  <c r="Z2541" i="1"/>
  <c r="Y2541" i="1"/>
  <c r="X2541" i="1"/>
  <c r="AA2540" i="1"/>
  <c r="Z2540" i="1"/>
  <c r="Y2540" i="1"/>
  <c r="X2540" i="1"/>
  <c r="AA2539" i="1"/>
  <c r="Z2539" i="1"/>
  <c r="Y2539" i="1"/>
  <c r="X2539" i="1"/>
  <c r="AA2538" i="1"/>
  <c r="Z2538" i="1"/>
  <c r="Y2538" i="1"/>
  <c r="X2538" i="1"/>
  <c r="AA2537" i="1"/>
  <c r="Z2537" i="1"/>
  <c r="Y2537" i="1"/>
  <c r="X2537" i="1"/>
  <c r="AA2536" i="1"/>
  <c r="Z2536" i="1"/>
  <c r="Y2536" i="1"/>
  <c r="X2536" i="1"/>
  <c r="AA2535" i="1"/>
  <c r="Z2535" i="1"/>
  <c r="Y2535" i="1"/>
  <c r="X2535" i="1"/>
  <c r="AA2534" i="1"/>
  <c r="Z2534" i="1"/>
  <c r="Y2534" i="1"/>
  <c r="X2534" i="1"/>
  <c r="AA2533" i="1"/>
  <c r="Z2533" i="1"/>
  <c r="Y2533" i="1"/>
  <c r="X2533" i="1"/>
  <c r="AA2532" i="1"/>
  <c r="Z2532" i="1"/>
  <c r="Y2532" i="1"/>
  <c r="X2532" i="1"/>
  <c r="AA2531" i="1"/>
  <c r="Z2531" i="1"/>
  <c r="Y2531" i="1"/>
  <c r="X2531" i="1"/>
  <c r="AA2530" i="1"/>
  <c r="Z2530" i="1"/>
  <c r="Y2530" i="1"/>
  <c r="X2530" i="1"/>
  <c r="AA2529" i="1"/>
  <c r="Z2529" i="1"/>
  <c r="Y2529" i="1"/>
  <c r="X2529" i="1"/>
  <c r="AA2528" i="1"/>
  <c r="Z2528" i="1"/>
  <c r="Y2528" i="1"/>
  <c r="X2528" i="1"/>
  <c r="AA2527" i="1"/>
  <c r="Z2527" i="1"/>
  <c r="Y2527" i="1"/>
  <c r="X2527" i="1"/>
  <c r="AA2526" i="1"/>
  <c r="Z2526" i="1"/>
  <c r="Y2526" i="1"/>
  <c r="X2526" i="1"/>
  <c r="AA2525" i="1"/>
  <c r="Z2525" i="1"/>
  <c r="Y2525" i="1"/>
  <c r="X2525" i="1"/>
  <c r="AA2524" i="1"/>
  <c r="Z2524" i="1"/>
  <c r="Y2524" i="1"/>
  <c r="X2524" i="1"/>
  <c r="AA2523" i="1"/>
  <c r="Z2523" i="1"/>
  <c r="Y2523" i="1"/>
  <c r="X2523" i="1"/>
  <c r="AA2522" i="1"/>
  <c r="Z2522" i="1"/>
  <c r="Y2522" i="1"/>
  <c r="X2522" i="1"/>
  <c r="AA2521" i="1"/>
  <c r="Z2521" i="1"/>
  <c r="Y2521" i="1"/>
  <c r="X2521" i="1"/>
  <c r="AA2520" i="1"/>
  <c r="Z2520" i="1"/>
  <c r="Y2520" i="1"/>
  <c r="X2520" i="1"/>
  <c r="AA2519" i="1"/>
  <c r="Z2519" i="1"/>
  <c r="Y2519" i="1"/>
  <c r="X2519" i="1"/>
  <c r="AA2518" i="1"/>
  <c r="Z2518" i="1"/>
  <c r="Y2518" i="1"/>
  <c r="X2518" i="1"/>
  <c r="AA2517" i="1"/>
  <c r="Z2517" i="1"/>
  <c r="Y2517" i="1"/>
  <c r="X2517" i="1"/>
  <c r="AA2516" i="1"/>
  <c r="Z2516" i="1"/>
  <c r="Y2516" i="1"/>
  <c r="X2516" i="1"/>
  <c r="AA2515" i="1"/>
  <c r="Z2515" i="1"/>
  <c r="Y2515" i="1"/>
  <c r="X2515" i="1"/>
  <c r="AA2514" i="1"/>
  <c r="Z2514" i="1"/>
  <c r="Y2514" i="1"/>
  <c r="X2514" i="1"/>
  <c r="AA2513" i="1"/>
  <c r="Z2513" i="1"/>
  <c r="Y2513" i="1"/>
  <c r="X2513" i="1"/>
  <c r="AA2512" i="1"/>
  <c r="Z2512" i="1"/>
  <c r="Y2512" i="1"/>
  <c r="X2512" i="1"/>
  <c r="AA2511" i="1"/>
  <c r="Z2511" i="1"/>
  <c r="Y2511" i="1"/>
  <c r="X2511" i="1"/>
  <c r="AA2510" i="1"/>
  <c r="Z2510" i="1"/>
  <c r="Y2510" i="1"/>
  <c r="X2510" i="1"/>
  <c r="AA2509" i="1"/>
  <c r="Z2509" i="1"/>
  <c r="Y2509" i="1"/>
  <c r="X2509" i="1"/>
  <c r="AA2508" i="1"/>
  <c r="Z2508" i="1"/>
  <c r="Y2508" i="1"/>
  <c r="X2508" i="1"/>
  <c r="AA2507" i="1"/>
  <c r="Z2507" i="1"/>
  <c r="Y2507" i="1"/>
  <c r="X2507" i="1"/>
  <c r="AA2506" i="1"/>
  <c r="Z2506" i="1"/>
  <c r="Y2506" i="1"/>
  <c r="X2506" i="1"/>
  <c r="AA2505" i="1"/>
  <c r="Z2505" i="1"/>
  <c r="Y2505" i="1"/>
  <c r="X2505" i="1"/>
  <c r="AA2504" i="1"/>
  <c r="Z2504" i="1"/>
  <c r="Y2504" i="1"/>
  <c r="X2504" i="1"/>
  <c r="AA2503" i="1"/>
  <c r="Z2503" i="1"/>
  <c r="Y2503" i="1"/>
  <c r="X2503" i="1"/>
  <c r="AA2502" i="1"/>
  <c r="Z2502" i="1"/>
  <c r="Y2502" i="1"/>
  <c r="X2502" i="1"/>
  <c r="AA2501" i="1"/>
  <c r="Z2501" i="1"/>
  <c r="Y2501" i="1"/>
  <c r="X2501" i="1"/>
  <c r="AA2500" i="1"/>
  <c r="Z2500" i="1"/>
  <c r="Y2500" i="1"/>
  <c r="X2500" i="1"/>
  <c r="AA2499" i="1"/>
  <c r="Z2499" i="1"/>
  <c r="Y2499" i="1"/>
  <c r="X2499" i="1"/>
  <c r="AA2498" i="1"/>
  <c r="Z2498" i="1"/>
  <c r="Y2498" i="1"/>
  <c r="X2498" i="1"/>
  <c r="AA2497" i="1"/>
  <c r="Z2497" i="1"/>
  <c r="Y2497" i="1"/>
  <c r="X2497" i="1"/>
  <c r="AA2496" i="1"/>
  <c r="Z2496" i="1"/>
  <c r="Y2496" i="1"/>
  <c r="X2496" i="1"/>
  <c r="AA2495" i="1"/>
  <c r="Z2495" i="1"/>
  <c r="Y2495" i="1"/>
  <c r="X2495" i="1"/>
  <c r="AA2494" i="1"/>
  <c r="Z2494" i="1"/>
  <c r="Y2494" i="1"/>
  <c r="X2494" i="1"/>
  <c r="AA2493" i="1"/>
  <c r="Z2493" i="1"/>
  <c r="Y2493" i="1"/>
  <c r="X2493" i="1"/>
  <c r="AA2492" i="1"/>
  <c r="Z2492" i="1"/>
  <c r="Y2492" i="1"/>
  <c r="X2492" i="1"/>
  <c r="AA2491" i="1"/>
  <c r="Z2491" i="1"/>
  <c r="Y2491" i="1"/>
  <c r="X2491" i="1"/>
  <c r="AA2490" i="1"/>
  <c r="Z2490" i="1"/>
  <c r="Y2490" i="1"/>
  <c r="X2490" i="1"/>
  <c r="AA2489" i="1"/>
  <c r="Z2489" i="1"/>
  <c r="Y2489" i="1"/>
  <c r="X2489" i="1"/>
  <c r="AA2488" i="1"/>
  <c r="Z2488" i="1"/>
  <c r="Y2488" i="1"/>
  <c r="X2488" i="1"/>
  <c r="AA2487" i="1"/>
  <c r="Z2487" i="1"/>
  <c r="Y2487" i="1"/>
  <c r="X2487" i="1"/>
  <c r="AA2486" i="1"/>
  <c r="Z2486" i="1"/>
  <c r="Y2486" i="1"/>
  <c r="X2486" i="1"/>
  <c r="AA2485" i="1"/>
  <c r="Z2485" i="1"/>
  <c r="Y2485" i="1"/>
  <c r="X2485" i="1"/>
  <c r="AA2484" i="1"/>
  <c r="Z2484" i="1"/>
  <c r="Y2484" i="1"/>
  <c r="X2484" i="1"/>
  <c r="AA2483" i="1"/>
  <c r="Z2483" i="1"/>
  <c r="Y2483" i="1"/>
  <c r="X2483" i="1"/>
  <c r="AA2482" i="1"/>
  <c r="Z2482" i="1"/>
  <c r="Y2482" i="1"/>
  <c r="X2482" i="1"/>
  <c r="AA2481" i="1"/>
  <c r="Z2481" i="1"/>
  <c r="Y2481" i="1"/>
  <c r="X2481" i="1"/>
  <c r="AA2480" i="1"/>
  <c r="Z2480" i="1"/>
  <c r="Y2480" i="1"/>
  <c r="X2480" i="1"/>
  <c r="AA2479" i="1"/>
  <c r="Z2479" i="1"/>
  <c r="Y2479" i="1"/>
  <c r="X2479" i="1"/>
  <c r="AA2478" i="1"/>
  <c r="Z2478" i="1"/>
  <c r="Y2478" i="1"/>
  <c r="X2478" i="1"/>
  <c r="AA2477" i="1"/>
  <c r="Z2477" i="1"/>
  <c r="Y2477" i="1"/>
  <c r="X2477" i="1"/>
  <c r="AA2476" i="1"/>
  <c r="Z2476" i="1"/>
  <c r="Y2476" i="1"/>
  <c r="X2476" i="1"/>
  <c r="AA2475" i="1"/>
  <c r="Z2475" i="1"/>
  <c r="Y2475" i="1"/>
  <c r="X2475" i="1"/>
  <c r="AA2474" i="1"/>
  <c r="Z2474" i="1"/>
  <c r="Y2474" i="1"/>
  <c r="X2474" i="1"/>
  <c r="AA2473" i="1"/>
  <c r="Z2473" i="1"/>
  <c r="Y2473" i="1"/>
  <c r="X2473" i="1"/>
  <c r="AA2472" i="1"/>
  <c r="Z2472" i="1"/>
  <c r="Y2472" i="1"/>
  <c r="X2472" i="1"/>
  <c r="AA2471" i="1"/>
  <c r="Z2471" i="1"/>
  <c r="Y2471" i="1"/>
  <c r="X2471" i="1"/>
  <c r="AA2470" i="1"/>
  <c r="Z2470" i="1"/>
  <c r="Y2470" i="1"/>
  <c r="X2470" i="1"/>
  <c r="AA2469" i="1"/>
  <c r="Z2469" i="1"/>
  <c r="Y2469" i="1"/>
  <c r="X2469" i="1"/>
  <c r="AA2468" i="1"/>
  <c r="Z2468" i="1"/>
  <c r="Y2468" i="1"/>
  <c r="X2468" i="1"/>
  <c r="AA2467" i="1"/>
  <c r="Z2467" i="1"/>
  <c r="Y2467" i="1"/>
  <c r="X2467" i="1"/>
  <c r="AA2466" i="1"/>
  <c r="Z2466" i="1"/>
  <c r="Y2466" i="1"/>
  <c r="X2466" i="1"/>
  <c r="AA2465" i="1"/>
  <c r="Z2465" i="1"/>
  <c r="Y2465" i="1"/>
  <c r="X2465" i="1"/>
  <c r="AA2464" i="1"/>
  <c r="Z2464" i="1"/>
  <c r="Y2464" i="1"/>
  <c r="X2464" i="1"/>
  <c r="AA2463" i="1"/>
  <c r="Z2463" i="1"/>
  <c r="Y2463" i="1"/>
  <c r="X2463" i="1"/>
  <c r="AA2462" i="1"/>
  <c r="Z2462" i="1"/>
  <c r="Y2462" i="1"/>
  <c r="X2462" i="1"/>
  <c r="AA2461" i="1"/>
  <c r="Z2461" i="1"/>
  <c r="Y2461" i="1"/>
  <c r="X2461" i="1"/>
  <c r="AA2460" i="1"/>
  <c r="Z2460" i="1"/>
  <c r="Y2460" i="1"/>
  <c r="X2460" i="1"/>
  <c r="AA2459" i="1"/>
  <c r="Z2459" i="1"/>
  <c r="Y2459" i="1"/>
  <c r="X2459" i="1"/>
  <c r="AA2458" i="1"/>
  <c r="Z2458" i="1"/>
  <c r="Y2458" i="1"/>
  <c r="X2458" i="1"/>
  <c r="AA2457" i="1"/>
  <c r="Z2457" i="1"/>
  <c r="Y2457" i="1"/>
  <c r="X2457" i="1"/>
  <c r="AA2456" i="1"/>
  <c r="Z2456" i="1"/>
  <c r="Y2456" i="1"/>
  <c r="X2456" i="1"/>
  <c r="AA2455" i="1"/>
  <c r="Z2455" i="1"/>
  <c r="Y2455" i="1"/>
  <c r="X2455" i="1"/>
  <c r="AA2454" i="1"/>
  <c r="Z2454" i="1"/>
  <c r="Y2454" i="1"/>
  <c r="X2454" i="1"/>
  <c r="AA2453" i="1"/>
  <c r="Z2453" i="1"/>
  <c r="Y2453" i="1"/>
  <c r="X2453" i="1"/>
  <c r="AA2452" i="1"/>
  <c r="Z2452" i="1"/>
  <c r="Y2452" i="1"/>
  <c r="X2452" i="1"/>
  <c r="AA2451" i="1"/>
  <c r="Z2451" i="1"/>
  <c r="Y2451" i="1"/>
  <c r="X2451" i="1"/>
  <c r="AA2450" i="1"/>
  <c r="Z2450" i="1"/>
  <c r="Y2450" i="1"/>
  <c r="X2450" i="1"/>
  <c r="AA2449" i="1"/>
  <c r="Z2449" i="1"/>
  <c r="Y2449" i="1"/>
  <c r="X2449" i="1"/>
  <c r="AA2448" i="1"/>
  <c r="Z2448" i="1"/>
  <c r="Y2448" i="1"/>
  <c r="X2448" i="1"/>
  <c r="AA2447" i="1"/>
  <c r="Z2447" i="1"/>
  <c r="Y2447" i="1"/>
  <c r="X2447" i="1"/>
  <c r="AA2446" i="1"/>
  <c r="Z2446" i="1"/>
  <c r="Y2446" i="1"/>
  <c r="X2446" i="1"/>
  <c r="AA2445" i="1"/>
  <c r="Z2445" i="1"/>
  <c r="Y2445" i="1"/>
  <c r="X2445" i="1"/>
  <c r="AA2444" i="1"/>
  <c r="Z2444" i="1"/>
  <c r="Y2444" i="1"/>
  <c r="X2444" i="1"/>
  <c r="AA2443" i="1"/>
  <c r="Z2443" i="1"/>
  <c r="Y2443" i="1"/>
  <c r="X2443" i="1"/>
  <c r="AA2442" i="1"/>
  <c r="Z2442" i="1"/>
  <c r="Y2442" i="1"/>
  <c r="X2442" i="1"/>
  <c r="AA2441" i="1"/>
  <c r="Z2441" i="1"/>
  <c r="Y2441" i="1"/>
  <c r="X2441" i="1"/>
  <c r="AA2440" i="1"/>
  <c r="Z2440" i="1"/>
  <c r="Y2440" i="1"/>
  <c r="X2440" i="1"/>
  <c r="AA2439" i="1"/>
  <c r="Z2439" i="1"/>
  <c r="Y2439" i="1"/>
  <c r="X2439" i="1"/>
  <c r="AA2438" i="1"/>
  <c r="Z2438" i="1"/>
  <c r="Y2438" i="1"/>
  <c r="X2438" i="1"/>
  <c r="AA2437" i="1"/>
  <c r="Z2437" i="1"/>
  <c r="Y2437" i="1"/>
  <c r="X2437" i="1"/>
  <c r="AA2436" i="1"/>
  <c r="Z2436" i="1"/>
  <c r="Y2436" i="1"/>
  <c r="X2436" i="1"/>
  <c r="AA2435" i="1"/>
  <c r="Z2435" i="1"/>
  <c r="Y2435" i="1"/>
  <c r="X2435" i="1"/>
  <c r="AA2434" i="1"/>
  <c r="Z2434" i="1"/>
  <c r="Y2434" i="1"/>
  <c r="X2434" i="1"/>
  <c r="AA2433" i="1"/>
  <c r="Z2433" i="1"/>
  <c r="Y2433" i="1"/>
  <c r="X2433" i="1"/>
  <c r="AA2432" i="1"/>
  <c r="Z2432" i="1"/>
  <c r="Y2432" i="1"/>
  <c r="X2432" i="1"/>
  <c r="AA2431" i="1"/>
  <c r="Z2431" i="1"/>
  <c r="Y2431" i="1"/>
  <c r="X2431" i="1"/>
  <c r="AA2430" i="1"/>
  <c r="Z2430" i="1"/>
  <c r="Y2430" i="1"/>
  <c r="X2430" i="1"/>
  <c r="AA2429" i="1"/>
  <c r="Z2429" i="1"/>
  <c r="Y2429" i="1"/>
  <c r="X2429" i="1"/>
  <c r="AA2428" i="1"/>
  <c r="Z2428" i="1"/>
  <c r="Y2428" i="1"/>
  <c r="X2428" i="1"/>
  <c r="AA2427" i="1"/>
  <c r="Z2427" i="1"/>
  <c r="Y2427" i="1"/>
  <c r="X2427" i="1"/>
  <c r="AA2426" i="1"/>
  <c r="Z2426" i="1"/>
  <c r="Y2426" i="1"/>
  <c r="X2426" i="1"/>
  <c r="AA2425" i="1"/>
  <c r="Z2425" i="1"/>
  <c r="Y2425" i="1"/>
  <c r="X2425" i="1"/>
  <c r="AA2424" i="1"/>
  <c r="Z2424" i="1"/>
  <c r="Y2424" i="1"/>
  <c r="X2424" i="1"/>
  <c r="AA2423" i="1"/>
  <c r="Z2423" i="1"/>
  <c r="Y2423" i="1"/>
  <c r="X2423" i="1"/>
  <c r="AA2422" i="1"/>
  <c r="Z2422" i="1"/>
  <c r="Y2422" i="1"/>
  <c r="X2422" i="1"/>
  <c r="AA2421" i="1"/>
  <c r="Z2421" i="1"/>
  <c r="Y2421" i="1"/>
  <c r="X2421" i="1"/>
  <c r="AA2420" i="1"/>
  <c r="Z2420" i="1"/>
  <c r="Y2420" i="1"/>
  <c r="X2420" i="1"/>
  <c r="AA2419" i="1"/>
  <c r="Z2419" i="1"/>
  <c r="Y2419" i="1"/>
  <c r="X2419" i="1"/>
  <c r="AA2418" i="1"/>
  <c r="Z2418" i="1"/>
  <c r="Y2418" i="1"/>
  <c r="X2418" i="1"/>
  <c r="AA2417" i="1"/>
  <c r="Z2417" i="1"/>
  <c r="Y2417" i="1"/>
  <c r="X2417" i="1"/>
  <c r="AA2416" i="1"/>
  <c r="Z2416" i="1"/>
  <c r="Y2416" i="1"/>
  <c r="X2416" i="1"/>
  <c r="AA2415" i="1"/>
  <c r="Z2415" i="1"/>
  <c r="Y2415" i="1"/>
  <c r="X2415" i="1"/>
  <c r="AA2414" i="1"/>
  <c r="Z2414" i="1"/>
  <c r="Y2414" i="1"/>
  <c r="X2414" i="1"/>
  <c r="AA2413" i="1"/>
  <c r="Z2413" i="1"/>
  <c r="Y2413" i="1"/>
  <c r="X2413" i="1"/>
  <c r="AA2412" i="1"/>
  <c r="Z2412" i="1"/>
  <c r="Y2412" i="1"/>
  <c r="X2412" i="1"/>
  <c r="AA2411" i="1"/>
  <c r="Z2411" i="1"/>
  <c r="Y2411" i="1"/>
  <c r="X2411" i="1"/>
  <c r="AA2410" i="1"/>
  <c r="Z2410" i="1"/>
  <c r="Y2410" i="1"/>
  <c r="X2410" i="1"/>
  <c r="AA2409" i="1"/>
  <c r="Z2409" i="1"/>
  <c r="Y2409" i="1"/>
  <c r="X2409" i="1"/>
  <c r="AA2408" i="1"/>
  <c r="Z2408" i="1"/>
  <c r="Y2408" i="1"/>
  <c r="X2408" i="1"/>
  <c r="AA2407" i="1"/>
  <c r="Z2407" i="1"/>
  <c r="Y2407" i="1"/>
  <c r="X2407" i="1"/>
  <c r="AA2406" i="1"/>
  <c r="Z2406" i="1"/>
  <c r="Y2406" i="1"/>
  <c r="X2406" i="1"/>
  <c r="AA2405" i="1"/>
  <c r="Z2405" i="1"/>
  <c r="Y2405" i="1"/>
  <c r="X2405" i="1"/>
  <c r="AA2404" i="1"/>
  <c r="Z2404" i="1"/>
  <c r="Y2404" i="1"/>
  <c r="X2404" i="1"/>
  <c r="AA2403" i="1"/>
  <c r="Z2403" i="1"/>
  <c r="Y2403" i="1"/>
  <c r="X2403" i="1"/>
  <c r="AA2402" i="1"/>
  <c r="Z2402" i="1"/>
  <c r="Y2402" i="1"/>
  <c r="X2402" i="1"/>
  <c r="AA2401" i="1"/>
  <c r="Z2401" i="1"/>
  <c r="Y2401" i="1"/>
  <c r="X2401" i="1"/>
  <c r="AA2400" i="1"/>
  <c r="Z2400" i="1"/>
  <c r="Y2400" i="1"/>
  <c r="X2400" i="1"/>
  <c r="AA2399" i="1"/>
  <c r="Z2399" i="1"/>
  <c r="Y2399" i="1"/>
  <c r="X2399" i="1"/>
  <c r="AA2398" i="1"/>
  <c r="Z2398" i="1"/>
  <c r="Y2398" i="1"/>
  <c r="X2398" i="1"/>
  <c r="AA2397" i="1"/>
  <c r="Z2397" i="1"/>
  <c r="Y2397" i="1"/>
  <c r="X2397" i="1"/>
  <c r="AA2396" i="1"/>
  <c r="Z2396" i="1"/>
  <c r="Y2396" i="1"/>
  <c r="X2396" i="1"/>
  <c r="AA2395" i="1"/>
  <c r="Z2395" i="1"/>
  <c r="Y2395" i="1"/>
  <c r="X2395" i="1"/>
  <c r="AA2394" i="1"/>
  <c r="Z2394" i="1"/>
  <c r="Y2394" i="1"/>
  <c r="X2394" i="1"/>
  <c r="AA2393" i="1"/>
  <c r="Z2393" i="1"/>
  <c r="Y2393" i="1"/>
  <c r="X2393" i="1"/>
  <c r="AA2392" i="1"/>
  <c r="Z2392" i="1"/>
  <c r="Y2392" i="1"/>
  <c r="X2392" i="1"/>
  <c r="AA2391" i="1"/>
  <c r="Z2391" i="1"/>
  <c r="Y2391" i="1"/>
  <c r="X2391" i="1"/>
  <c r="AA2390" i="1"/>
  <c r="Z2390" i="1"/>
  <c r="Y2390" i="1"/>
  <c r="X2390" i="1"/>
  <c r="AA2389" i="1"/>
  <c r="Z2389" i="1"/>
  <c r="Y2389" i="1"/>
  <c r="X2389" i="1"/>
  <c r="AA2388" i="1"/>
  <c r="Z2388" i="1"/>
  <c r="Y2388" i="1"/>
  <c r="X2388" i="1"/>
  <c r="AA2387" i="1"/>
  <c r="Z2387" i="1"/>
  <c r="Y2387" i="1"/>
  <c r="X2387" i="1"/>
  <c r="AA2386" i="1"/>
  <c r="Z2386" i="1"/>
  <c r="Y2386" i="1"/>
  <c r="X2386" i="1"/>
  <c r="AA2385" i="1"/>
  <c r="Z2385" i="1"/>
  <c r="Y2385" i="1"/>
  <c r="X2385" i="1"/>
  <c r="AA2384" i="1"/>
  <c r="Z2384" i="1"/>
  <c r="Y2384" i="1"/>
  <c r="X2384" i="1"/>
  <c r="AA2383" i="1"/>
  <c r="Z2383" i="1"/>
  <c r="Y2383" i="1"/>
  <c r="X2383" i="1"/>
  <c r="AA2382" i="1"/>
  <c r="Z2382" i="1"/>
  <c r="Y2382" i="1"/>
  <c r="X2382" i="1"/>
  <c r="AA2381" i="1"/>
  <c r="Z2381" i="1"/>
  <c r="Y2381" i="1"/>
  <c r="X2381" i="1"/>
  <c r="AA2380" i="1"/>
  <c r="Z2380" i="1"/>
  <c r="Y2380" i="1"/>
  <c r="X2380" i="1"/>
  <c r="AA2379" i="1"/>
  <c r="Z2379" i="1"/>
  <c r="Y2379" i="1"/>
  <c r="X2379" i="1"/>
  <c r="AA2378" i="1"/>
  <c r="Z2378" i="1"/>
  <c r="Y2378" i="1"/>
  <c r="X2378" i="1"/>
  <c r="AA2377" i="1"/>
  <c r="Z2377" i="1"/>
  <c r="Y2377" i="1"/>
  <c r="X2377" i="1"/>
  <c r="AA2376" i="1"/>
  <c r="Z2376" i="1"/>
  <c r="Y2376" i="1"/>
  <c r="X2376" i="1"/>
  <c r="AA2375" i="1"/>
  <c r="Z2375" i="1"/>
  <c r="Y2375" i="1"/>
  <c r="X2375" i="1"/>
  <c r="AA2374" i="1"/>
  <c r="Z2374" i="1"/>
  <c r="Y2374" i="1"/>
  <c r="X2374" i="1"/>
  <c r="AA2373" i="1"/>
  <c r="Z2373" i="1"/>
  <c r="Y2373" i="1"/>
  <c r="X2373" i="1"/>
  <c r="AA2372" i="1"/>
  <c r="Z2372" i="1"/>
  <c r="Y2372" i="1"/>
  <c r="X2372" i="1"/>
  <c r="AA2371" i="1"/>
  <c r="Z2371" i="1"/>
  <c r="Y2371" i="1"/>
  <c r="X2371" i="1"/>
  <c r="AA2370" i="1"/>
  <c r="Z2370" i="1"/>
  <c r="Y2370" i="1"/>
  <c r="X2370" i="1"/>
  <c r="AA2369" i="1"/>
  <c r="Z2369" i="1"/>
  <c r="Y2369" i="1"/>
  <c r="X2369" i="1"/>
  <c r="AA2368" i="1"/>
  <c r="Z2368" i="1"/>
  <c r="Y2368" i="1"/>
  <c r="X2368" i="1"/>
  <c r="AA2367" i="1"/>
  <c r="Z2367" i="1"/>
  <c r="Y2367" i="1"/>
  <c r="X2367" i="1"/>
  <c r="AA2366" i="1"/>
  <c r="Z2366" i="1"/>
  <c r="Y2366" i="1"/>
  <c r="X2366" i="1"/>
  <c r="AA2365" i="1"/>
  <c r="Z2365" i="1"/>
  <c r="Y2365" i="1"/>
  <c r="X2365" i="1"/>
  <c r="AA2364" i="1"/>
  <c r="Z2364" i="1"/>
  <c r="Y2364" i="1"/>
  <c r="X2364" i="1"/>
  <c r="AA2363" i="1"/>
  <c r="Z2363" i="1"/>
  <c r="Y2363" i="1"/>
  <c r="X2363" i="1"/>
  <c r="AA2362" i="1"/>
  <c r="Z2362" i="1"/>
  <c r="Y2362" i="1"/>
  <c r="X2362" i="1"/>
  <c r="AA2361" i="1"/>
  <c r="Z2361" i="1"/>
  <c r="Y2361" i="1"/>
  <c r="X2361" i="1"/>
  <c r="AA2360" i="1"/>
  <c r="Z2360" i="1"/>
  <c r="Y2360" i="1"/>
  <c r="X2360" i="1"/>
  <c r="AA2359" i="1"/>
  <c r="Z2359" i="1"/>
  <c r="Y2359" i="1"/>
  <c r="X2359" i="1"/>
  <c r="AA2358" i="1"/>
  <c r="Z2358" i="1"/>
  <c r="Y2358" i="1"/>
  <c r="X2358" i="1"/>
  <c r="AA2357" i="1"/>
  <c r="Z2357" i="1"/>
  <c r="Y2357" i="1"/>
  <c r="X2357" i="1"/>
  <c r="AA2356" i="1"/>
  <c r="Z2356" i="1"/>
  <c r="Y2356" i="1"/>
  <c r="X2356" i="1"/>
  <c r="AA2355" i="1"/>
  <c r="Z2355" i="1"/>
  <c r="Y2355" i="1"/>
  <c r="X2355" i="1"/>
  <c r="AA2354" i="1"/>
  <c r="Z2354" i="1"/>
  <c r="Y2354" i="1"/>
  <c r="X2354" i="1"/>
  <c r="AA2353" i="1"/>
  <c r="Z2353" i="1"/>
  <c r="Y2353" i="1"/>
  <c r="X2353" i="1"/>
  <c r="AA2352" i="1"/>
  <c r="Z2352" i="1"/>
  <c r="Y2352" i="1"/>
  <c r="X2352" i="1"/>
  <c r="AA2351" i="1"/>
  <c r="Z2351" i="1"/>
  <c r="Y2351" i="1"/>
  <c r="X2351" i="1"/>
  <c r="AA2350" i="1"/>
  <c r="Z2350" i="1"/>
  <c r="Y2350" i="1"/>
  <c r="X2350" i="1"/>
  <c r="AA2349" i="1"/>
  <c r="Z2349" i="1"/>
  <c r="Y2349" i="1"/>
  <c r="X2349" i="1"/>
  <c r="AA2348" i="1"/>
  <c r="Z2348" i="1"/>
  <c r="Y2348" i="1"/>
  <c r="X2348" i="1"/>
  <c r="AA2347" i="1"/>
  <c r="Z2347" i="1"/>
  <c r="Y2347" i="1"/>
  <c r="X2347" i="1"/>
  <c r="AA2346" i="1"/>
  <c r="Z2346" i="1"/>
  <c r="Y2346" i="1"/>
  <c r="X2346" i="1"/>
  <c r="AA2345" i="1"/>
  <c r="Z2345" i="1"/>
  <c r="Y2345" i="1"/>
  <c r="X2345" i="1"/>
  <c r="AA2344" i="1"/>
  <c r="Z2344" i="1"/>
  <c r="Y2344" i="1"/>
  <c r="X2344" i="1"/>
  <c r="AA2343" i="1"/>
  <c r="Z2343" i="1"/>
  <c r="Y2343" i="1"/>
  <c r="X2343" i="1"/>
  <c r="AA2342" i="1"/>
  <c r="Z2342" i="1"/>
  <c r="Y2342" i="1"/>
  <c r="X2342" i="1"/>
  <c r="AA2341" i="1"/>
  <c r="Z2341" i="1"/>
  <c r="Y2341" i="1"/>
  <c r="X2341" i="1"/>
  <c r="AA2340" i="1"/>
  <c r="Z2340" i="1"/>
  <c r="Y2340" i="1"/>
  <c r="X2340" i="1"/>
  <c r="AA2339" i="1"/>
  <c r="Z2339" i="1"/>
  <c r="Y2339" i="1"/>
  <c r="X2339" i="1"/>
  <c r="AA2338" i="1"/>
  <c r="Z2338" i="1"/>
  <c r="Y2338" i="1"/>
  <c r="X2338" i="1"/>
  <c r="AA2337" i="1"/>
  <c r="Z2337" i="1"/>
  <c r="Y2337" i="1"/>
  <c r="X2337" i="1"/>
  <c r="AA2336" i="1"/>
  <c r="Z2336" i="1"/>
  <c r="Y2336" i="1"/>
  <c r="X2336" i="1"/>
  <c r="AA2335" i="1"/>
  <c r="Z2335" i="1"/>
  <c r="Y2335" i="1"/>
  <c r="X2335" i="1"/>
  <c r="AA2334" i="1"/>
  <c r="Z2334" i="1"/>
  <c r="Y2334" i="1"/>
  <c r="X2334" i="1"/>
  <c r="AA2333" i="1"/>
  <c r="Z2333" i="1"/>
  <c r="Y2333" i="1"/>
  <c r="X2333" i="1"/>
  <c r="AA2332" i="1"/>
  <c r="Z2332" i="1"/>
  <c r="Y2332" i="1"/>
  <c r="X2332" i="1"/>
  <c r="AA2331" i="1"/>
  <c r="Z2331" i="1"/>
  <c r="Y2331" i="1"/>
  <c r="X2331" i="1"/>
  <c r="AA2330" i="1"/>
  <c r="Z2330" i="1"/>
  <c r="Y2330" i="1"/>
  <c r="X2330" i="1"/>
  <c r="AA2329" i="1"/>
  <c r="Z2329" i="1"/>
  <c r="Y2329" i="1"/>
  <c r="X2329" i="1"/>
  <c r="AA2328" i="1"/>
  <c r="Z2328" i="1"/>
  <c r="Y2328" i="1"/>
  <c r="X2328" i="1"/>
  <c r="AA2327" i="1"/>
  <c r="Z2327" i="1"/>
  <c r="Y2327" i="1"/>
  <c r="X2327" i="1"/>
  <c r="AA2326" i="1"/>
  <c r="Z2326" i="1"/>
  <c r="Y2326" i="1"/>
  <c r="X2326" i="1"/>
  <c r="AA2325" i="1"/>
  <c r="Z2325" i="1"/>
  <c r="Y2325" i="1"/>
  <c r="X2325" i="1"/>
  <c r="AA2324" i="1"/>
  <c r="Z2324" i="1"/>
  <c r="Y2324" i="1"/>
  <c r="X2324" i="1"/>
  <c r="AA2323" i="1"/>
  <c r="Z2323" i="1"/>
  <c r="Y2323" i="1"/>
  <c r="X2323" i="1"/>
  <c r="AA2322" i="1"/>
  <c r="Z2322" i="1"/>
  <c r="Y2322" i="1"/>
  <c r="X2322" i="1"/>
  <c r="AA2321" i="1"/>
  <c r="Z2321" i="1"/>
  <c r="Y2321" i="1"/>
  <c r="X2321" i="1"/>
  <c r="AA2320" i="1"/>
  <c r="Z2320" i="1"/>
  <c r="Y2320" i="1"/>
  <c r="X2320" i="1"/>
  <c r="AA2319" i="1"/>
  <c r="Z2319" i="1"/>
  <c r="Y2319" i="1"/>
  <c r="X2319" i="1"/>
  <c r="AA2318" i="1"/>
  <c r="Z2318" i="1"/>
  <c r="Y2318" i="1"/>
  <c r="X2318" i="1"/>
  <c r="AA2317" i="1"/>
  <c r="Z2317" i="1"/>
  <c r="Y2317" i="1"/>
  <c r="X2317" i="1"/>
  <c r="AA2316" i="1"/>
  <c r="Z2316" i="1"/>
  <c r="Y2316" i="1"/>
  <c r="X2316" i="1"/>
  <c r="AA2315" i="1"/>
  <c r="Z2315" i="1"/>
  <c r="Y2315" i="1"/>
  <c r="X2315" i="1"/>
  <c r="AA2314" i="1"/>
  <c r="Z2314" i="1"/>
  <c r="Y2314" i="1"/>
  <c r="X2314" i="1"/>
  <c r="AA2313" i="1"/>
  <c r="Z2313" i="1"/>
  <c r="Y2313" i="1"/>
  <c r="X2313" i="1"/>
  <c r="AA2312" i="1"/>
  <c r="Z2312" i="1"/>
  <c r="Y2312" i="1"/>
  <c r="X2312" i="1"/>
  <c r="AA2311" i="1"/>
  <c r="Z2311" i="1"/>
  <c r="Y2311" i="1"/>
  <c r="X2311" i="1"/>
  <c r="AA2310" i="1"/>
  <c r="Z2310" i="1"/>
  <c r="Y2310" i="1"/>
  <c r="X2310" i="1"/>
  <c r="AA2309" i="1"/>
  <c r="Z2309" i="1"/>
  <c r="Y2309" i="1"/>
  <c r="X2309" i="1"/>
  <c r="AA2308" i="1"/>
  <c r="Z2308" i="1"/>
  <c r="Y2308" i="1"/>
  <c r="X2308" i="1"/>
  <c r="AA2307" i="1"/>
  <c r="Z2307" i="1"/>
  <c r="Y2307" i="1"/>
  <c r="X2307" i="1"/>
  <c r="AA2306" i="1"/>
  <c r="Z2306" i="1"/>
  <c r="Y2306" i="1"/>
  <c r="X2306" i="1"/>
  <c r="AA2305" i="1"/>
  <c r="Z2305" i="1"/>
  <c r="Y2305" i="1"/>
  <c r="X2305" i="1"/>
  <c r="AA2304" i="1"/>
  <c r="Z2304" i="1"/>
  <c r="Y2304" i="1"/>
  <c r="X2304" i="1"/>
  <c r="AA2303" i="1"/>
  <c r="Z2303" i="1"/>
  <c r="Y2303" i="1"/>
  <c r="X2303" i="1"/>
  <c r="AA2302" i="1"/>
  <c r="Z2302" i="1"/>
  <c r="Y2302" i="1"/>
  <c r="X2302" i="1"/>
  <c r="AA2301" i="1"/>
  <c r="Z2301" i="1"/>
  <c r="Y2301" i="1"/>
  <c r="X2301" i="1"/>
  <c r="AA2300" i="1"/>
  <c r="Z2300" i="1"/>
  <c r="Y2300" i="1"/>
  <c r="X2300" i="1"/>
  <c r="AA2299" i="1"/>
  <c r="Z2299" i="1"/>
  <c r="Y2299" i="1"/>
  <c r="X2299" i="1"/>
  <c r="AA2298" i="1"/>
  <c r="Z2298" i="1"/>
  <c r="Y2298" i="1"/>
  <c r="X2298" i="1"/>
  <c r="AA2297" i="1"/>
  <c r="Z2297" i="1"/>
  <c r="Y2297" i="1"/>
  <c r="X2297" i="1"/>
  <c r="AA2296" i="1"/>
  <c r="Z2296" i="1"/>
  <c r="Y2296" i="1"/>
  <c r="X2296" i="1"/>
  <c r="AA2295" i="1"/>
  <c r="Z2295" i="1"/>
  <c r="Y2295" i="1"/>
  <c r="X2295" i="1"/>
  <c r="AA2294" i="1"/>
  <c r="Z2294" i="1"/>
  <c r="Y2294" i="1"/>
  <c r="X2294" i="1"/>
  <c r="AA2293" i="1"/>
  <c r="Z2293" i="1"/>
  <c r="Y2293" i="1"/>
  <c r="X2293" i="1"/>
  <c r="AA2292" i="1"/>
  <c r="Z2292" i="1"/>
  <c r="Y2292" i="1"/>
  <c r="X2292" i="1"/>
  <c r="AA2291" i="1"/>
  <c r="Z2291" i="1"/>
  <c r="Y2291" i="1"/>
  <c r="X2291" i="1"/>
  <c r="AA2290" i="1"/>
  <c r="Z2290" i="1"/>
  <c r="Y2290" i="1"/>
  <c r="X2290" i="1"/>
  <c r="AA2289" i="1"/>
  <c r="Z2289" i="1"/>
  <c r="Y2289" i="1"/>
  <c r="X2289" i="1"/>
  <c r="AA2288" i="1"/>
  <c r="Z2288" i="1"/>
  <c r="Y2288" i="1"/>
  <c r="X2288" i="1"/>
  <c r="AA2287" i="1"/>
  <c r="Z2287" i="1"/>
  <c r="Y2287" i="1"/>
  <c r="X2287" i="1"/>
  <c r="AA2286" i="1"/>
  <c r="Z2286" i="1"/>
  <c r="Y2286" i="1"/>
  <c r="X2286" i="1"/>
  <c r="AA2285" i="1"/>
  <c r="Z2285" i="1"/>
  <c r="Y2285" i="1"/>
  <c r="X2285" i="1"/>
  <c r="AA2284" i="1"/>
  <c r="Z2284" i="1"/>
  <c r="Y2284" i="1"/>
  <c r="X2284" i="1"/>
  <c r="AA2283" i="1"/>
  <c r="Z2283" i="1"/>
  <c r="Y2283" i="1"/>
  <c r="X2283" i="1"/>
  <c r="AA2282" i="1"/>
  <c r="Z2282" i="1"/>
  <c r="Y2282" i="1"/>
  <c r="X2282" i="1"/>
  <c r="AA2281" i="1"/>
  <c r="Z2281" i="1"/>
  <c r="Y2281" i="1"/>
  <c r="X2281" i="1"/>
  <c r="AA2280" i="1"/>
  <c r="Z2280" i="1"/>
  <c r="Y2280" i="1"/>
  <c r="X2280" i="1"/>
  <c r="AA2279" i="1"/>
  <c r="Z2279" i="1"/>
  <c r="Y2279" i="1"/>
  <c r="X2279" i="1"/>
  <c r="AA2278" i="1"/>
  <c r="Z2278" i="1"/>
  <c r="Y2278" i="1"/>
  <c r="X2278" i="1"/>
  <c r="AA2277" i="1"/>
  <c r="Z2277" i="1"/>
  <c r="Y2277" i="1"/>
  <c r="X2277" i="1"/>
  <c r="AA2276" i="1"/>
  <c r="Z2276" i="1"/>
  <c r="Y2276" i="1"/>
  <c r="X2276" i="1"/>
  <c r="AA2275" i="1"/>
  <c r="Z2275" i="1"/>
  <c r="Y2275" i="1"/>
  <c r="X2275" i="1"/>
  <c r="AA2274" i="1"/>
  <c r="Z2274" i="1"/>
  <c r="Y2274" i="1"/>
  <c r="X2274" i="1"/>
  <c r="AA2273" i="1"/>
  <c r="Z2273" i="1"/>
  <c r="Y2273" i="1"/>
  <c r="X2273" i="1"/>
  <c r="AA2272" i="1"/>
  <c r="Z2272" i="1"/>
  <c r="Y2272" i="1"/>
  <c r="X2272" i="1"/>
  <c r="AA2271" i="1"/>
  <c r="Z2271" i="1"/>
  <c r="Y2271" i="1"/>
  <c r="X2271" i="1"/>
  <c r="AA2270" i="1"/>
  <c r="Z2270" i="1"/>
  <c r="Y2270" i="1"/>
  <c r="X2270" i="1"/>
  <c r="AA2269" i="1"/>
  <c r="Z2269" i="1"/>
  <c r="Y2269" i="1"/>
  <c r="X2269" i="1"/>
  <c r="AA2268" i="1"/>
  <c r="Z2268" i="1"/>
  <c r="Y2268" i="1"/>
  <c r="X2268" i="1"/>
  <c r="AA2267" i="1"/>
  <c r="Z2267" i="1"/>
  <c r="Y2267" i="1"/>
  <c r="X2267" i="1"/>
  <c r="AA2266" i="1"/>
  <c r="Z2266" i="1"/>
  <c r="Y2266" i="1"/>
  <c r="X2266" i="1"/>
  <c r="AA2265" i="1"/>
  <c r="Z2265" i="1"/>
  <c r="Y2265" i="1"/>
  <c r="X2265" i="1"/>
  <c r="AA2264" i="1"/>
  <c r="Z2264" i="1"/>
  <c r="Y2264" i="1"/>
  <c r="X2264" i="1"/>
  <c r="AA2263" i="1"/>
  <c r="Z2263" i="1"/>
  <c r="Y2263" i="1"/>
  <c r="X2263" i="1"/>
  <c r="AA2262" i="1"/>
  <c r="Z2262" i="1"/>
  <c r="Y2262" i="1"/>
  <c r="X2262" i="1"/>
  <c r="AA2261" i="1"/>
  <c r="Z2261" i="1"/>
  <c r="Y2261" i="1"/>
  <c r="X2261" i="1"/>
  <c r="AA2260" i="1"/>
  <c r="Z2260" i="1"/>
  <c r="Y2260" i="1"/>
  <c r="X2260" i="1"/>
  <c r="AA2259" i="1"/>
  <c r="Z2259" i="1"/>
  <c r="Y2259" i="1"/>
  <c r="X2259" i="1"/>
  <c r="AA2258" i="1"/>
  <c r="Z2258" i="1"/>
  <c r="Y2258" i="1"/>
  <c r="X2258" i="1"/>
  <c r="AA2257" i="1"/>
  <c r="Z2257" i="1"/>
  <c r="Y2257" i="1"/>
  <c r="X2257" i="1"/>
  <c r="AA2256" i="1"/>
  <c r="Z2256" i="1"/>
  <c r="Y2256" i="1"/>
  <c r="X2256" i="1"/>
  <c r="AA2255" i="1"/>
  <c r="Z2255" i="1"/>
  <c r="Y2255" i="1"/>
  <c r="X2255" i="1"/>
  <c r="AA2254" i="1"/>
  <c r="Z2254" i="1"/>
  <c r="Y2254" i="1"/>
  <c r="X2254" i="1"/>
  <c r="AA2253" i="1"/>
  <c r="Z2253" i="1"/>
  <c r="Y2253" i="1"/>
  <c r="X2253" i="1"/>
  <c r="AA2252" i="1"/>
  <c r="Z2252" i="1"/>
  <c r="Y2252" i="1"/>
  <c r="X2252" i="1"/>
  <c r="AA2251" i="1"/>
  <c r="Z2251" i="1"/>
  <c r="Y2251" i="1"/>
  <c r="X2251" i="1"/>
  <c r="AA2250" i="1"/>
  <c r="Z2250" i="1"/>
  <c r="Y2250" i="1"/>
  <c r="X2250" i="1"/>
  <c r="AA2249" i="1"/>
  <c r="Z2249" i="1"/>
  <c r="Y2249" i="1"/>
  <c r="X2249" i="1"/>
  <c r="AA2248" i="1"/>
  <c r="Z2248" i="1"/>
  <c r="Y2248" i="1"/>
  <c r="X2248" i="1"/>
  <c r="AA2247" i="1"/>
  <c r="Z2247" i="1"/>
  <c r="Y2247" i="1"/>
  <c r="X2247" i="1"/>
  <c r="AA2246" i="1"/>
  <c r="Z2246" i="1"/>
  <c r="Y2246" i="1"/>
  <c r="X2246" i="1"/>
  <c r="AA2245" i="1"/>
  <c r="Z2245" i="1"/>
  <c r="Y2245" i="1"/>
  <c r="X2245" i="1"/>
  <c r="AA2244" i="1"/>
  <c r="Z2244" i="1"/>
  <c r="Y2244" i="1"/>
  <c r="X2244" i="1"/>
  <c r="AA2243" i="1"/>
  <c r="Z2243" i="1"/>
  <c r="Y2243" i="1"/>
  <c r="X2243" i="1"/>
  <c r="AA2242" i="1"/>
  <c r="Z2242" i="1"/>
  <c r="Y2242" i="1"/>
  <c r="X2242" i="1"/>
  <c r="AA2241" i="1"/>
  <c r="Z2241" i="1"/>
  <c r="Y2241" i="1"/>
  <c r="X2241" i="1"/>
  <c r="AA2240" i="1"/>
  <c r="Z2240" i="1"/>
  <c r="Y2240" i="1"/>
  <c r="X2240" i="1"/>
  <c r="AA2239" i="1"/>
  <c r="Z2239" i="1"/>
  <c r="Y2239" i="1"/>
  <c r="X2239" i="1"/>
  <c r="AA2238" i="1"/>
  <c r="Z2238" i="1"/>
  <c r="Y2238" i="1"/>
  <c r="X2238" i="1"/>
  <c r="AA2237" i="1"/>
  <c r="Z2237" i="1"/>
  <c r="Y2237" i="1"/>
  <c r="X2237" i="1"/>
  <c r="AA2236" i="1"/>
  <c r="Z2236" i="1"/>
  <c r="Y2236" i="1"/>
  <c r="X2236" i="1"/>
  <c r="AA2235" i="1"/>
  <c r="Z2235" i="1"/>
  <c r="Y2235" i="1"/>
  <c r="X2235" i="1"/>
  <c r="AA2234" i="1"/>
  <c r="Z2234" i="1"/>
  <c r="Y2234" i="1"/>
  <c r="X2234" i="1"/>
  <c r="AA2233" i="1"/>
  <c r="Z2233" i="1"/>
  <c r="Y2233" i="1"/>
  <c r="X2233" i="1"/>
  <c r="AA2232" i="1"/>
  <c r="Z2232" i="1"/>
  <c r="Y2232" i="1"/>
  <c r="X2232" i="1"/>
  <c r="AA2231" i="1"/>
  <c r="Z2231" i="1"/>
  <c r="Y2231" i="1"/>
  <c r="X2231" i="1"/>
  <c r="AA2230" i="1"/>
  <c r="Z2230" i="1"/>
  <c r="Y2230" i="1"/>
  <c r="X2230" i="1"/>
  <c r="AA2229" i="1"/>
  <c r="Z2229" i="1"/>
  <c r="Y2229" i="1"/>
  <c r="X2229" i="1"/>
  <c r="AA2228" i="1"/>
  <c r="Z2228" i="1"/>
  <c r="Y2228" i="1"/>
  <c r="X2228" i="1"/>
  <c r="AA2227" i="1"/>
  <c r="Z2227" i="1"/>
  <c r="Y2227" i="1"/>
  <c r="X2227" i="1"/>
  <c r="AA2226" i="1"/>
  <c r="Z2226" i="1"/>
  <c r="Y2226" i="1"/>
  <c r="X2226" i="1"/>
  <c r="AA2225" i="1"/>
  <c r="Z2225" i="1"/>
  <c r="Y2225" i="1"/>
  <c r="X2225" i="1"/>
  <c r="AA2224" i="1"/>
  <c r="Z2224" i="1"/>
  <c r="Y2224" i="1"/>
  <c r="X2224" i="1"/>
  <c r="AA2223" i="1"/>
  <c r="Z2223" i="1"/>
  <c r="Y2223" i="1"/>
  <c r="X2223" i="1"/>
  <c r="AA2222" i="1"/>
  <c r="Z2222" i="1"/>
  <c r="Y2222" i="1"/>
  <c r="X2222" i="1"/>
  <c r="AA2221" i="1"/>
  <c r="Z2221" i="1"/>
  <c r="Y2221" i="1"/>
  <c r="X2221" i="1"/>
  <c r="AA2220" i="1"/>
  <c r="Z2220" i="1"/>
  <c r="Y2220" i="1"/>
  <c r="X2220" i="1"/>
  <c r="AA2219" i="1"/>
  <c r="Z2219" i="1"/>
  <c r="Y2219" i="1"/>
  <c r="X2219" i="1"/>
  <c r="AA2218" i="1"/>
  <c r="Z2218" i="1"/>
  <c r="Y2218" i="1"/>
  <c r="X2218" i="1"/>
  <c r="AA2217" i="1"/>
  <c r="Z2217" i="1"/>
  <c r="Y2217" i="1"/>
  <c r="X2217" i="1"/>
  <c r="AA2216" i="1"/>
  <c r="Z2216" i="1"/>
  <c r="Y2216" i="1"/>
  <c r="X2216" i="1"/>
  <c r="AA2215" i="1"/>
  <c r="Z2215" i="1"/>
  <c r="Y2215" i="1"/>
  <c r="X2215" i="1"/>
  <c r="AA2214" i="1"/>
  <c r="Z2214" i="1"/>
  <c r="Y2214" i="1"/>
  <c r="X2214" i="1"/>
  <c r="AA2213" i="1"/>
  <c r="Z2213" i="1"/>
  <c r="Y2213" i="1"/>
  <c r="X2213" i="1"/>
  <c r="AA2212" i="1"/>
  <c r="Z2212" i="1"/>
  <c r="Y2212" i="1"/>
  <c r="X2212" i="1"/>
  <c r="AA2211" i="1"/>
  <c r="Z2211" i="1"/>
  <c r="Y2211" i="1"/>
  <c r="X2211" i="1"/>
  <c r="AA2210" i="1"/>
  <c r="Z2210" i="1"/>
  <c r="Y2210" i="1"/>
  <c r="X2210" i="1"/>
  <c r="AA2209" i="1"/>
  <c r="Z2209" i="1"/>
  <c r="Y2209" i="1"/>
  <c r="X2209" i="1"/>
  <c r="AA2208" i="1"/>
  <c r="Z2208" i="1"/>
  <c r="Y2208" i="1"/>
  <c r="X2208" i="1"/>
  <c r="AA2207" i="1"/>
  <c r="Z2207" i="1"/>
  <c r="Y2207" i="1"/>
  <c r="X2207" i="1"/>
  <c r="AA2206" i="1"/>
  <c r="Z2206" i="1"/>
  <c r="Y2206" i="1"/>
  <c r="X2206" i="1"/>
  <c r="AA2205" i="1"/>
  <c r="Z2205" i="1"/>
  <c r="Y2205" i="1"/>
  <c r="X2205" i="1"/>
  <c r="AA2204" i="1"/>
  <c r="Z2204" i="1"/>
  <c r="Y2204" i="1"/>
  <c r="X2204" i="1"/>
  <c r="AA2203" i="1"/>
  <c r="Z2203" i="1"/>
  <c r="Y2203" i="1"/>
  <c r="X2203" i="1"/>
  <c r="AA2202" i="1"/>
  <c r="Z2202" i="1"/>
  <c r="Y2202" i="1"/>
  <c r="X2202" i="1"/>
  <c r="AA2201" i="1"/>
  <c r="Z2201" i="1"/>
  <c r="Y2201" i="1"/>
  <c r="X2201" i="1"/>
  <c r="AA2200" i="1"/>
  <c r="Z2200" i="1"/>
  <c r="Y2200" i="1"/>
  <c r="X2200" i="1"/>
  <c r="AA2199" i="1"/>
  <c r="Z2199" i="1"/>
  <c r="Y2199" i="1"/>
  <c r="X2199" i="1"/>
  <c r="AA2198" i="1"/>
  <c r="Z2198" i="1"/>
  <c r="Y2198" i="1"/>
  <c r="X2198" i="1"/>
  <c r="AA2197" i="1"/>
  <c r="Z2197" i="1"/>
  <c r="Y2197" i="1"/>
  <c r="X2197" i="1"/>
  <c r="AA2196" i="1"/>
  <c r="Z2196" i="1"/>
  <c r="Y2196" i="1"/>
  <c r="X2196" i="1"/>
  <c r="AA2195" i="1"/>
  <c r="Z2195" i="1"/>
  <c r="Y2195" i="1"/>
  <c r="X2195" i="1"/>
  <c r="AA2194" i="1"/>
  <c r="Z2194" i="1"/>
  <c r="Y2194" i="1"/>
  <c r="X2194" i="1"/>
  <c r="AA2193" i="1"/>
  <c r="Z2193" i="1"/>
  <c r="Y2193" i="1"/>
  <c r="X2193" i="1"/>
  <c r="AA2192" i="1"/>
  <c r="Z2192" i="1"/>
  <c r="Y2192" i="1"/>
  <c r="X2192" i="1"/>
  <c r="AA2191" i="1"/>
  <c r="Z2191" i="1"/>
  <c r="Y2191" i="1"/>
  <c r="X2191" i="1"/>
  <c r="AA2190" i="1"/>
  <c r="Z2190" i="1"/>
  <c r="Y2190" i="1"/>
  <c r="X2190" i="1"/>
  <c r="AA2189" i="1"/>
  <c r="Z2189" i="1"/>
  <c r="Y2189" i="1"/>
  <c r="X2189" i="1"/>
  <c r="AA2188" i="1"/>
  <c r="Z2188" i="1"/>
  <c r="Y2188" i="1"/>
  <c r="X2188" i="1"/>
  <c r="AA2187" i="1"/>
  <c r="Z2187" i="1"/>
  <c r="Y2187" i="1"/>
  <c r="X2187" i="1"/>
  <c r="AA2186" i="1"/>
  <c r="Z2186" i="1"/>
  <c r="Y2186" i="1"/>
  <c r="X2186" i="1"/>
  <c r="AA2185" i="1"/>
  <c r="Z2185" i="1"/>
  <c r="Y2185" i="1"/>
  <c r="X2185" i="1"/>
  <c r="AA2184" i="1"/>
  <c r="Z2184" i="1"/>
  <c r="Y2184" i="1"/>
  <c r="X2184" i="1"/>
  <c r="AA2183" i="1"/>
  <c r="Z2183" i="1"/>
  <c r="Y2183" i="1"/>
  <c r="X2183" i="1"/>
  <c r="AA2182" i="1"/>
  <c r="Z2182" i="1"/>
  <c r="Y2182" i="1"/>
  <c r="X2182" i="1"/>
  <c r="AA2181" i="1"/>
  <c r="Z2181" i="1"/>
  <c r="Y2181" i="1"/>
  <c r="X2181" i="1"/>
  <c r="AA2180" i="1"/>
  <c r="Z2180" i="1"/>
  <c r="Y2180" i="1"/>
  <c r="X2180" i="1"/>
  <c r="AA2179" i="1"/>
  <c r="Z2179" i="1"/>
  <c r="Y2179" i="1"/>
  <c r="X2179" i="1"/>
  <c r="AA2178" i="1"/>
  <c r="Z2178" i="1"/>
  <c r="Y2178" i="1"/>
  <c r="X2178" i="1"/>
  <c r="AA2177" i="1"/>
  <c r="Z2177" i="1"/>
  <c r="Y2177" i="1"/>
  <c r="X2177" i="1"/>
  <c r="AA2176" i="1"/>
  <c r="Z2176" i="1"/>
  <c r="Y2176" i="1"/>
  <c r="X2176" i="1"/>
  <c r="AA2175" i="1"/>
  <c r="Z2175" i="1"/>
  <c r="Y2175" i="1"/>
  <c r="X2175" i="1"/>
  <c r="AA2174" i="1"/>
  <c r="Z2174" i="1"/>
  <c r="Y2174" i="1"/>
  <c r="X2174" i="1"/>
  <c r="AA2173" i="1"/>
  <c r="Z2173" i="1"/>
  <c r="Y2173" i="1"/>
  <c r="X2173" i="1"/>
  <c r="AA2172" i="1"/>
  <c r="Z2172" i="1"/>
  <c r="Y2172" i="1"/>
  <c r="X2172" i="1"/>
  <c r="AA2171" i="1"/>
  <c r="Z2171" i="1"/>
  <c r="Y2171" i="1"/>
  <c r="X2171" i="1"/>
  <c r="AA2170" i="1"/>
  <c r="Z2170" i="1"/>
  <c r="Y2170" i="1"/>
  <c r="X2170" i="1"/>
  <c r="AA2169" i="1"/>
  <c r="Z2169" i="1"/>
  <c r="Y2169" i="1"/>
  <c r="X2169" i="1"/>
  <c r="AA2168" i="1"/>
  <c r="Z2168" i="1"/>
  <c r="Y2168" i="1"/>
  <c r="X2168" i="1"/>
  <c r="AA2167" i="1"/>
  <c r="Z2167" i="1"/>
  <c r="Y2167" i="1"/>
  <c r="X2167" i="1"/>
  <c r="AA2166" i="1"/>
  <c r="Z2166" i="1"/>
  <c r="Y2166" i="1"/>
  <c r="X2166" i="1"/>
  <c r="AA2165" i="1"/>
  <c r="Z2165" i="1"/>
  <c r="Y2165" i="1"/>
  <c r="X2165" i="1"/>
  <c r="AA2164" i="1"/>
  <c r="Z2164" i="1"/>
  <c r="Y2164" i="1"/>
  <c r="X2164" i="1"/>
  <c r="AA2163" i="1"/>
  <c r="Z2163" i="1"/>
  <c r="Y2163" i="1"/>
  <c r="X2163" i="1"/>
  <c r="AA2162" i="1"/>
  <c r="Z2162" i="1"/>
  <c r="Y2162" i="1"/>
  <c r="X2162" i="1"/>
  <c r="AA2161" i="1"/>
  <c r="Z2161" i="1"/>
  <c r="Y2161" i="1"/>
  <c r="X2161" i="1"/>
  <c r="AA2160" i="1"/>
  <c r="Z2160" i="1"/>
  <c r="Y2160" i="1"/>
  <c r="X2160" i="1"/>
  <c r="AA2159" i="1"/>
  <c r="Z2159" i="1"/>
  <c r="Y2159" i="1"/>
  <c r="X2159" i="1"/>
  <c r="AA2158" i="1"/>
  <c r="Z2158" i="1"/>
  <c r="Y2158" i="1"/>
  <c r="X2158" i="1"/>
  <c r="AA2157" i="1"/>
  <c r="Z2157" i="1"/>
  <c r="Y2157" i="1"/>
  <c r="X2157" i="1"/>
  <c r="AA2156" i="1"/>
  <c r="Z2156" i="1"/>
  <c r="Y2156" i="1"/>
  <c r="X2156" i="1"/>
  <c r="AA2155" i="1"/>
  <c r="Z2155" i="1"/>
  <c r="Y2155" i="1"/>
  <c r="X2155" i="1"/>
  <c r="AA2154" i="1"/>
  <c r="Z2154" i="1"/>
  <c r="Y2154" i="1"/>
  <c r="X2154" i="1"/>
  <c r="AA2153" i="1"/>
  <c r="Z2153" i="1"/>
  <c r="Y2153" i="1"/>
  <c r="X2153" i="1"/>
  <c r="AA2152" i="1"/>
  <c r="Z2152" i="1"/>
  <c r="Y2152" i="1"/>
  <c r="X2152" i="1"/>
  <c r="AA2151" i="1"/>
  <c r="Z2151" i="1"/>
  <c r="Y2151" i="1"/>
  <c r="X2151" i="1"/>
  <c r="AA2150" i="1"/>
  <c r="Z2150" i="1"/>
  <c r="Y2150" i="1"/>
  <c r="X2150" i="1"/>
  <c r="AA2149" i="1"/>
  <c r="Z2149" i="1"/>
  <c r="Y2149" i="1"/>
  <c r="X2149" i="1"/>
  <c r="AA2148" i="1"/>
  <c r="Z2148" i="1"/>
  <c r="Y2148" i="1"/>
  <c r="X2148" i="1"/>
  <c r="AA2147" i="1"/>
  <c r="Z2147" i="1"/>
  <c r="Y2147" i="1"/>
  <c r="X2147" i="1"/>
  <c r="AA2146" i="1"/>
  <c r="Z2146" i="1"/>
  <c r="Y2146" i="1"/>
  <c r="X2146" i="1"/>
  <c r="AA2145" i="1"/>
  <c r="Z2145" i="1"/>
  <c r="Y2145" i="1"/>
  <c r="X2145" i="1"/>
  <c r="AA2144" i="1"/>
  <c r="Z2144" i="1"/>
  <c r="Y2144" i="1"/>
  <c r="X2144" i="1"/>
  <c r="AA2143" i="1"/>
  <c r="Z2143" i="1"/>
  <c r="Y2143" i="1"/>
  <c r="X2143" i="1"/>
  <c r="AA2142" i="1"/>
  <c r="Z2142" i="1"/>
  <c r="Y2142" i="1"/>
  <c r="X2142" i="1"/>
  <c r="AA2141" i="1"/>
  <c r="Z2141" i="1"/>
  <c r="Y2141" i="1"/>
  <c r="X2141" i="1"/>
  <c r="AA2140" i="1"/>
  <c r="Z2140" i="1"/>
  <c r="Y2140" i="1"/>
  <c r="X2140" i="1"/>
  <c r="AA2139" i="1"/>
  <c r="Z2139" i="1"/>
  <c r="Y2139" i="1"/>
  <c r="X2139" i="1"/>
  <c r="AA2138" i="1"/>
  <c r="Z2138" i="1"/>
  <c r="Y2138" i="1"/>
  <c r="X2138" i="1"/>
  <c r="AA2137" i="1"/>
  <c r="Z2137" i="1"/>
  <c r="Y2137" i="1"/>
  <c r="X2137" i="1"/>
  <c r="AA2136" i="1"/>
  <c r="Z2136" i="1"/>
  <c r="Y2136" i="1"/>
  <c r="X2136" i="1"/>
  <c r="AA2135" i="1"/>
  <c r="Z2135" i="1"/>
  <c r="Y2135" i="1"/>
  <c r="X2135" i="1"/>
  <c r="AA2134" i="1"/>
  <c r="Z2134" i="1"/>
  <c r="Y2134" i="1"/>
  <c r="X2134" i="1"/>
  <c r="AA2133" i="1"/>
  <c r="Z2133" i="1"/>
  <c r="Y2133" i="1"/>
  <c r="X2133" i="1"/>
  <c r="AA2132" i="1"/>
  <c r="Z2132" i="1"/>
  <c r="Y2132" i="1"/>
  <c r="X2132" i="1"/>
  <c r="AA2131" i="1"/>
  <c r="Z2131" i="1"/>
  <c r="Y2131" i="1"/>
  <c r="X2131" i="1"/>
  <c r="AA2130" i="1"/>
  <c r="Z2130" i="1"/>
  <c r="Y2130" i="1"/>
  <c r="X2130" i="1"/>
  <c r="AA2129" i="1"/>
  <c r="Z2129" i="1"/>
  <c r="Y2129" i="1"/>
  <c r="X2129" i="1"/>
  <c r="AA2128" i="1"/>
  <c r="Z2128" i="1"/>
  <c r="Y2128" i="1"/>
  <c r="X2128" i="1"/>
  <c r="AA2127" i="1"/>
  <c r="Z2127" i="1"/>
  <c r="Y2127" i="1"/>
  <c r="X2127" i="1"/>
  <c r="AA2126" i="1"/>
  <c r="Z2126" i="1"/>
  <c r="Y2126" i="1"/>
  <c r="X2126" i="1"/>
  <c r="AA2125" i="1"/>
  <c r="Z2125" i="1"/>
  <c r="Y2125" i="1"/>
  <c r="X2125" i="1"/>
  <c r="AA2124" i="1"/>
  <c r="Z2124" i="1"/>
  <c r="Y2124" i="1"/>
  <c r="X2124" i="1"/>
  <c r="AA2123" i="1"/>
  <c r="Z2123" i="1"/>
  <c r="Y2123" i="1"/>
  <c r="X2123" i="1"/>
  <c r="AA2122" i="1"/>
  <c r="Z2122" i="1"/>
  <c r="Y2122" i="1"/>
  <c r="X2122" i="1"/>
  <c r="AA2121" i="1"/>
  <c r="Z2121" i="1"/>
  <c r="Y2121" i="1"/>
  <c r="X2121" i="1"/>
  <c r="AA2120" i="1"/>
  <c r="Z2120" i="1"/>
  <c r="Y2120" i="1"/>
  <c r="X2120" i="1"/>
  <c r="AA2119" i="1"/>
  <c r="Z2119" i="1"/>
  <c r="Y2119" i="1"/>
  <c r="X2119" i="1"/>
  <c r="AA2118" i="1"/>
  <c r="Z2118" i="1"/>
  <c r="Y2118" i="1"/>
  <c r="X2118" i="1"/>
  <c r="AA2117" i="1"/>
  <c r="Z2117" i="1"/>
  <c r="Y2117" i="1"/>
  <c r="X2117" i="1"/>
  <c r="AA2116" i="1"/>
  <c r="Z2116" i="1"/>
  <c r="Y2116" i="1"/>
  <c r="X2116" i="1"/>
  <c r="AA2115" i="1"/>
  <c r="Z2115" i="1"/>
  <c r="Y2115" i="1"/>
  <c r="X2115" i="1"/>
  <c r="AA2114" i="1"/>
  <c r="Z2114" i="1"/>
  <c r="Y2114" i="1"/>
  <c r="X2114" i="1"/>
  <c r="AA2113" i="1"/>
  <c r="Z2113" i="1"/>
  <c r="Y2113" i="1"/>
  <c r="X2113" i="1"/>
  <c r="AA2112" i="1"/>
  <c r="Z2112" i="1"/>
  <c r="Y2112" i="1"/>
  <c r="X2112" i="1"/>
  <c r="AA2111" i="1"/>
  <c r="Z2111" i="1"/>
  <c r="Y2111" i="1"/>
  <c r="X2111" i="1"/>
  <c r="AA2110" i="1"/>
  <c r="Z2110" i="1"/>
  <c r="Y2110" i="1"/>
  <c r="X2110" i="1"/>
  <c r="AA2109" i="1"/>
  <c r="Z2109" i="1"/>
  <c r="Y2109" i="1"/>
  <c r="X2109" i="1"/>
  <c r="AA2108" i="1"/>
  <c r="Z2108" i="1"/>
  <c r="Y2108" i="1"/>
  <c r="X2108" i="1"/>
  <c r="AA2107" i="1"/>
  <c r="Z2107" i="1"/>
  <c r="Y2107" i="1"/>
  <c r="X2107" i="1"/>
  <c r="AA2106" i="1"/>
  <c r="Z2106" i="1"/>
  <c r="Y2106" i="1"/>
  <c r="X2106" i="1"/>
  <c r="AA2105" i="1"/>
  <c r="Z2105" i="1"/>
  <c r="Y2105" i="1"/>
  <c r="X2105" i="1"/>
  <c r="AA2104" i="1"/>
  <c r="Z2104" i="1"/>
  <c r="Y2104" i="1"/>
  <c r="X2104" i="1"/>
  <c r="AA2103" i="1"/>
  <c r="Z2103" i="1"/>
  <c r="Y2103" i="1"/>
  <c r="X2103" i="1"/>
  <c r="AA2102" i="1"/>
  <c r="Z2102" i="1"/>
  <c r="Y2102" i="1"/>
  <c r="X2102" i="1"/>
  <c r="AA2101" i="1"/>
  <c r="Z2101" i="1"/>
  <c r="Y2101" i="1"/>
  <c r="X2101" i="1"/>
  <c r="AA2100" i="1"/>
  <c r="Z2100" i="1"/>
  <c r="Y2100" i="1"/>
  <c r="X2100" i="1"/>
  <c r="AA2099" i="1"/>
  <c r="Z2099" i="1"/>
  <c r="Y2099" i="1"/>
  <c r="X2099" i="1"/>
  <c r="AA2098" i="1"/>
  <c r="Z2098" i="1"/>
  <c r="Y2098" i="1"/>
  <c r="X2098" i="1"/>
  <c r="AA2097" i="1"/>
  <c r="Z2097" i="1"/>
  <c r="Y2097" i="1"/>
  <c r="X2097" i="1"/>
  <c r="AA2096" i="1"/>
  <c r="Z2096" i="1"/>
  <c r="Y2096" i="1"/>
  <c r="X2096" i="1"/>
  <c r="AA2095" i="1"/>
  <c r="Z2095" i="1"/>
  <c r="Y2095" i="1"/>
  <c r="X2095" i="1"/>
  <c r="AA2094" i="1"/>
  <c r="Z2094" i="1"/>
  <c r="Y2094" i="1"/>
  <c r="X2094" i="1"/>
  <c r="AA2093" i="1"/>
  <c r="Z2093" i="1"/>
  <c r="Y2093" i="1"/>
  <c r="X2093" i="1"/>
  <c r="AA2092" i="1"/>
  <c r="Z2092" i="1"/>
  <c r="Y2092" i="1"/>
  <c r="X2092" i="1"/>
  <c r="AA2091" i="1"/>
  <c r="Z2091" i="1"/>
  <c r="Y2091" i="1"/>
  <c r="X2091" i="1"/>
  <c r="AA2090" i="1"/>
  <c r="Z2090" i="1"/>
  <c r="Y2090" i="1"/>
  <c r="X2090" i="1"/>
  <c r="AA2089" i="1"/>
  <c r="Z2089" i="1"/>
  <c r="Y2089" i="1"/>
  <c r="X2089" i="1"/>
  <c r="AA2088" i="1"/>
  <c r="Z2088" i="1"/>
  <c r="Y2088" i="1"/>
  <c r="X2088" i="1"/>
  <c r="AA2087" i="1"/>
  <c r="Z2087" i="1"/>
  <c r="Y2087" i="1"/>
  <c r="X2087" i="1"/>
  <c r="AA2086" i="1"/>
  <c r="Z2086" i="1"/>
  <c r="Y2086" i="1"/>
  <c r="X2086" i="1"/>
  <c r="AA2085" i="1"/>
  <c r="Z2085" i="1"/>
  <c r="Y2085" i="1"/>
  <c r="X2085" i="1"/>
  <c r="AA2084" i="1"/>
  <c r="Z2084" i="1"/>
  <c r="Y2084" i="1"/>
  <c r="X2084" i="1"/>
  <c r="AA2083" i="1"/>
  <c r="Z2083" i="1"/>
  <c r="Y2083" i="1"/>
  <c r="X2083" i="1"/>
  <c r="AA2082" i="1"/>
  <c r="Z2082" i="1"/>
  <c r="Y2082" i="1"/>
  <c r="X2082" i="1"/>
  <c r="AA2081" i="1"/>
  <c r="Z2081" i="1"/>
  <c r="Y2081" i="1"/>
  <c r="X2081" i="1"/>
  <c r="AA2080" i="1"/>
  <c r="Z2080" i="1"/>
  <c r="Y2080" i="1"/>
  <c r="X2080" i="1"/>
  <c r="AA2079" i="1"/>
  <c r="Z2079" i="1"/>
  <c r="Y2079" i="1"/>
  <c r="X2079" i="1"/>
  <c r="AA2078" i="1"/>
  <c r="Z2078" i="1"/>
  <c r="Y2078" i="1"/>
  <c r="X2078" i="1"/>
  <c r="AA2077" i="1"/>
  <c r="Z2077" i="1"/>
  <c r="Y2077" i="1"/>
  <c r="X2077" i="1"/>
  <c r="AA2076" i="1"/>
  <c r="Z2076" i="1"/>
  <c r="Y2076" i="1"/>
  <c r="X2076" i="1"/>
  <c r="AA2075" i="1"/>
  <c r="Z2075" i="1"/>
  <c r="Y2075" i="1"/>
  <c r="X2075" i="1"/>
  <c r="AA2074" i="1"/>
  <c r="Z2074" i="1"/>
  <c r="Y2074" i="1"/>
  <c r="X2074" i="1"/>
  <c r="AA2073" i="1"/>
  <c r="Z2073" i="1"/>
  <c r="Y2073" i="1"/>
  <c r="X2073" i="1"/>
  <c r="AA2072" i="1"/>
  <c r="Z2072" i="1"/>
  <c r="Y2072" i="1"/>
  <c r="X2072" i="1"/>
  <c r="AA2071" i="1"/>
  <c r="Z2071" i="1"/>
  <c r="Y2071" i="1"/>
  <c r="X2071" i="1"/>
  <c r="AA2070" i="1"/>
  <c r="Z2070" i="1"/>
  <c r="Y2070" i="1"/>
  <c r="X2070" i="1"/>
  <c r="AA2069" i="1"/>
  <c r="Z2069" i="1"/>
  <c r="Y2069" i="1"/>
  <c r="X2069" i="1"/>
  <c r="AA2068" i="1"/>
  <c r="Z2068" i="1"/>
  <c r="Y2068" i="1"/>
  <c r="X2068" i="1"/>
  <c r="AA2067" i="1"/>
  <c r="Z2067" i="1"/>
  <c r="Y2067" i="1"/>
  <c r="X2067" i="1"/>
  <c r="AA2066" i="1"/>
  <c r="Z2066" i="1"/>
  <c r="Y2066" i="1"/>
  <c r="X2066" i="1"/>
  <c r="AA2065" i="1"/>
  <c r="Z2065" i="1"/>
  <c r="Y2065" i="1"/>
  <c r="X2065" i="1"/>
  <c r="AA2064" i="1"/>
  <c r="Z2064" i="1"/>
  <c r="Y2064" i="1"/>
  <c r="X2064" i="1"/>
  <c r="AA2063" i="1"/>
  <c r="Z2063" i="1"/>
  <c r="Y2063" i="1"/>
  <c r="X2063" i="1"/>
  <c r="AA2062" i="1"/>
  <c r="Z2062" i="1"/>
  <c r="Y2062" i="1"/>
  <c r="X2062" i="1"/>
  <c r="AA2061" i="1"/>
  <c r="Z2061" i="1"/>
  <c r="Y2061" i="1"/>
  <c r="X2061" i="1"/>
  <c r="AA2060" i="1"/>
  <c r="Z2060" i="1"/>
  <c r="Y2060" i="1"/>
  <c r="X2060" i="1"/>
  <c r="AA2059" i="1"/>
  <c r="Z2059" i="1"/>
  <c r="Y2059" i="1"/>
  <c r="X2059" i="1"/>
  <c r="AA2058" i="1"/>
  <c r="Z2058" i="1"/>
  <c r="Y2058" i="1"/>
  <c r="X2058" i="1"/>
  <c r="AA2057" i="1"/>
  <c r="Z2057" i="1"/>
  <c r="Y2057" i="1"/>
  <c r="X2057" i="1"/>
  <c r="AA2056" i="1"/>
  <c r="Z2056" i="1"/>
  <c r="Y2056" i="1"/>
  <c r="X2056" i="1"/>
  <c r="AA2055" i="1"/>
  <c r="Z2055" i="1"/>
  <c r="Y2055" i="1"/>
  <c r="X2055" i="1"/>
  <c r="AA2054" i="1"/>
  <c r="Z2054" i="1"/>
  <c r="Y2054" i="1"/>
  <c r="X2054" i="1"/>
  <c r="AA2053" i="1"/>
  <c r="Z2053" i="1"/>
  <c r="Y2053" i="1"/>
  <c r="X2053" i="1"/>
  <c r="AA2052" i="1"/>
  <c r="Z2052" i="1"/>
  <c r="Y2052" i="1"/>
  <c r="X2052" i="1"/>
  <c r="AA2051" i="1"/>
  <c r="Z2051" i="1"/>
  <c r="Y2051" i="1"/>
  <c r="X2051" i="1"/>
  <c r="AA2050" i="1"/>
  <c r="Z2050" i="1"/>
  <c r="Y2050" i="1"/>
  <c r="X2050" i="1"/>
  <c r="AA2049" i="1"/>
  <c r="Z2049" i="1"/>
  <c r="Y2049" i="1"/>
  <c r="X2049" i="1"/>
  <c r="AA2048" i="1"/>
  <c r="Z2048" i="1"/>
  <c r="Y2048" i="1"/>
  <c r="X2048" i="1"/>
  <c r="AA2047" i="1"/>
  <c r="Z2047" i="1"/>
  <c r="Y2047" i="1"/>
  <c r="X2047" i="1"/>
  <c r="AA2046" i="1"/>
  <c r="Z2046" i="1"/>
  <c r="Y2046" i="1"/>
  <c r="X2046" i="1"/>
  <c r="AA2045" i="1"/>
  <c r="Z2045" i="1"/>
  <c r="Y2045" i="1"/>
  <c r="X2045" i="1"/>
  <c r="AA2044" i="1"/>
  <c r="Z2044" i="1"/>
  <c r="Y2044" i="1"/>
  <c r="X2044" i="1"/>
  <c r="AA2043" i="1"/>
  <c r="Z2043" i="1"/>
  <c r="Y2043" i="1"/>
  <c r="X2043" i="1"/>
  <c r="AA2042" i="1"/>
  <c r="Z2042" i="1"/>
  <c r="Y2042" i="1"/>
  <c r="X2042" i="1"/>
  <c r="AA2041" i="1"/>
  <c r="Z2041" i="1"/>
  <c r="Y2041" i="1"/>
  <c r="X2041" i="1"/>
  <c r="AA2040" i="1"/>
  <c r="Z2040" i="1"/>
  <c r="Y2040" i="1"/>
  <c r="X2040" i="1"/>
  <c r="AA2039" i="1"/>
  <c r="Z2039" i="1"/>
  <c r="Y2039" i="1"/>
  <c r="X2039" i="1"/>
  <c r="AA2038" i="1"/>
  <c r="Z2038" i="1"/>
  <c r="Y2038" i="1"/>
  <c r="X2038" i="1"/>
  <c r="AA2037" i="1"/>
  <c r="Z2037" i="1"/>
  <c r="Y2037" i="1"/>
  <c r="X2037" i="1"/>
  <c r="AA2036" i="1"/>
  <c r="Z2036" i="1"/>
  <c r="Y2036" i="1"/>
  <c r="X2036" i="1"/>
  <c r="AA2035" i="1"/>
  <c r="Z2035" i="1"/>
  <c r="Y2035" i="1"/>
  <c r="X2035" i="1"/>
  <c r="AA2034" i="1"/>
  <c r="Z2034" i="1"/>
  <c r="Y2034" i="1"/>
  <c r="X2034" i="1"/>
  <c r="AA2033" i="1"/>
  <c r="Z2033" i="1"/>
  <c r="Y2033" i="1"/>
  <c r="X2033" i="1"/>
  <c r="AA2032" i="1"/>
  <c r="Z2032" i="1"/>
  <c r="Y2032" i="1"/>
  <c r="X2032" i="1"/>
  <c r="AA2031" i="1"/>
  <c r="Z2031" i="1"/>
  <c r="Y2031" i="1"/>
  <c r="X2031" i="1"/>
  <c r="AA2030" i="1"/>
  <c r="Z2030" i="1"/>
  <c r="Y2030" i="1"/>
  <c r="X2030" i="1"/>
  <c r="AA2029" i="1"/>
  <c r="Z2029" i="1"/>
  <c r="Y2029" i="1"/>
  <c r="X2029" i="1"/>
  <c r="AA2028" i="1"/>
  <c r="Z2028" i="1"/>
  <c r="Y2028" i="1"/>
  <c r="X2028" i="1"/>
  <c r="AA2027" i="1"/>
  <c r="Z2027" i="1"/>
  <c r="Y2027" i="1"/>
  <c r="X2027" i="1"/>
  <c r="AA2026" i="1"/>
  <c r="Z2026" i="1"/>
  <c r="Y2026" i="1"/>
  <c r="X2026" i="1"/>
  <c r="AA2025" i="1"/>
  <c r="Z2025" i="1"/>
  <c r="Y2025" i="1"/>
  <c r="X2025" i="1"/>
  <c r="AA2024" i="1"/>
  <c r="Z2024" i="1"/>
  <c r="Y2024" i="1"/>
  <c r="X2024" i="1"/>
  <c r="AA2023" i="1"/>
  <c r="Z2023" i="1"/>
  <c r="Y2023" i="1"/>
  <c r="X2023" i="1"/>
  <c r="AA2022" i="1"/>
  <c r="Z2022" i="1"/>
  <c r="Y2022" i="1"/>
  <c r="X2022" i="1"/>
  <c r="AA2021" i="1"/>
  <c r="Z2021" i="1"/>
  <c r="Y2021" i="1"/>
  <c r="X2021" i="1"/>
  <c r="AA2020" i="1"/>
  <c r="Z2020" i="1"/>
  <c r="Y2020" i="1"/>
  <c r="X2020" i="1"/>
  <c r="AA2019" i="1"/>
  <c r="Z2019" i="1"/>
  <c r="Y2019" i="1"/>
  <c r="X2019" i="1"/>
  <c r="AA2018" i="1"/>
  <c r="Z2018" i="1"/>
  <c r="Y2018" i="1"/>
  <c r="X2018" i="1"/>
  <c r="AA2017" i="1"/>
  <c r="Z2017" i="1"/>
  <c r="Y2017" i="1"/>
  <c r="X2017" i="1"/>
  <c r="AA2016" i="1"/>
  <c r="Z2016" i="1"/>
  <c r="Y2016" i="1"/>
  <c r="X2016" i="1"/>
  <c r="AA2015" i="1"/>
  <c r="Z2015" i="1"/>
  <c r="Y2015" i="1"/>
  <c r="X2015" i="1"/>
  <c r="AA2014" i="1"/>
  <c r="Z2014" i="1"/>
  <c r="Y2014" i="1"/>
  <c r="X2014" i="1"/>
  <c r="AA2013" i="1"/>
  <c r="Z2013" i="1"/>
  <c r="Y2013" i="1"/>
  <c r="X2013" i="1"/>
  <c r="AA2012" i="1"/>
  <c r="Z2012" i="1"/>
  <c r="Y2012" i="1"/>
  <c r="X2012" i="1"/>
  <c r="AA2011" i="1"/>
  <c r="Z2011" i="1"/>
  <c r="Y2011" i="1"/>
  <c r="X2011" i="1"/>
  <c r="AA2010" i="1"/>
  <c r="Z2010" i="1"/>
  <c r="Y2010" i="1"/>
  <c r="X2010" i="1"/>
  <c r="AA2009" i="1"/>
  <c r="Z2009" i="1"/>
  <c r="Y2009" i="1"/>
  <c r="X2009" i="1"/>
  <c r="AA2008" i="1"/>
  <c r="Z2008" i="1"/>
  <c r="Y2008" i="1"/>
  <c r="X2008" i="1"/>
  <c r="AA2007" i="1"/>
  <c r="Z2007" i="1"/>
  <c r="Y2007" i="1"/>
  <c r="X2007" i="1"/>
  <c r="AA2006" i="1"/>
  <c r="Z2006" i="1"/>
  <c r="Y2006" i="1"/>
  <c r="X2006" i="1"/>
  <c r="AA2005" i="1"/>
  <c r="Z2005" i="1"/>
  <c r="Y2005" i="1"/>
  <c r="X2005" i="1"/>
  <c r="AA2004" i="1"/>
  <c r="Z2004" i="1"/>
  <c r="Y2004" i="1"/>
  <c r="X2004" i="1"/>
  <c r="AA2003" i="1"/>
  <c r="Z2003" i="1"/>
  <c r="Y2003" i="1"/>
  <c r="X2003" i="1"/>
  <c r="AA2002" i="1"/>
  <c r="Z2002" i="1"/>
  <c r="Y2002" i="1"/>
  <c r="X2002" i="1"/>
  <c r="AA2001" i="1"/>
  <c r="Z2001" i="1"/>
  <c r="Y2001" i="1"/>
  <c r="X2001" i="1"/>
  <c r="AA2000" i="1"/>
  <c r="Z2000" i="1"/>
  <c r="Y2000" i="1"/>
  <c r="X2000" i="1"/>
  <c r="AA1999" i="1"/>
  <c r="Z1999" i="1"/>
  <c r="Y1999" i="1"/>
  <c r="X1999" i="1"/>
  <c r="AA1998" i="1"/>
  <c r="Z1998" i="1"/>
  <c r="Y1998" i="1"/>
  <c r="X1998" i="1"/>
  <c r="AA1997" i="1"/>
  <c r="Z1997" i="1"/>
  <c r="Y1997" i="1"/>
  <c r="X1997" i="1"/>
  <c r="AA1996" i="1"/>
  <c r="Z1996" i="1"/>
  <c r="Y1996" i="1"/>
  <c r="X1996" i="1"/>
  <c r="AA1995" i="1"/>
  <c r="Z1995" i="1"/>
  <c r="Y1995" i="1"/>
  <c r="X1995" i="1"/>
  <c r="AA1994" i="1"/>
  <c r="Z1994" i="1"/>
  <c r="Y1994" i="1"/>
  <c r="X1994" i="1"/>
  <c r="AA1993" i="1"/>
  <c r="Z1993" i="1"/>
  <c r="Y1993" i="1"/>
  <c r="X1993" i="1"/>
  <c r="AA1992" i="1"/>
  <c r="Z1992" i="1"/>
  <c r="Y1992" i="1"/>
  <c r="X1992" i="1"/>
  <c r="AA1991" i="1"/>
  <c r="Z1991" i="1"/>
  <c r="Y1991" i="1"/>
  <c r="X1991" i="1"/>
  <c r="AA1990" i="1"/>
  <c r="Z1990" i="1"/>
  <c r="Y1990" i="1"/>
  <c r="X1990" i="1"/>
  <c r="AA1989" i="1"/>
  <c r="Z1989" i="1"/>
  <c r="Y1989" i="1"/>
  <c r="X1989" i="1"/>
  <c r="AA1988" i="1"/>
  <c r="Z1988" i="1"/>
  <c r="Y1988" i="1"/>
  <c r="X1988" i="1"/>
  <c r="AA1987" i="1"/>
  <c r="Z1987" i="1"/>
  <c r="Y1987" i="1"/>
  <c r="X1987" i="1"/>
  <c r="AA1986" i="1"/>
  <c r="Z1986" i="1"/>
  <c r="Y1986" i="1"/>
  <c r="X1986" i="1"/>
  <c r="AA1985" i="1"/>
  <c r="Z1985" i="1"/>
  <c r="Y1985" i="1"/>
  <c r="X1985" i="1"/>
  <c r="AA1984" i="1"/>
  <c r="Z1984" i="1"/>
  <c r="Y1984" i="1"/>
  <c r="X1984" i="1"/>
  <c r="AA1983" i="1"/>
  <c r="Z1983" i="1"/>
  <c r="Y1983" i="1"/>
  <c r="X1983" i="1"/>
  <c r="AA1982" i="1"/>
  <c r="Z1982" i="1"/>
  <c r="Y1982" i="1"/>
  <c r="X1982" i="1"/>
  <c r="AA1981" i="1"/>
  <c r="Z1981" i="1"/>
  <c r="Y1981" i="1"/>
  <c r="X1981" i="1"/>
  <c r="AA1980" i="1"/>
  <c r="Z1980" i="1"/>
  <c r="Y1980" i="1"/>
  <c r="X1980" i="1"/>
  <c r="AA1979" i="1"/>
  <c r="Z1979" i="1"/>
  <c r="Y1979" i="1"/>
  <c r="X1979" i="1"/>
  <c r="AA1978" i="1"/>
  <c r="Z1978" i="1"/>
  <c r="Y1978" i="1"/>
  <c r="X1978" i="1"/>
  <c r="AA1977" i="1"/>
  <c r="Z1977" i="1"/>
  <c r="Y1977" i="1"/>
  <c r="X1977" i="1"/>
  <c r="AA1976" i="1"/>
  <c r="Z1976" i="1"/>
  <c r="Y1976" i="1"/>
  <c r="X1976" i="1"/>
  <c r="AA1975" i="1"/>
  <c r="Z1975" i="1"/>
  <c r="Y1975" i="1"/>
  <c r="X1975" i="1"/>
  <c r="AA1974" i="1"/>
  <c r="Z1974" i="1"/>
  <c r="Y1974" i="1"/>
  <c r="X1974" i="1"/>
  <c r="AA1973" i="1"/>
  <c r="Z1973" i="1"/>
  <c r="Y1973" i="1"/>
  <c r="X1973" i="1"/>
  <c r="AA1972" i="1"/>
  <c r="Z1972" i="1"/>
  <c r="Y1972" i="1"/>
  <c r="X1972" i="1"/>
  <c r="AA1971" i="1"/>
  <c r="Z1971" i="1"/>
  <c r="Y1971" i="1"/>
  <c r="X1971" i="1"/>
  <c r="AA1970" i="1"/>
  <c r="Z1970" i="1"/>
  <c r="Y1970" i="1"/>
  <c r="X1970" i="1"/>
  <c r="AA1969" i="1"/>
  <c r="Z1969" i="1"/>
  <c r="Y1969" i="1"/>
  <c r="X1969" i="1"/>
  <c r="AA1968" i="1"/>
  <c r="Z1968" i="1"/>
  <c r="Y1968" i="1"/>
  <c r="X1968" i="1"/>
  <c r="AA1967" i="1"/>
  <c r="Z1967" i="1"/>
  <c r="Y1967" i="1"/>
  <c r="X1967" i="1"/>
  <c r="AA1966" i="1"/>
  <c r="Z1966" i="1"/>
  <c r="Y1966" i="1"/>
  <c r="X1966" i="1"/>
  <c r="AA1965" i="1"/>
  <c r="Z1965" i="1"/>
  <c r="Y1965" i="1"/>
  <c r="X1965" i="1"/>
  <c r="AA1964" i="1"/>
  <c r="Z1964" i="1"/>
  <c r="Y1964" i="1"/>
  <c r="X1964" i="1"/>
  <c r="AA1963" i="1"/>
  <c r="Z1963" i="1"/>
  <c r="Y1963" i="1"/>
  <c r="X1963" i="1"/>
  <c r="AA1962" i="1"/>
  <c r="Z1962" i="1"/>
  <c r="Y1962" i="1"/>
  <c r="X1962" i="1"/>
  <c r="AA1961" i="1"/>
  <c r="Z1961" i="1"/>
  <c r="Y1961" i="1"/>
  <c r="X1961" i="1"/>
  <c r="AA1960" i="1"/>
  <c r="Z1960" i="1"/>
  <c r="Y1960" i="1"/>
  <c r="X1960" i="1"/>
  <c r="AA1959" i="1"/>
  <c r="Z1959" i="1"/>
  <c r="Y1959" i="1"/>
  <c r="X1959" i="1"/>
  <c r="AA1958" i="1"/>
  <c r="Z1958" i="1"/>
  <c r="Y1958" i="1"/>
  <c r="X1958" i="1"/>
  <c r="AA1957" i="1"/>
  <c r="Z1957" i="1"/>
  <c r="Y1957" i="1"/>
  <c r="X1957" i="1"/>
  <c r="AA1956" i="1"/>
  <c r="Z1956" i="1"/>
  <c r="Y1956" i="1"/>
  <c r="X1956" i="1"/>
  <c r="AA1955" i="1"/>
  <c r="Z1955" i="1"/>
  <c r="Y1955" i="1"/>
  <c r="X1955" i="1"/>
  <c r="AA1954" i="1"/>
  <c r="Z1954" i="1"/>
  <c r="Y1954" i="1"/>
  <c r="X1954" i="1"/>
  <c r="AA1953" i="1"/>
  <c r="Z1953" i="1"/>
  <c r="Y1953" i="1"/>
  <c r="X1953" i="1"/>
  <c r="AA1952" i="1"/>
  <c r="Z1952" i="1"/>
  <c r="Y1952" i="1"/>
  <c r="X1952" i="1"/>
  <c r="AA1951" i="1"/>
  <c r="Z1951" i="1"/>
  <c r="Y1951" i="1"/>
  <c r="X1951" i="1"/>
  <c r="AA1950" i="1"/>
  <c r="Z1950" i="1"/>
  <c r="Y1950" i="1"/>
  <c r="X1950" i="1"/>
  <c r="AA1949" i="1"/>
  <c r="Z1949" i="1"/>
  <c r="Y1949" i="1"/>
  <c r="X1949" i="1"/>
  <c r="AA1948" i="1"/>
  <c r="Z1948" i="1"/>
  <c r="Y1948" i="1"/>
  <c r="X1948" i="1"/>
  <c r="AA1947" i="1"/>
  <c r="Z1947" i="1"/>
  <c r="Y1947" i="1"/>
  <c r="X1947" i="1"/>
  <c r="AA1946" i="1"/>
  <c r="Z1946" i="1"/>
  <c r="Y1946" i="1"/>
  <c r="X1946" i="1"/>
  <c r="AA1945" i="1"/>
  <c r="Z1945" i="1"/>
  <c r="Y1945" i="1"/>
  <c r="X1945" i="1"/>
  <c r="AA1944" i="1"/>
  <c r="Z1944" i="1"/>
  <c r="Y1944" i="1"/>
  <c r="X1944" i="1"/>
  <c r="AA1943" i="1"/>
  <c r="Z1943" i="1"/>
  <c r="Y1943" i="1"/>
  <c r="X1943" i="1"/>
  <c r="AA1942" i="1"/>
  <c r="Z1942" i="1"/>
  <c r="Y1942" i="1"/>
  <c r="X1942" i="1"/>
  <c r="AA1941" i="1"/>
  <c r="Z1941" i="1"/>
  <c r="Y1941" i="1"/>
  <c r="X1941" i="1"/>
  <c r="AA1940" i="1"/>
  <c r="Z1940" i="1"/>
  <c r="Y1940" i="1"/>
  <c r="X1940" i="1"/>
  <c r="AA1939" i="1"/>
  <c r="Z1939" i="1"/>
  <c r="Y1939" i="1"/>
  <c r="X1939" i="1"/>
  <c r="AA1938" i="1"/>
  <c r="Z1938" i="1"/>
  <c r="Y1938" i="1"/>
  <c r="X1938" i="1"/>
  <c r="AA1937" i="1"/>
  <c r="Z1937" i="1"/>
  <c r="Y1937" i="1"/>
  <c r="X1937" i="1"/>
  <c r="AA1936" i="1"/>
  <c r="Z1936" i="1"/>
  <c r="Y1936" i="1"/>
  <c r="X1936" i="1"/>
  <c r="AA1935" i="1"/>
  <c r="Z1935" i="1"/>
  <c r="Y1935" i="1"/>
  <c r="X1935" i="1"/>
  <c r="AA1934" i="1"/>
  <c r="Z1934" i="1"/>
  <c r="Y1934" i="1"/>
  <c r="X1934" i="1"/>
  <c r="AA1933" i="1"/>
  <c r="Z1933" i="1"/>
  <c r="Y1933" i="1"/>
  <c r="X1933" i="1"/>
  <c r="AA1932" i="1"/>
  <c r="Z1932" i="1"/>
  <c r="Y1932" i="1"/>
  <c r="X1932" i="1"/>
  <c r="AA1931" i="1"/>
  <c r="Z1931" i="1"/>
  <c r="Y1931" i="1"/>
  <c r="X1931" i="1"/>
  <c r="AA1930" i="1"/>
  <c r="Z1930" i="1"/>
  <c r="Y1930" i="1"/>
  <c r="X1930" i="1"/>
  <c r="AA1929" i="1"/>
  <c r="Z1929" i="1"/>
  <c r="Y1929" i="1"/>
  <c r="X1929" i="1"/>
  <c r="AA1928" i="1"/>
  <c r="Z1928" i="1"/>
  <c r="Y1928" i="1"/>
  <c r="X1928" i="1"/>
  <c r="AA1927" i="1"/>
  <c r="Z1927" i="1"/>
  <c r="Y1927" i="1"/>
  <c r="X1927" i="1"/>
  <c r="AA1926" i="1"/>
  <c r="Z1926" i="1"/>
  <c r="Y1926" i="1"/>
  <c r="X1926" i="1"/>
  <c r="AA1925" i="1"/>
  <c r="Z1925" i="1"/>
  <c r="Y1925" i="1"/>
  <c r="X1925" i="1"/>
  <c r="AA1924" i="1"/>
  <c r="Z1924" i="1"/>
  <c r="Y1924" i="1"/>
  <c r="X1924" i="1"/>
  <c r="AA1923" i="1"/>
  <c r="Z1923" i="1"/>
  <c r="Y1923" i="1"/>
  <c r="X1923" i="1"/>
  <c r="AA1922" i="1"/>
  <c r="Z1922" i="1"/>
  <c r="Y1922" i="1"/>
  <c r="X1922" i="1"/>
  <c r="AA1921" i="1"/>
  <c r="Z1921" i="1"/>
  <c r="Y1921" i="1"/>
  <c r="X1921" i="1"/>
  <c r="AA1920" i="1"/>
  <c r="Z1920" i="1"/>
  <c r="Y1920" i="1"/>
  <c r="X1920" i="1"/>
  <c r="AA1919" i="1"/>
  <c r="Z1919" i="1"/>
  <c r="Y1919" i="1"/>
  <c r="X1919" i="1"/>
  <c r="AA1918" i="1"/>
  <c r="Z1918" i="1"/>
  <c r="Y1918" i="1"/>
  <c r="X1918" i="1"/>
  <c r="AA1917" i="1"/>
  <c r="Z1917" i="1"/>
  <c r="Y1917" i="1"/>
  <c r="X1917" i="1"/>
  <c r="AA1916" i="1"/>
  <c r="Z1916" i="1"/>
  <c r="Y1916" i="1"/>
  <c r="X1916" i="1"/>
  <c r="AA1915" i="1"/>
  <c r="Z1915" i="1"/>
  <c r="Y1915" i="1"/>
  <c r="X1915" i="1"/>
  <c r="AA1914" i="1"/>
  <c r="Z1914" i="1"/>
  <c r="Y1914" i="1"/>
  <c r="X1914" i="1"/>
  <c r="AA1913" i="1"/>
  <c r="Z1913" i="1"/>
  <c r="Y1913" i="1"/>
  <c r="X1913" i="1"/>
  <c r="AA1912" i="1"/>
  <c r="Z1912" i="1"/>
  <c r="Y1912" i="1"/>
  <c r="X1912" i="1"/>
  <c r="AA1911" i="1"/>
  <c r="Z1911" i="1"/>
  <c r="Y1911" i="1"/>
  <c r="X1911" i="1"/>
  <c r="AA1910" i="1"/>
  <c r="Z1910" i="1"/>
  <c r="Y1910" i="1"/>
  <c r="X1910" i="1"/>
  <c r="AA1909" i="1"/>
  <c r="Z1909" i="1"/>
  <c r="Y1909" i="1"/>
  <c r="X1909" i="1"/>
  <c r="AA1908" i="1"/>
  <c r="Z1908" i="1"/>
  <c r="Y1908" i="1"/>
  <c r="X1908" i="1"/>
  <c r="AA1907" i="1"/>
  <c r="Z1907" i="1"/>
  <c r="Y1907" i="1"/>
  <c r="X1907" i="1"/>
  <c r="AA1906" i="1"/>
  <c r="Z1906" i="1"/>
  <c r="Y1906" i="1"/>
  <c r="X1906" i="1"/>
  <c r="AA1905" i="1"/>
  <c r="Z1905" i="1"/>
  <c r="Y1905" i="1"/>
  <c r="X1905" i="1"/>
  <c r="AA1904" i="1"/>
  <c r="Z1904" i="1"/>
  <c r="Y1904" i="1"/>
  <c r="X1904" i="1"/>
  <c r="AA1903" i="1"/>
  <c r="Z1903" i="1"/>
  <c r="Y1903" i="1"/>
  <c r="X1903" i="1"/>
  <c r="AA1902" i="1"/>
  <c r="Z1902" i="1"/>
  <c r="Y1902" i="1"/>
  <c r="X1902" i="1"/>
  <c r="AA1901" i="1"/>
  <c r="Z1901" i="1"/>
  <c r="Y1901" i="1"/>
  <c r="X1901" i="1"/>
  <c r="AA1900" i="1"/>
  <c r="Z1900" i="1"/>
  <c r="Y1900" i="1"/>
  <c r="X1900" i="1"/>
  <c r="AA1899" i="1"/>
  <c r="Z1899" i="1"/>
  <c r="Y1899" i="1"/>
  <c r="X1899" i="1"/>
  <c r="AA1898" i="1"/>
  <c r="Z1898" i="1"/>
  <c r="Y1898" i="1"/>
  <c r="X1898" i="1"/>
  <c r="AA1897" i="1"/>
  <c r="Z1897" i="1"/>
  <c r="Y1897" i="1"/>
  <c r="X1897" i="1"/>
  <c r="AA1896" i="1"/>
  <c r="Z1896" i="1"/>
  <c r="Y1896" i="1"/>
  <c r="X1896" i="1"/>
  <c r="AA1895" i="1"/>
  <c r="Z1895" i="1"/>
  <c r="Y1895" i="1"/>
  <c r="X1895" i="1"/>
  <c r="AA1894" i="1"/>
  <c r="Z1894" i="1"/>
  <c r="Y1894" i="1"/>
  <c r="X1894" i="1"/>
  <c r="AA1893" i="1"/>
  <c r="Z1893" i="1"/>
  <c r="Y1893" i="1"/>
  <c r="X1893" i="1"/>
  <c r="AA1892" i="1"/>
  <c r="Z1892" i="1"/>
  <c r="Y1892" i="1"/>
  <c r="X1892" i="1"/>
  <c r="AA1891" i="1"/>
  <c r="Z1891" i="1"/>
  <c r="Y1891" i="1"/>
  <c r="X1891" i="1"/>
  <c r="AA1890" i="1"/>
  <c r="Z1890" i="1"/>
  <c r="Y1890" i="1"/>
  <c r="X1890" i="1"/>
  <c r="AA1889" i="1"/>
  <c r="Z1889" i="1"/>
  <c r="Y1889" i="1"/>
  <c r="X1889" i="1"/>
  <c r="AA1888" i="1"/>
  <c r="Z1888" i="1"/>
  <c r="Y1888" i="1"/>
  <c r="X1888" i="1"/>
  <c r="AA1887" i="1"/>
  <c r="Z1887" i="1"/>
  <c r="Y1887" i="1"/>
  <c r="X1887" i="1"/>
  <c r="AA1886" i="1"/>
  <c r="Z1886" i="1"/>
  <c r="Y1886" i="1"/>
  <c r="X1886" i="1"/>
  <c r="AA1885" i="1"/>
  <c r="Z1885" i="1"/>
  <c r="Y1885" i="1"/>
  <c r="X1885" i="1"/>
  <c r="AA1884" i="1"/>
  <c r="Z1884" i="1"/>
  <c r="Y1884" i="1"/>
  <c r="X1884" i="1"/>
  <c r="AA1883" i="1"/>
  <c r="Z1883" i="1"/>
  <c r="Y1883" i="1"/>
  <c r="X1883" i="1"/>
  <c r="AA1882" i="1"/>
  <c r="Z1882" i="1"/>
  <c r="Y1882" i="1"/>
  <c r="X1882" i="1"/>
  <c r="AA1881" i="1"/>
  <c r="Z1881" i="1"/>
  <c r="Y1881" i="1"/>
  <c r="X1881" i="1"/>
  <c r="AA1880" i="1"/>
  <c r="Z1880" i="1"/>
  <c r="Y1880" i="1"/>
  <c r="X1880" i="1"/>
  <c r="AA1879" i="1"/>
  <c r="Z1879" i="1"/>
  <c r="Y1879" i="1"/>
  <c r="X1879" i="1"/>
  <c r="AA1878" i="1"/>
  <c r="Z1878" i="1"/>
  <c r="Y1878" i="1"/>
  <c r="X1878" i="1"/>
  <c r="AA1877" i="1"/>
  <c r="Z1877" i="1"/>
  <c r="Y1877" i="1"/>
  <c r="X1877" i="1"/>
  <c r="AA1876" i="1"/>
  <c r="Z1876" i="1"/>
  <c r="Y1876" i="1"/>
  <c r="X1876" i="1"/>
  <c r="AA1875" i="1"/>
  <c r="Z1875" i="1"/>
  <c r="Y1875" i="1"/>
  <c r="X1875" i="1"/>
  <c r="AA1874" i="1"/>
  <c r="Z1874" i="1"/>
  <c r="Y1874" i="1"/>
  <c r="X1874" i="1"/>
  <c r="AA1873" i="1"/>
  <c r="Z1873" i="1"/>
  <c r="Y1873" i="1"/>
  <c r="X1873" i="1"/>
  <c r="AA1872" i="1"/>
  <c r="Z1872" i="1"/>
  <c r="Y1872" i="1"/>
  <c r="X1872" i="1"/>
  <c r="AA1871" i="1"/>
  <c r="Z1871" i="1"/>
  <c r="Y1871" i="1"/>
  <c r="X1871" i="1"/>
  <c r="AA1870" i="1"/>
  <c r="Z1870" i="1"/>
  <c r="Y1870" i="1"/>
  <c r="X1870" i="1"/>
  <c r="AA1869" i="1"/>
  <c r="Z1869" i="1"/>
  <c r="Y1869" i="1"/>
  <c r="X1869" i="1"/>
  <c r="AA1868" i="1"/>
  <c r="Z1868" i="1"/>
  <c r="Y1868" i="1"/>
  <c r="X1868" i="1"/>
  <c r="AA1867" i="1"/>
  <c r="Z1867" i="1"/>
  <c r="Y1867" i="1"/>
  <c r="X1867" i="1"/>
  <c r="AA1866" i="1"/>
  <c r="Z1866" i="1"/>
  <c r="Y1866" i="1"/>
  <c r="X1866" i="1"/>
  <c r="AA1865" i="1"/>
  <c r="Z1865" i="1"/>
  <c r="Y1865" i="1"/>
  <c r="X1865" i="1"/>
  <c r="AA1864" i="1"/>
  <c r="Z1864" i="1"/>
  <c r="Y1864" i="1"/>
  <c r="X1864" i="1"/>
  <c r="AA1863" i="1"/>
  <c r="Z1863" i="1"/>
  <c r="Y1863" i="1"/>
  <c r="X1863" i="1"/>
  <c r="AA1862" i="1"/>
  <c r="Z1862" i="1"/>
  <c r="Y1862" i="1"/>
  <c r="X1862" i="1"/>
  <c r="AA1861" i="1"/>
  <c r="Z1861" i="1"/>
  <c r="Y1861" i="1"/>
  <c r="X1861" i="1"/>
  <c r="AA1860" i="1"/>
  <c r="Z1860" i="1"/>
  <c r="Y1860" i="1"/>
  <c r="X1860" i="1"/>
  <c r="AA1859" i="1"/>
  <c r="Z1859" i="1"/>
  <c r="Y1859" i="1"/>
  <c r="X1859" i="1"/>
  <c r="AA1858" i="1"/>
  <c r="Z1858" i="1"/>
  <c r="Y1858" i="1"/>
  <c r="X1858" i="1"/>
  <c r="AA1857" i="1"/>
  <c r="Z1857" i="1"/>
  <c r="Y1857" i="1"/>
  <c r="X1857" i="1"/>
  <c r="AA1856" i="1"/>
  <c r="Z1856" i="1"/>
  <c r="Y1856" i="1"/>
  <c r="X1856" i="1"/>
  <c r="AA1855" i="1"/>
  <c r="Z1855" i="1"/>
  <c r="Y1855" i="1"/>
  <c r="X1855" i="1"/>
  <c r="AA1854" i="1"/>
  <c r="Z1854" i="1"/>
  <c r="Y1854" i="1"/>
  <c r="X1854" i="1"/>
  <c r="AA1853" i="1"/>
  <c r="Z1853" i="1"/>
  <c r="Y1853" i="1"/>
  <c r="X1853" i="1"/>
  <c r="AA1852" i="1"/>
  <c r="Z1852" i="1"/>
  <c r="Y1852" i="1"/>
  <c r="X1852" i="1"/>
  <c r="AA1851" i="1"/>
  <c r="Z1851" i="1"/>
  <c r="Y1851" i="1"/>
  <c r="X1851" i="1"/>
  <c r="AA1850" i="1"/>
  <c r="Z1850" i="1"/>
  <c r="Y1850" i="1"/>
  <c r="X1850" i="1"/>
  <c r="AA1849" i="1"/>
  <c r="Z1849" i="1"/>
  <c r="Y1849" i="1"/>
  <c r="X1849" i="1"/>
  <c r="AA1848" i="1"/>
  <c r="Z1848" i="1"/>
  <c r="Y1848" i="1"/>
  <c r="X1848" i="1"/>
  <c r="AA1847" i="1"/>
  <c r="Z1847" i="1"/>
  <c r="Y1847" i="1"/>
  <c r="X1847" i="1"/>
  <c r="AA1846" i="1"/>
  <c r="Z1846" i="1"/>
  <c r="Y1846" i="1"/>
  <c r="X1846" i="1"/>
  <c r="AA1845" i="1"/>
  <c r="Z1845" i="1"/>
  <c r="Y1845" i="1"/>
  <c r="X1845" i="1"/>
  <c r="AA1844" i="1"/>
  <c r="Z1844" i="1"/>
  <c r="Y1844" i="1"/>
  <c r="X1844" i="1"/>
  <c r="AA1843" i="1"/>
  <c r="Z1843" i="1"/>
  <c r="Y1843" i="1"/>
  <c r="X1843" i="1"/>
  <c r="AA1842" i="1"/>
  <c r="Z1842" i="1"/>
  <c r="Y1842" i="1"/>
  <c r="X1842" i="1"/>
  <c r="AA1841" i="1"/>
  <c r="Z1841" i="1"/>
  <c r="Y1841" i="1"/>
  <c r="X1841" i="1"/>
  <c r="AA1840" i="1"/>
  <c r="Z1840" i="1"/>
  <c r="Y1840" i="1"/>
  <c r="X1840" i="1"/>
  <c r="AA1839" i="1"/>
  <c r="Z1839" i="1"/>
  <c r="Y1839" i="1"/>
  <c r="X1839" i="1"/>
  <c r="AA1838" i="1"/>
  <c r="Z1838" i="1"/>
  <c r="Y1838" i="1"/>
  <c r="X1838" i="1"/>
  <c r="AA1837" i="1"/>
  <c r="Z1837" i="1"/>
  <c r="Y1837" i="1"/>
  <c r="X1837" i="1"/>
  <c r="AA1836" i="1"/>
  <c r="Z1836" i="1"/>
  <c r="Y1836" i="1"/>
  <c r="X1836" i="1"/>
  <c r="AA1835" i="1"/>
  <c r="Z1835" i="1"/>
  <c r="Y1835" i="1"/>
  <c r="X1835" i="1"/>
  <c r="AA1834" i="1"/>
  <c r="Z1834" i="1"/>
  <c r="Y1834" i="1"/>
  <c r="X1834" i="1"/>
  <c r="AA1833" i="1"/>
  <c r="Z1833" i="1"/>
  <c r="Y1833" i="1"/>
  <c r="X1833" i="1"/>
  <c r="AA1832" i="1"/>
  <c r="Z1832" i="1"/>
  <c r="Y1832" i="1"/>
  <c r="X1832" i="1"/>
  <c r="AA1831" i="1"/>
  <c r="Z1831" i="1"/>
  <c r="Y1831" i="1"/>
  <c r="X1831" i="1"/>
  <c r="AA1830" i="1"/>
  <c r="Z1830" i="1"/>
  <c r="Y1830" i="1"/>
  <c r="X1830" i="1"/>
  <c r="AA1829" i="1"/>
  <c r="Z1829" i="1"/>
  <c r="Y1829" i="1"/>
  <c r="X1829" i="1"/>
  <c r="AA1828" i="1"/>
  <c r="Z1828" i="1"/>
  <c r="Y1828" i="1"/>
  <c r="X1828" i="1"/>
  <c r="AA1827" i="1"/>
  <c r="Z1827" i="1"/>
  <c r="Y1827" i="1"/>
  <c r="X1827" i="1"/>
  <c r="AA1826" i="1"/>
  <c r="Z1826" i="1"/>
  <c r="Y1826" i="1"/>
  <c r="X1826" i="1"/>
  <c r="AA1825" i="1"/>
  <c r="Z1825" i="1"/>
  <c r="Y1825" i="1"/>
  <c r="X1825" i="1"/>
  <c r="AA1824" i="1"/>
  <c r="Z1824" i="1"/>
  <c r="Y1824" i="1"/>
  <c r="X1824" i="1"/>
  <c r="AA1823" i="1"/>
  <c r="Z1823" i="1"/>
  <c r="Y1823" i="1"/>
  <c r="X1823" i="1"/>
  <c r="AA1822" i="1"/>
  <c r="Z1822" i="1"/>
  <c r="Y1822" i="1"/>
  <c r="X1822" i="1"/>
  <c r="AA1821" i="1"/>
  <c r="Z1821" i="1"/>
  <c r="Y1821" i="1"/>
  <c r="X1821" i="1"/>
  <c r="AA1820" i="1"/>
  <c r="Z1820" i="1"/>
  <c r="Y1820" i="1"/>
  <c r="X1820" i="1"/>
  <c r="AA1819" i="1"/>
  <c r="Z1819" i="1"/>
  <c r="Y1819" i="1"/>
  <c r="X1819" i="1"/>
  <c r="AA1818" i="1"/>
  <c r="Z1818" i="1"/>
  <c r="Y1818" i="1"/>
  <c r="X1818" i="1"/>
  <c r="AA1817" i="1"/>
  <c r="Z1817" i="1"/>
  <c r="Y1817" i="1"/>
  <c r="X1817" i="1"/>
  <c r="AA1816" i="1"/>
  <c r="Z1816" i="1"/>
  <c r="Y1816" i="1"/>
  <c r="X1816" i="1"/>
  <c r="AA1815" i="1"/>
  <c r="Z1815" i="1"/>
  <c r="Y1815" i="1"/>
  <c r="X1815" i="1"/>
  <c r="AA1814" i="1"/>
  <c r="Z1814" i="1"/>
  <c r="Y1814" i="1"/>
  <c r="X1814" i="1"/>
  <c r="AA1813" i="1"/>
  <c r="Z1813" i="1"/>
  <c r="Y1813" i="1"/>
  <c r="X1813" i="1"/>
  <c r="AA1812" i="1"/>
  <c r="Z1812" i="1"/>
  <c r="Y1812" i="1"/>
  <c r="X1812" i="1"/>
  <c r="AA1811" i="1"/>
  <c r="Z1811" i="1"/>
  <c r="Y1811" i="1"/>
  <c r="X1811" i="1"/>
  <c r="AA1810" i="1"/>
  <c r="Z1810" i="1"/>
  <c r="Y1810" i="1"/>
  <c r="X1810" i="1"/>
  <c r="AA1809" i="1"/>
  <c r="Z1809" i="1"/>
  <c r="Y1809" i="1"/>
  <c r="X1809" i="1"/>
  <c r="AA1808" i="1"/>
  <c r="Z1808" i="1"/>
  <c r="Y1808" i="1"/>
  <c r="X1808" i="1"/>
  <c r="AA1807" i="1"/>
  <c r="Z1807" i="1"/>
  <c r="Y1807" i="1"/>
  <c r="X1807" i="1"/>
  <c r="AA1806" i="1"/>
  <c r="Z1806" i="1"/>
  <c r="Y1806" i="1"/>
  <c r="X1806" i="1"/>
  <c r="AA1805" i="1"/>
  <c r="Z1805" i="1"/>
  <c r="Y1805" i="1"/>
  <c r="X1805" i="1"/>
  <c r="AA1804" i="1"/>
  <c r="Z1804" i="1"/>
  <c r="Y1804" i="1"/>
  <c r="X1804" i="1"/>
  <c r="AA1803" i="1"/>
  <c r="Z1803" i="1"/>
  <c r="Y1803" i="1"/>
  <c r="X1803" i="1"/>
  <c r="AA1802" i="1"/>
  <c r="Z1802" i="1"/>
  <c r="Y1802" i="1"/>
  <c r="X1802" i="1"/>
  <c r="AA1801" i="1"/>
  <c r="Z1801" i="1"/>
  <c r="Y1801" i="1"/>
  <c r="X1801" i="1"/>
  <c r="AA1800" i="1"/>
  <c r="Z1800" i="1"/>
  <c r="Y1800" i="1"/>
  <c r="X1800" i="1"/>
  <c r="AA1799" i="1"/>
  <c r="Z1799" i="1"/>
  <c r="Y1799" i="1"/>
  <c r="X1799" i="1"/>
  <c r="AA1798" i="1"/>
  <c r="Z1798" i="1"/>
  <c r="Y1798" i="1"/>
  <c r="X1798" i="1"/>
  <c r="AA1797" i="1"/>
  <c r="Z1797" i="1"/>
  <c r="Y1797" i="1"/>
  <c r="X1797" i="1"/>
  <c r="AA1796" i="1"/>
  <c r="Z1796" i="1"/>
  <c r="Y1796" i="1"/>
  <c r="X1796" i="1"/>
  <c r="AA1795" i="1"/>
  <c r="Z1795" i="1"/>
  <c r="Y1795" i="1"/>
  <c r="X1795" i="1"/>
  <c r="AA1794" i="1"/>
  <c r="Z1794" i="1"/>
  <c r="Y1794" i="1"/>
  <c r="X1794" i="1"/>
  <c r="AA1793" i="1"/>
  <c r="Z1793" i="1"/>
  <c r="Y1793" i="1"/>
  <c r="X1793" i="1"/>
  <c r="AA1792" i="1"/>
  <c r="Z1792" i="1"/>
  <c r="Y1792" i="1"/>
  <c r="X1792" i="1"/>
  <c r="AA1791" i="1"/>
  <c r="Z1791" i="1"/>
  <c r="Y1791" i="1"/>
  <c r="X1791" i="1"/>
  <c r="AA1790" i="1"/>
  <c r="Z1790" i="1"/>
  <c r="Y1790" i="1"/>
  <c r="X1790" i="1"/>
  <c r="AA1789" i="1"/>
  <c r="Z1789" i="1"/>
  <c r="Y1789" i="1"/>
  <c r="X1789" i="1"/>
  <c r="AA1788" i="1"/>
  <c r="Z1788" i="1"/>
  <c r="Y1788" i="1"/>
  <c r="X1788" i="1"/>
  <c r="AA1787" i="1"/>
  <c r="Z1787" i="1"/>
  <c r="Y1787" i="1"/>
  <c r="X1787" i="1"/>
  <c r="AA1786" i="1"/>
  <c r="Z1786" i="1"/>
  <c r="Y1786" i="1"/>
  <c r="X1786" i="1"/>
  <c r="AA1785" i="1"/>
  <c r="Z1785" i="1"/>
  <c r="Y1785" i="1"/>
  <c r="X1785" i="1"/>
  <c r="AA1784" i="1"/>
  <c r="Z1784" i="1"/>
  <c r="Y1784" i="1"/>
  <c r="X1784" i="1"/>
  <c r="AA1783" i="1"/>
  <c r="Z1783" i="1"/>
  <c r="Y1783" i="1"/>
  <c r="X1783" i="1"/>
  <c r="AA1782" i="1"/>
  <c r="Z1782" i="1"/>
  <c r="Y1782" i="1"/>
  <c r="X1782" i="1"/>
  <c r="AA1781" i="1"/>
  <c r="Z1781" i="1"/>
  <c r="Y1781" i="1"/>
  <c r="X1781" i="1"/>
  <c r="AA1780" i="1"/>
  <c r="Z1780" i="1"/>
  <c r="Y1780" i="1"/>
  <c r="X1780" i="1"/>
  <c r="AA1779" i="1"/>
  <c r="Z1779" i="1"/>
  <c r="Y1779" i="1"/>
  <c r="X1779" i="1"/>
  <c r="AA1778" i="1"/>
  <c r="Z1778" i="1"/>
  <c r="Y1778" i="1"/>
  <c r="X1778" i="1"/>
  <c r="AA1777" i="1"/>
  <c r="Z1777" i="1"/>
  <c r="Y1777" i="1"/>
  <c r="X1777" i="1"/>
  <c r="AA1776" i="1"/>
  <c r="Z1776" i="1"/>
  <c r="Y1776" i="1"/>
  <c r="X1776" i="1"/>
  <c r="AA1775" i="1"/>
  <c r="Z1775" i="1"/>
  <c r="Y1775" i="1"/>
  <c r="X1775" i="1"/>
  <c r="AA1774" i="1"/>
  <c r="Z1774" i="1"/>
  <c r="Y1774" i="1"/>
  <c r="X1774" i="1"/>
  <c r="AA1773" i="1"/>
  <c r="Z1773" i="1"/>
  <c r="Y1773" i="1"/>
  <c r="X1773" i="1"/>
  <c r="AA1772" i="1"/>
  <c r="Z1772" i="1"/>
  <c r="Y1772" i="1"/>
  <c r="X1772" i="1"/>
  <c r="AA1771" i="1"/>
  <c r="Z1771" i="1"/>
  <c r="Y1771" i="1"/>
  <c r="X1771" i="1"/>
  <c r="AA1770" i="1"/>
  <c r="Z1770" i="1"/>
  <c r="Y1770" i="1"/>
  <c r="X1770" i="1"/>
  <c r="AA1769" i="1"/>
  <c r="Z1769" i="1"/>
  <c r="Y1769" i="1"/>
  <c r="X1769" i="1"/>
  <c r="AA1768" i="1"/>
  <c r="Z1768" i="1"/>
  <c r="Y1768" i="1"/>
  <c r="X1768" i="1"/>
  <c r="AA1767" i="1"/>
  <c r="Z1767" i="1"/>
  <c r="Y1767" i="1"/>
  <c r="X1767" i="1"/>
  <c r="AA1766" i="1"/>
  <c r="Z1766" i="1"/>
  <c r="Y1766" i="1"/>
  <c r="X1766" i="1"/>
  <c r="AA1765" i="1"/>
  <c r="Z1765" i="1"/>
  <c r="Y1765" i="1"/>
  <c r="X1765" i="1"/>
  <c r="AA1764" i="1"/>
  <c r="Z1764" i="1"/>
  <c r="Y1764" i="1"/>
  <c r="X1764" i="1"/>
  <c r="AA1763" i="1"/>
  <c r="Z1763" i="1"/>
  <c r="Y1763" i="1"/>
  <c r="X1763" i="1"/>
  <c r="AA1762" i="1"/>
  <c r="Z1762" i="1"/>
  <c r="Y1762" i="1"/>
  <c r="X1762" i="1"/>
  <c r="AA1761" i="1"/>
  <c r="Z1761" i="1"/>
  <c r="Y1761" i="1"/>
  <c r="X1761" i="1"/>
  <c r="AA1760" i="1"/>
  <c r="Z1760" i="1"/>
  <c r="Y1760" i="1"/>
  <c r="X1760" i="1"/>
  <c r="AA1759" i="1"/>
  <c r="Z1759" i="1"/>
  <c r="Y1759" i="1"/>
  <c r="X1759" i="1"/>
  <c r="AA1758" i="1"/>
  <c r="Z1758" i="1"/>
  <c r="Y1758" i="1"/>
  <c r="X1758" i="1"/>
  <c r="AA1757" i="1"/>
  <c r="Z1757" i="1"/>
  <c r="Y1757" i="1"/>
  <c r="X1757" i="1"/>
  <c r="AA1756" i="1"/>
  <c r="Z1756" i="1"/>
  <c r="Y1756" i="1"/>
  <c r="X1756" i="1"/>
  <c r="AA1755" i="1"/>
  <c r="Z1755" i="1"/>
  <c r="Y1755" i="1"/>
  <c r="X1755" i="1"/>
  <c r="AA1754" i="1"/>
  <c r="Z1754" i="1"/>
  <c r="Y1754" i="1"/>
  <c r="X1754" i="1"/>
  <c r="AA1753" i="1"/>
  <c r="Z1753" i="1"/>
  <c r="Y1753" i="1"/>
  <c r="X1753" i="1"/>
  <c r="AA1752" i="1"/>
  <c r="Z1752" i="1"/>
  <c r="Y1752" i="1"/>
  <c r="X1752" i="1"/>
  <c r="AA1751" i="1"/>
  <c r="Z1751" i="1"/>
  <c r="Y1751" i="1"/>
  <c r="X1751" i="1"/>
  <c r="AA1750" i="1"/>
  <c r="Z1750" i="1"/>
  <c r="Y1750" i="1"/>
  <c r="X1750" i="1"/>
  <c r="AA1749" i="1"/>
  <c r="Z1749" i="1"/>
  <c r="Y1749" i="1"/>
  <c r="X1749" i="1"/>
  <c r="AA1748" i="1"/>
  <c r="Z1748" i="1"/>
  <c r="Y1748" i="1"/>
  <c r="X1748" i="1"/>
  <c r="AA1747" i="1"/>
  <c r="Z1747" i="1"/>
  <c r="Y1747" i="1"/>
  <c r="X1747" i="1"/>
  <c r="AA1746" i="1"/>
  <c r="Z1746" i="1"/>
  <c r="Y1746" i="1"/>
  <c r="X1746" i="1"/>
  <c r="AA1745" i="1"/>
  <c r="Z1745" i="1"/>
  <c r="Y1745" i="1"/>
  <c r="X1745" i="1"/>
  <c r="AA1744" i="1"/>
  <c r="Z1744" i="1"/>
  <c r="Y1744" i="1"/>
  <c r="X1744" i="1"/>
  <c r="AA1743" i="1"/>
  <c r="Z1743" i="1"/>
  <c r="Y1743" i="1"/>
  <c r="X1743" i="1"/>
  <c r="AA1742" i="1"/>
  <c r="Z1742" i="1"/>
  <c r="Y1742" i="1"/>
  <c r="X1742" i="1"/>
  <c r="AA1741" i="1"/>
  <c r="Z1741" i="1"/>
  <c r="Y1741" i="1"/>
  <c r="X1741" i="1"/>
  <c r="AA1740" i="1"/>
  <c r="Z1740" i="1"/>
  <c r="Y1740" i="1"/>
  <c r="X1740" i="1"/>
  <c r="AA1739" i="1"/>
  <c r="Z1739" i="1"/>
  <c r="Y1739" i="1"/>
  <c r="X1739" i="1"/>
  <c r="AA1738" i="1"/>
  <c r="Z1738" i="1"/>
  <c r="Y1738" i="1"/>
  <c r="X1738" i="1"/>
  <c r="AA1737" i="1"/>
  <c r="Z1737" i="1"/>
  <c r="Y1737" i="1"/>
  <c r="X1737" i="1"/>
  <c r="AA1736" i="1"/>
  <c r="Z1736" i="1"/>
  <c r="Y1736" i="1"/>
  <c r="X1736" i="1"/>
  <c r="AA1735" i="1"/>
  <c r="Z1735" i="1"/>
  <c r="Y1735" i="1"/>
  <c r="X1735" i="1"/>
  <c r="AA1734" i="1"/>
  <c r="Z1734" i="1"/>
  <c r="Y1734" i="1"/>
  <c r="X1734" i="1"/>
  <c r="AA1733" i="1"/>
  <c r="Z1733" i="1"/>
  <c r="Y1733" i="1"/>
  <c r="X1733" i="1"/>
  <c r="AA1732" i="1"/>
  <c r="Z1732" i="1"/>
  <c r="Y1732" i="1"/>
  <c r="X1732" i="1"/>
  <c r="AA1731" i="1"/>
  <c r="Z1731" i="1"/>
  <c r="Y1731" i="1"/>
  <c r="X1731" i="1"/>
  <c r="AA1730" i="1"/>
  <c r="Z1730" i="1"/>
  <c r="Y1730" i="1"/>
  <c r="X1730" i="1"/>
  <c r="AA1729" i="1"/>
  <c r="Z1729" i="1"/>
  <c r="Y1729" i="1"/>
  <c r="X1729" i="1"/>
  <c r="AA1728" i="1"/>
  <c r="Z1728" i="1"/>
  <c r="Y1728" i="1"/>
  <c r="X1728" i="1"/>
  <c r="AA1727" i="1"/>
  <c r="Z1727" i="1"/>
  <c r="Y1727" i="1"/>
  <c r="X1727" i="1"/>
  <c r="AA1726" i="1"/>
  <c r="Z1726" i="1"/>
  <c r="Y1726" i="1"/>
  <c r="X1726" i="1"/>
  <c r="AA1725" i="1"/>
  <c r="Z1725" i="1"/>
  <c r="Y1725" i="1"/>
  <c r="X1725" i="1"/>
  <c r="AA1724" i="1"/>
  <c r="Z1724" i="1"/>
  <c r="Y1724" i="1"/>
  <c r="X1724" i="1"/>
  <c r="AA1723" i="1"/>
  <c r="Z1723" i="1"/>
  <c r="Y1723" i="1"/>
  <c r="X1723" i="1"/>
  <c r="AA1722" i="1"/>
  <c r="Z1722" i="1"/>
  <c r="Y1722" i="1"/>
  <c r="X1722" i="1"/>
  <c r="AA1721" i="1"/>
  <c r="Z1721" i="1"/>
  <c r="Y1721" i="1"/>
  <c r="X1721" i="1"/>
  <c r="AA1720" i="1"/>
  <c r="Z1720" i="1"/>
  <c r="Y1720" i="1"/>
  <c r="X1720" i="1"/>
  <c r="AA1719" i="1"/>
  <c r="Z1719" i="1"/>
  <c r="Y1719" i="1"/>
  <c r="X1719" i="1"/>
  <c r="AA1718" i="1"/>
  <c r="Z1718" i="1"/>
  <c r="Y1718" i="1"/>
  <c r="X1718" i="1"/>
  <c r="AA1717" i="1"/>
  <c r="Z1717" i="1"/>
  <c r="Y1717" i="1"/>
  <c r="X1717" i="1"/>
  <c r="AA1716" i="1"/>
  <c r="Z1716" i="1"/>
  <c r="Y1716" i="1"/>
  <c r="X1716" i="1"/>
  <c r="AA1715" i="1"/>
  <c r="Z1715" i="1"/>
  <c r="Y1715" i="1"/>
  <c r="X1715" i="1"/>
  <c r="AA1714" i="1"/>
  <c r="Z1714" i="1"/>
  <c r="Y1714" i="1"/>
  <c r="X1714" i="1"/>
  <c r="AA1713" i="1"/>
  <c r="Z1713" i="1"/>
  <c r="Y1713" i="1"/>
  <c r="X1713" i="1"/>
  <c r="AA1712" i="1"/>
  <c r="Z1712" i="1"/>
  <c r="Y1712" i="1"/>
  <c r="X1712" i="1"/>
  <c r="AA1711" i="1"/>
  <c r="Z1711" i="1"/>
  <c r="Y1711" i="1"/>
  <c r="X1711" i="1"/>
  <c r="AA1710" i="1"/>
  <c r="Z1710" i="1"/>
  <c r="Y1710" i="1"/>
  <c r="X1710" i="1"/>
  <c r="AA1709" i="1"/>
  <c r="Z1709" i="1"/>
  <c r="Y1709" i="1"/>
  <c r="X1709" i="1"/>
  <c r="AA1708" i="1"/>
  <c r="Z1708" i="1"/>
  <c r="Y1708" i="1"/>
  <c r="X1708" i="1"/>
  <c r="AA1707" i="1"/>
  <c r="Z1707" i="1"/>
  <c r="Y1707" i="1"/>
  <c r="X1707" i="1"/>
  <c r="AA1706" i="1"/>
  <c r="Z1706" i="1"/>
  <c r="Y1706" i="1"/>
  <c r="X1706" i="1"/>
  <c r="AA1705" i="1"/>
  <c r="Z1705" i="1"/>
  <c r="Y1705" i="1"/>
  <c r="X1705" i="1"/>
  <c r="AA1704" i="1"/>
  <c r="Z1704" i="1"/>
  <c r="Y1704" i="1"/>
  <c r="X1704" i="1"/>
  <c r="AA1703" i="1"/>
  <c r="Z1703" i="1"/>
  <c r="Y1703" i="1"/>
  <c r="X1703" i="1"/>
  <c r="AA1702" i="1"/>
  <c r="Z1702" i="1"/>
  <c r="Y1702" i="1"/>
  <c r="X1702" i="1"/>
  <c r="AA1701" i="1"/>
  <c r="Z1701" i="1"/>
  <c r="Y1701" i="1"/>
  <c r="X1701" i="1"/>
  <c r="AA1700" i="1"/>
  <c r="Z1700" i="1"/>
  <c r="Y1700" i="1"/>
  <c r="X1700" i="1"/>
  <c r="AA1699" i="1"/>
  <c r="Z1699" i="1"/>
  <c r="Y1699" i="1"/>
  <c r="X1699" i="1"/>
  <c r="AA1698" i="1"/>
  <c r="Z1698" i="1"/>
  <c r="Y1698" i="1"/>
  <c r="X1698" i="1"/>
  <c r="AA1697" i="1"/>
  <c r="Z1697" i="1"/>
  <c r="Y1697" i="1"/>
  <c r="X1697" i="1"/>
  <c r="AA1696" i="1"/>
  <c r="Z1696" i="1"/>
  <c r="Y1696" i="1"/>
  <c r="X1696" i="1"/>
  <c r="AA1695" i="1"/>
  <c r="Z1695" i="1"/>
  <c r="Y1695" i="1"/>
  <c r="X1695" i="1"/>
  <c r="AA1694" i="1"/>
  <c r="Z1694" i="1"/>
  <c r="Y1694" i="1"/>
  <c r="X1694" i="1"/>
  <c r="AA1693" i="1"/>
  <c r="Z1693" i="1"/>
  <c r="Y1693" i="1"/>
  <c r="X1693" i="1"/>
  <c r="AA1692" i="1"/>
  <c r="Z1692" i="1"/>
  <c r="Y1692" i="1"/>
  <c r="X1692" i="1"/>
  <c r="AA1691" i="1"/>
  <c r="Z1691" i="1"/>
  <c r="Y1691" i="1"/>
  <c r="X1691" i="1"/>
  <c r="AA1690" i="1"/>
  <c r="Z1690" i="1"/>
  <c r="Y1690" i="1"/>
  <c r="X1690" i="1"/>
  <c r="AA1689" i="1"/>
  <c r="Z1689" i="1"/>
  <c r="Y1689" i="1"/>
  <c r="X1689" i="1"/>
  <c r="AA1688" i="1"/>
  <c r="Z1688" i="1"/>
  <c r="Y1688" i="1"/>
  <c r="X1688" i="1"/>
  <c r="AA1687" i="1"/>
  <c r="Z1687" i="1"/>
  <c r="Y1687" i="1"/>
  <c r="X1687" i="1"/>
  <c r="AA1686" i="1"/>
  <c r="Z1686" i="1"/>
  <c r="Y1686" i="1"/>
  <c r="X1686" i="1"/>
  <c r="AA1685" i="1"/>
  <c r="Z1685" i="1"/>
  <c r="Y1685" i="1"/>
  <c r="X1685" i="1"/>
  <c r="AA1684" i="1"/>
  <c r="Z1684" i="1"/>
  <c r="Y1684" i="1"/>
  <c r="X1684" i="1"/>
  <c r="AA1683" i="1"/>
  <c r="Z1683" i="1"/>
  <c r="Y1683" i="1"/>
  <c r="X1683" i="1"/>
  <c r="AA1682" i="1"/>
  <c r="Z1682" i="1"/>
  <c r="Y1682" i="1"/>
  <c r="X1682" i="1"/>
  <c r="AA1681" i="1"/>
  <c r="Z1681" i="1"/>
  <c r="Y1681" i="1"/>
  <c r="X1681" i="1"/>
  <c r="AA1680" i="1"/>
  <c r="Z1680" i="1"/>
  <c r="Y1680" i="1"/>
  <c r="X1680" i="1"/>
  <c r="AA1679" i="1"/>
  <c r="Z1679" i="1"/>
  <c r="Y1679" i="1"/>
  <c r="X1679" i="1"/>
  <c r="AA1678" i="1"/>
  <c r="Z1678" i="1"/>
  <c r="Y1678" i="1"/>
  <c r="X1678" i="1"/>
  <c r="AA1677" i="1"/>
  <c r="Z1677" i="1"/>
  <c r="Y1677" i="1"/>
  <c r="X1677" i="1"/>
  <c r="AA1676" i="1"/>
  <c r="Z1676" i="1"/>
  <c r="Y1676" i="1"/>
  <c r="X1676" i="1"/>
  <c r="AA1675" i="1"/>
  <c r="Z1675" i="1"/>
  <c r="Y1675" i="1"/>
  <c r="X1675" i="1"/>
  <c r="AA1674" i="1"/>
  <c r="Z1674" i="1"/>
  <c r="Y1674" i="1"/>
  <c r="X1674" i="1"/>
  <c r="AA1673" i="1"/>
  <c r="Z1673" i="1"/>
  <c r="Y1673" i="1"/>
  <c r="X1673" i="1"/>
  <c r="AA1672" i="1"/>
  <c r="Z1672" i="1"/>
  <c r="Y1672" i="1"/>
  <c r="X1672" i="1"/>
  <c r="AA1671" i="1"/>
  <c r="Z1671" i="1"/>
  <c r="Y1671" i="1"/>
  <c r="X1671" i="1"/>
  <c r="AA1670" i="1"/>
  <c r="Z1670" i="1"/>
  <c r="Y1670" i="1"/>
  <c r="X1670" i="1"/>
  <c r="AA1669" i="1"/>
  <c r="Z1669" i="1"/>
  <c r="Y1669" i="1"/>
  <c r="X1669" i="1"/>
  <c r="AA1668" i="1"/>
  <c r="Z1668" i="1"/>
  <c r="Y1668" i="1"/>
  <c r="X1668" i="1"/>
  <c r="AA1667" i="1"/>
  <c r="Z1667" i="1"/>
  <c r="Y1667" i="1"/>
  <c r="X1667" i="1"/>
  <c r="AA1666" i="1"/>
  <c r="Z1666" i="1"/>
  <c r="Y1666" i="1"/>
  <c r="X1666" i="1"/>
  <c r="AA1665" i="1"/>
  <c r="Z1665" i="1"/>
  <c r="Y1665" i="1"/>
  <c r="X1665" i="1"/>
  <c r="AA1664" i="1"/>
  <c r="Z1664" i="1"/>
  <c r="Y1664" i="1"/>
  <c r="X1664" i="1"/>
  <c r="AA1663" i="1"/>
  <c r="Z1663" i="1"/>
  <c r="Y1663" i="1"/>
  <c r="X1663" i="1"/>
  <c r="AA1662" i="1"/>
  <c r="Z1662" i="1"/>
  <c r="Y1662" i="1"/>
  <c r="X1662" i="1"/>
  <c r="AA1661" i="1"/>
  <c r="Z1661" i="1"/>
  <c r="Y1661" i="1"/>
  <c r="X1661" i="1"/>
  <c r="AA1660" i="1"/>
  <c r="Z1660" i="1"/>
  <c r="Y1660" i="1"/>
  <c r="X1660" i="1"/>
  <c r="AA1659" i="1"/>
  <c r="Z1659" i="1"/>
  <c r="Y1659" i="1"/>
  <c r="X1659" i="1"/>
  <c r="AA1658" i="1"/>
  <c r="Z1658" i="1"/>
  <c r="Y1658" i="1"/>
  <c r="X1658" i="1"/>
  <c r="AA1657" i="1"/>
  <c r="Z1657" i="1"/>
  <c r="Y1657" i="1"/>
  <c r="X1657" i="1"/>
  <c r="AA1656" i="1"/>
  <c r="Z1656" i="1"/>
  <c r="Y1656" i="1"/>
  <c r="X1656" i="1"/>
  <c r="AA1655" i="1"/>
  <c r="Z1655" i="1"/>
  <c r="Y1655" i="1"/>
  <c r="X1655" i="1"/>
  <c r="AA1654" i="1"/>
  <c r="Z1654" i="1"/>
  <c r="Y1654" i="1"/>
  <c r="X1654" i="1"/>
  <c r="AA1653" i="1"/>
  <c r="Z1653" i="1"/>
  <c r="Y1653" i="1"/>
  <c r="X1653" i="1"/>
  <c r="AA1652" i="1"/>
  <c r="Z1652" i="1"/>
  <c r="Y1652" i="1"/>
  <c r="X1652" i="1"/>
  <c r="AA1651" i="1"/>
  <c r="Z1651" i="1"/>
  <c r="Y1651" i="1"/>
  <c r="X1651" i="1"/>
  <c r="AA1650" i="1"/>
  <c r="Z1650" i="1"/>
  <c r="Y1650" i="1"/>
  <c r="X1650" i="1"/>
  <c r="AA1649" i="1"/>
  <c r="Z1649" i="1"/>
  <c r="Y1649" i="1"/>
  <c r="X1649" i="1"/>
  <c r="AA1648" i="1"/>
  <c r="Z1648" i="1"/>
  <c r="Y1648" i="1"/>
  <c r="X1648" i="1"/>
  <c r="AA1647" i="1"/>
  <c r="Z1647" i="1"/>
  <c r="Y1647" i="1"/>
  <c r="X1647" i="1"/>
  <c r="AA1646" i="1"/>
  <c r="Z1646" i="1"/>
  <c r="Y1646" i="1"/>
  <c r="X1646" i="1"/>
  <c r="AA1645" i="1"/>
  <c r="Z1645" i="1"/>
  <c r="Y1645" i="1"/>
  <c r="X1645" i="1"/>
  <c r="AA1644" i="1"/>
  <c r="Z1644" i="1"/>
  <c r="Y1644" i="1"/>
  <c r="X1644" i="1"/>
  <c r="AA1643" i="1"/>
  <c r="Z1643" i="1"/>
  <c r="Y1643" i="1"/>
  <c r="X1643" i="1"/>
  <c r="AA1642" i="1"/>
  <c r="Z1642" i="1"/>
  <c r="Y1642" i="1"/>
  <c r="X1642" i="1"/>
  <c r="AA1641" i="1"/>
  <c r="Z1641" i="1"/>
  <c r="Y1641" i="1"/>
  <c r="X1641" i="1"/>
  <c r="AA1640" i="1"/>
  <c r="Z1640" i="1"/>
  <c r="Y1640" i="1"/>
  <c r="X1640" i="1"/>
  <c r="AA1639" i="1"/>
  <c r="Z1639" i="1"/>
  <c r="Y1639" i="1"/>
  <c r="X1639" i="1"/>
  <c r="AA1638" i="1"/>
  <c r="Z1638" i="1"/>
  <c r="Y1638" i="1"/>
  <c r="X1638" i="1"/>
  <c r="AA1637" i="1"/>
  <c r="Z1637" i="1"/>
  <c r="Y1637" i="1"/>
  <c r="X1637" i="1"/>
  <c r="AA1636" i="1"/>
  <c r="Z1636" i="1"/>
  <c r="Y1636" i="1"/>
  <c r="X1636" i="1"/>
  <c r="AA1635" i="1"/>
  <c r="Z1635" i="1"/>
  <c r="Y1635" i="1"/>
  <c r="X1635" i="1"/>
  <c r="AA1634" i="1"/>
  <c r="Z1634" i="1"/>
  <c r="Y1634" i="1"/>
  <c r="X1634" i="1"/>
  <c r="AA1633" i="1"/>
  <c r="Z1633" i="1"/>
  <c r="Y1633" i="1"/>
  <c r="X1633" i="1"/>
  <c r="AA1632" i="1"/>
  <c r="Z1632" i="1"/>
  <c r="Y1632" i="1"/>
  <c r="X1632" i="1"/>
  <c r="AA1631" i="1"/>
  <c r="Z1631" i="1"/>
  <c r="Y1631" i="1"/>
  <c r="X1631" i="1"/>
  <c r="AA1630" i="1"/>
  <c r="Z1630" i="1"/>
  <c r="Y1630" i="1"/>
  <c r="X1630" i="1"/>
  <c r="AA1629" i="1"/>
  <c r="Z1629" i="1"/>
  <c r="Y1629" i="1"/>
  <c r="X1629" i="1"/>
  <c r="AA1628" i="1"/>
  <c r="Z1628" i="1"/>
  <c r="Y1628" i="1"/>
  <c r="X1628" i="1"/>
  <c r="AA1627" i="1"/>
  <c r="Z1627" i="1"/>
  <c r="Y1627" i="1"/>
  <c r="X1627" i="1"/>
  <c r="AA1626" i="1"/>
  <c r="Z1626" i="1"/>
  <c r="Y1626" i="1"/>
  <c r="X1626" i="1"/>
  <c r="AA1625" i="1"/>
  <c r="Z1625" i="1"/>
  <c r="Y1625" i="1"/>
  <c r="X1625" i="1"/>
  <c r="AA1624" i="1"/>
  <c r="Z1624" i="1"/>
  <c r="Y1624" i="1"/>
  <c r="X1624" i="1"/>
  <c r="AA1623" i="1"/>
  <c r="Z1623" i="1"/>
  <c r="Y1623" i="1"/>
  <c r="X1623" i="1"/>
  <c r="AA1622" i="1"/>
  <c r="Z1622" i="1"/>
  <c r="Y1622" i="1"/>
  <c r="X1622" i="1"/>
  <c r="AA1621" i="1"/>
  <c r="Z1621" i="1"/>
  <c r="Y1621" i="1"/>
  <c r="X1621" i="1"/>
  <c r="AA1620" i="1"/>
  <c r="Z1620" i="1"/>
  <c r="Y1620" i="1"/>
  <c r="X1620" i="1"/>
  <c r="AA1619" i="1"/>
  <c r="Z1619" i="1"/>
  <c r="Y1619" i="1"/>
  <c r="X1619" i="1"/>
  <c r="AA1618" i="1"/>
  <c r="Z1618" i="1"/>
  <c r="Y1618" i="1"/>
  <c r="X1618" i="1"/>
  <c r="AA1617" i="1"/>
  <c r="Z1617" i="1"/>
  <c r="Y1617" i="1"/>
  <c r="X1617" i="1"/>
  <c r="AA1616" i="1"/>
  <c r="Z1616" i="1"/>
  <c r="Y1616" i="1"/>
  <c r="X1616" i="1"/>
  <c r="AA1615" i="1"/>
  <c r="Z1615" i="1"/>
  <c r="Y1615" i="1"/>
  <c r="X1615" i="1"/>
  <c r="AA1614" i="1"/>
  <c r="Z1614" i="1"/>
  <c r="Y1614" i="1"/>
  <c r="X1614" i="1"/>
  <c r="AA1613" i="1"/>
  <c r="Z1613" i="1"/>
  <c r="Y1613" i="1"/>
  <c r="X1613" i="1"/>
  <c r="AA1612" i="1"/>
  <c r="Z1612" i="1"/>
  <c r="Y1612" i="1"/>
  <c r="X1612" i="1"/>
  <c r="AA1611" i="1"/>
  <c r="Z1611" i="1"/>
  <c r="Y1611" i="1"/>
  <c r="X1611" i="1"/>
  <c r="AA1610" i="1"/>
  <c r="Z1610" i="1"/>
  <c r="Y1610" i="1"/>
  <c r="X1610" i="1"/>
  <c r="AA1609" i="1"/>
  <c r="Z1609" i="1"/>
  <c r="Y1609" i="1"/>
  <c r="X1609" i="1"/>
  <c r="AA1608" i="1"/>
  <c r="Z1608" i="1"/>
  <c r="Y1608" i="1"/>
  <c r="X1608" i="1"/>
  <c r="AA1607" i="1"/>
  <c r="Z1607" i="1"/>
  <c r="Y1607" i="1"/>
  <c r="X1607" i="1"/>
  <c r="AA1606" i="1"/>
  <c r="Z1606" i="1"/>
  <c r="Y1606" i="1"/>
  <c r="X1606" i="1"/>
  <c r="AA1605" i="1"/>
  <c r="Z1605" i="1"/>
  <c r="Y1605" i="1"/>
  <c r="X1605" i="1"/>
  <c r="AA1604" i="1"/>
  <c r="Z1604" i="1"/>
  <c r="Y1604" i="1"/>
  <c r="X1604" i="1"/>
  <c r="AA1603" i="1"/>
  <c r="Z1603" i="1"/>
  <c r="Y1603" i="1"/>
  <c r="X1603" i="1"/>
  <c r="AA1602" i="1"/>
  <c r="Z1602" i="1"/>
  <c r="Y1602" i="1"/>
  <c r="X1602" i="1"/>
  <c r="AA1601" i="1"/>
  <c r="Z1601" i="1"/>
  <c r="Y1601" i="1"/>
  <c r="X1601" i="1"/>
  <c r="AA1600" i="1"/>
  <c r="Z1600" i="1"/>
  <c r="Y1600" i="1"/>
  <c r="X1600" i="1"/>
  <c r="AA1599" i="1"/>
  <c r="Z1599" i="1"/>
  <c r="Y1599" i="1"/>
  <c r="X1599" i="1"/>
  <c r="AA1598" i="1"/>
  <c r="Z1598" i="1"/>
  <c r="Y1598" i="1"/>
  <c r="X1598" i="1"/>
  <c r="AA1597" i="1"/>
  <c r="Z1597" i="1"/>
  <c r="Y1597" i="1"/>
  <c r="X1597" i="1"/>
  <c r="AA1596" i="1"/>
  <c r="Z1596" i="1"/>
  <c r="Y1596" i="1"/>
  <c r="X1596" i="1"/>
  <c r="AA1595" i="1"/>
  <c r="Z1595" i="1"/>
  <c r="Y1595" i="1"/>
  <c r="X1595" i="1"/>
  <c r="AA1594" i="1"/>
  <c r="Z1594" i="1"/>
  <c r="Y1594" i="1"/>
  <c r="X1594" i="1"/>
  <c r="AA1593" i="1"/>
  <c r="Z1593" i="1"/>
  <c r="Y1593" i="1"/>
  <c r="X1593" i="1"/>
  <c r="AA1592" i="1"/>
  <c r="Z1592" i="1"/>
  <c r="Y1592" i="1"/>
  <c r="X1592" i="1"/>
  <c r="AA1591" i="1"/>
  <c r="Z1591" i="1"/>
  <c r="Y1591" i="1"/>
  <c r="X1591" i="1"/>
  <c r="AA1590" i="1"/>
  <c r="Z1590" i="1"/>
  <c r="Y1590" i="1"/>
  <c r="X1590" i="1"/>
  <c r="AA1589" i="1"/>
  <c r="Z1589" i="1"/>
  <c r="Y1589" i="1"/>
  <c r="X1589" i="1"/>
  <c r="AA1588" i="1"/>
  <c r="Z1588" i="1"/>
  <c r="Y1588" i="1"/>
  <c r="X1588" i="1"/>
  <c r="AA1587" i="1"/>
  <c r="Z1587" i="1"/>
  <c r="Y1587" i="1"/>
  <c r="X1587" i="1"/>
  <c r="AA1586" i="1"/>
  <c r="Z1586" i="1"/>
  <c r="Y1586" i="1"/>
  <c r="X1586" i="1"/>
  <c r="AA1585" i="1"/>
  <c r="Z1585" i="1"/>
  <c r="Y1585" i="1"/>
  <c r="X1585" i="1"/>
  <c r="AA1584" i="1"/>
  <c r="Z1584" i="1"/>
  <c r="Y1584" i="1"/>
  <c r="X1584" i="1"/>
  <c r="AA1583" i="1"/>
  <c r="Z1583" i="1"/>
  <c r="Y1583" i="1"/>
  <c r="X1583" i="1"/>
  <c r="AA1582" i="1"/>
  <c r="Z1582" i="1"/>
  <c r="Y1582" i="1"/>
  <c r="X1582" i="1"/>
  <c r="AA1581" i="1"/>
  <c r="Z1581" i="1"/>
  <c r="Y1581" i="1"/>
  <c r="X1581" i="1"/>
  <c r="AA1580" i="1"/>
  <c r="Z1580" i="1"/>
  <c r="Y1580" i="1"/>
  <c r="X1580" i="1"/>
  <c r="AA1579" i="1"/>
  <c r="Z1579" i="1"/>
  <c r="Y1579" i="1"/>
  <c r="X1579" i="1"/>
  <c r="AA1578" i="1"/>
  <c r="Z1578" i="1"/>
  <c r="Y1578" i="1"/>
  <c r="X1578" i="1"/>
  <c r="AA1577" i="1"/>
  <c r="Z1577" i="1"/>
  <c r="Y1577" i="1"/>
  <c r="X1577" i="1"/>
  <c r="AA1576" i="1"/>
  <c r="Z1576" i="1"/>
  <c r="Y1576" i="1"/>
  <c r="X1576" i="1"/>
  <c r="AA1575" i="1"/>
  <c r="Z1575" i="1"/>
  <c r="Y1575" i="1"/>
  <c r="X1575" i="1"/>
  <c r="AA1574" i="1"/>
  <c r="Z1574" i="1"/>
  <c r="Y1574" i="1"/>
  <c r="X1574" i="1"/>
  <c r="AA1573" i="1"/>
  <c r="Z1573" i="1"/>
  <c r="Y1573" i="1"/>
  <c r="X1573" i="1"/>
  <c r="AA1572" i="1"/>
  <c r="Z1572" i="1"/>
  <c r="Y1572" i="1"/>
  <c r="X1572" i="1"/>
  <c r="AA1571" i="1"/>
  <c r="Z1571" i="1"/>
  <c r="Y1571" i="1"/>
  <c r="X1571" i="1"/>
  <c r="AA1570" i="1"/>
  <c r="Z1570" i="1"/>
  <c r="Y1570" i="1"/>
  <c r="X1570" i="1"/>
  <c r="AA1569" i="1"/>
  <c r="Z1569" i="1"/>
  <c r="Y1569" i="1"/>
  <c r="X1569" i="1"/>
  <c r="AA1568" i="1"/>
  <c r="Z1568" i="1"/>
  <c r="Y1568" i="1"/>
  <c r="X1568" i="1"/>
  <c r="AA1567" i="1"/>
  <c r="Z1567" i="1"/>
  <c r="Y1567" i="1"/>
  <c r="X1567" i="1"/>
  <c r="AA1566" i="1"/>
  <c r="Z1566" i="1"/>
  <c r="Y1566" i="1"/>
  <c r="X1566" i="1"/>
  <c r="AA1565" i="1"/>
  <c r="Z1565" i="1"/>
  <c r="Y1565" i="1"/>
  <c r="X1565" i="1"/>
  <c r="AA1564" i="1"/>
  <c r="Z1564" i="1"/>
  <c r="Y1564" i="1"/>
  <c r="X1564" i="1"/>
  <c r="AA1563" i="1"/>
  <c r="Z1563" i="1"/>
  <c r="Y1563" i="1"/>
  <c r="X1563" i="1"/>
  <c r="AA1562" i="1"/>
  <c r="Z1562" i="1"/>
  <c r="Y1562" i="1"/>
  <c r="X1562" i="1"/>
  <c r="AA1561" i="1"/>
  <c r="Z1561" i="1"/>
  <c r="Y1561" i="1"/>
  <c r="X1561" i="1"/>
  <c r="AA1560" i="1"/>
  <c r="Z1560" i="1"/>
  <c r="Y1560" i="1"/>
  <c r="X1560" i="1"/>
  <c r="AA1559" i="1"/>
  <c r="Z1559" i="1"/>
  <c r="Y1559" i="1"/>
  <c r="X1559" i="1"/>
  <c r="AA1558" i="1"/>
  <c r="Z1558" i="1"/>
  <c r="Y1558" i="1"/>
  <c r="X1558" i="1"/>
  <c r="AA1557" i="1"/>
  <c r="Z1557" i="1"/>
  <c r="Y1557" i="1"/>
  <c r="X1557" i="1"/>
  <c r="AA1556" i="1"/>
  <c r="Z1556" i="1"/>
  <c r="Y1556" i="1"/>
  <c r="X1556" i="1"/>
  <c r="AA1555" i="1"/>
  <c r="Z1555" i="1"/>
  <c r="Y1555" i="1"/>
  <c r="X1555" i="1"/>
  <c r="AA1554" i="1"/>
  <c r="Z1554" i="1"/>
  <c r="Y1554" i="1"/>
  <c r="X1554" i="1"/>
  <c r="AA1553" i="1"/>
  <c r="Z1553" i="1"/>
  <c r="Y1553" i="1"/>
  <c r="X1553" i="1"/>
  <c r="AA1552" i="1"/>
  <c r="Z1552" i="1"/>
  <c r="Y1552" i="1"/>
  <c r="X1552" i="1"/>
  <c r="AA1551" i="1"/>
  <c r="Z1551" i="1"/>
  <c r="Y1551" i="1"/>
  <c r="X1551" i="1"/>
  <c r="AA1550" i="1"/>
  <c r="Z1550" i="1"/>
  <c r="Y1550" i="1"/>
  <c r="X1550" i="1"/>
  <c r="AA1549" i="1"/>
  <c r="Z1549" i="1"/>
  <c r="Y1549" i="1"/>
  <c r="X1549" i="1"/>
  <c r="AA1548" i="1"/>
  <c r="Z1548" i="1"/>
  <c r="Y1548" i="1"/>
  <c r="X1548" i="1"/>
  <c r="AA1547" i="1"/>
  <c r="Z1547" i="1"/>
  <c r="Y1547" i="1"/>
  <c r="X1547" i="1"/>
  <c r="AA1546" i="1"/>
  <c r="Z1546" i="1"/>
  <c r="Y1546" i="1"/>
  <c r="X1546" i="1"/>
  <c r="AA1545" i="1"/>
  <c r="Z1545" i="1"/>
  <c r="Y1545" i="1"/>
  <c r="X1545" i="1"/>
  <c r="AA1544" i="1"/>
  <c r="Z1544" i="1"/>
  <c r="Y1544" i="1"/>
  <c r="X1544" i="1"/>
  <c r="AA1543" i="1"/>
  <c r="Z1543" i="1"/>
  <c r="Y1543" i="1"/>
  <c r="X1543" i="1"/>
  <c r="AA1542" i="1"/>
  <c r="Z1542" i="1"/>
  <c r="Y1542" i="1"/>
  <c r="X1542" i="1"/>
  <c r="AA1541" i="1"/>
  <c r="Z1541" i="1"/>
  <c r="Y1541" i="1"/>
  <c r="X1541" i="1"/>
  <c r="AA1540" i="1"/>
  <c r="Z1540" i="1"/>
  <c r="Y1540" i="1"/>
  <c r="X1540" i="1"/>
  <c r="AA1539" i="1"/>
  <c r="Z1539" i="1"/>
  <c r="Y1539" i="1"/>
  <c r="X1539" i="1"/>
  <c r="AA1538" i="1"/>
  <c r="Z1538" i="1"/>
  <c r="Y1538" i="1"/>
  <c r="X1538" i="1"/>
  <c r="AA1537" i="1"/>
  <c r="Z1537" i="1"/>
  <c r="Y1537" i="1"/>
  <c r="X1537" i="1"/>
  <c r="AA1536" i="1"/>
  <c r="Z1536" i="1"/>
  <c r="Y1536" i="1"/>
  <c r="X1536" i="1"/>
  <c r="AA1535" i="1"/>
  <c r="Z1535" i="1"/>
  <c r="Y1535" i="1"/>
  <c r="X1535" i="1"/>
  <c r="AA1534" i="1"/>
  <c r="Z1534" i="1"/>
  <c r="Y1534" i="1"/>
  <c r="X1534" i="1"/>
  <c r="AA1533" i="1"/>
  <c r="Z1533" i="1"/>
  <c r="Y1533" i="1"/>
  <c r="X1533" i="1"/>
  <c r="AA1532" i="1"/>
  <c r="Z1532" i="1"/>
  <c r="Y1532" i="1"/>
  <c r="X1532" i="1"/>
  <c r="AA1531" i="1"/>
  <c r="Z1531" i="1"/>
  <c r="Y1531" i="1"/>
  <c r="X1531" i="1"/>
  <c r="AA1530" i="1"/>
  <c r="Z1530" i="1"/>
  <c r="Y1530" i="1"/>
  <c r="X1530" i="1"/>
  <c r="AA1529" i="1"/>
  <c r="Z1529" i="1"/>
  <c r="Y1529" i="1"/>
  <c r="X1529" i="1"/>
  <c r="AA1528" i="1"/>
  <c r="Z1528" i="1"/>
  <c r="Y1528" i="1"/>
  <c r="X1528" i="1"/>
  <c r="AA1527" i="1"/>
  <c r="Z1527" i="1"/>
  <c r="Y1527" i="1"/>
  <c r="X1527" i="1"/>
  <c r="AA1526" i="1"/>
  <c r="Z1526" i="1"/>
  <c r="Y1526" i="1"/>
  <c r="X1526" i="1"/>
  <c r="AA1525" i="1"/>
  <c r="Z1525" i="1"/>
  <c r="Y1525" i="1"/>
  <c r="X1525" i="1"/>
  <c r="AA1524" i="1"/>
  <c r="Z1524" i="1"/>
  <c r="Y1524" i="1"/>
  <c r="X1524" i="1"/>
  <c r="AA1523" i="1"/>
  <c r="Z1523" i="1"/>
  <c r="Y1523" i="1"/>
  <c r="X1523" i="1"/>
  <c r="AA1522" i="1"/>
  <c r="Z1522" i="1"/>
  <c r="Y1522" i="1"/>
  <c r="X1522" i="1"/>
  <c r="AA1521" i="1"/>
  <c r="Z1521" i="1"/>
  <c r="Y1521" i="1"/>
  <c r="X1521" i="1"/>
  <c r="AA1520" i="1"/>
  <c r="Z1520" i="1"/>
  <c r="Y1520" i="1"/>
  <c r="X1520" i="1"/>
  <c r="AA1519" i="1"/>
  <c r="Z1519" i="1"/>
  <c r="Y1519" i="1"/>
  <c r="X1519" i="1"/>
  <c r="AA1518" i="1"/>
  <c r="Z1518" i="1"/>
  <c r="Y1518" i="1"/>
  <c r="X1518" i="1"/>
  <c r="AA1517" i="1"/>
  <c r="Z1517" i="1"/>
  <c r="Y1517" i="1"/>
  <c r="X1517" i="1"/>
  <c r="AA1516" i="1"/>
  <c r="Z1516" i="1"/>
  <c r="Y1516" i="1"/>
  <c r="X1516" i="1"/>
  <c r="AA1515" i="1"/>
  <c r="Z1515" i="1"/>
  <c r="Y1515" i="1"/>
  <c r="X1515" i="1"/>
  <c r="AA1514" i="1"/>
  <c r="Z1514" i="1"/>
  <c r="Y1514" i="1"/>
  <c r="X1514" i="1"/>
  <c r="AA1513" i="1"/>
  <c r="Z1513" i="1"/>
  <c r="Y1513" i="1"/>
  <c r="X1513" i="1"/>
  <c r="AA1512" i="1"/>
  <c r="Z1512" i="1"/>
  <c r="Y1512" i="1"/>
  <c r="X1512" i="1"/>
  <c r="AA1511" i="1"/>
  <c r="Z1511" i="1"/>
  <c r="Y1511" i="1"/>
  <c r="X1511" i="1"/>
  <c r="AA1510" i="1"/>
  <c r="Z1510" i="1"/>
  <c r="Y1510" i="1"/>
  <c r="X1510" i="1"/>
  <c r="AA1509" i="1"/>
  <c r="Z1509" i="1"/>
  <c r="Y1509" i="1"/>
  <c r="X1509" i="1"/>
  <c r="AA1508" i="1"/>
  <c r="Z1508" i="1"/>
  <c r="Y1508" i="1"/>
  <c r="X1508" i="1"/>
  <c r="AA1507" i="1"/>
  <c r="Z1507" i="1"/>
  <c r="Y1507" i="1"/>
  <c r="X1507" i="1"/>
  <c r="AA1506" i="1"/>
  <c r="Z1506" i="1"/>
  <c r="Y1506" i="1"/>
  <c r="X1506" i="1"/>
  <c r="AA1505" i="1"/>
  <c r="Z1505" i="1"/>
  <c r="Y1505" i="1"/>
  <c r="X1505" i="1"/>
  <c r="AA1504" i="1"/>
  <c r="Z1504" i="1"/>
  <c r="Y1504" i="1"/>
  <c r="X1504" i="1"/>
  <c r="AA1503" i="1"/>
  <c r="Z1503" i="1"/>
  <c r="Y1503" i="1"/>
  <c r="X1503" i="1"/>
  <c r="AA1502" i="1"/>
  <c r="Z1502" i="1"/>
  <c r="Y1502" i="1"/>
  <c r="X1502" i="1"/>
  <c r="AA1501" i="1"/>
  <c r="Z1501" i="1"/>
  <c r="Y1501" i="1"/>
  <c r="X1501" i="1"/>
  <c r="AA1500" i="1"/>
  <c r="Z1500" i="1"/>
  <c r="Y1500" i="1"/>
  <c r="X1500" i="1"/>
  <c r="AA1499" i="1"/>
  <c r="Z1499" i="1"/>
  <c r="Y1499" i="1"/>
  <c r="X1499" i="1"/>
  <c r="AA1498" i="1"/>
  <c r="Z1498" i="1"/>
  <c r="Y1498" i="1"/>
  <c r="X1498" i="1"/>
  <c r="AA1497" i="1"/>
  <c r="Z1497" i="1"/>
  <c r="Y1497" i="1"/>
  <c r="X1497" i="1"/>
  <c r="AA1496" i="1"/>
  <c r="Z1496" i="1"/>
  <c r="Y1496" i="1"/>
  <c r="X1496" i="1"/>
  <c r="AA1495" i="1"/>
  <c r="Z1495" i="1"/>
  <c r="Y1495" i="1"/>
  <c r="X1495" i="1"/>
  <c r="AA1494" i="1"/>
  <c r="Z1494" i="1"/>
  <c r="Y1494" i="1"/>
  <c r="X1494" i="1"/>
  <c r="AA1493" i="1"/>
  <c r="Z1493" i="1"/>
  <c r="Y1493" i="1"/>
  <c r="X1493" i="1"/>
  <c r="AA1492" i="1"/>
  <c r="Z1492" i="1"/>
  <c r="Y1492" i="1"/>
  <c r="X1492" i="1"/>
  <c r="AA1491" i="1"/>
  <c r="Z1491" i="1"/>
  <c r="Y1491" i="1"/>
  <c r="X1491" i="1"/>
  <c r="AA1490" i="1"/>
  <c r="Z1490" i="1"/>
  <c r="Y1490" i="1"/>
  <c r="X1490" i="1"/>
  <c r="AA1489" i="1"/>
  <c r="Z1489" i="1"/>
  <c r="Y1489" i="1"/>
  <c r="X1489" i="1"/>
  <c r="AA1488" i="1"/>
  <c r="Z1488" i="1"/>
  <c r="Y1488" i="1"/>
  <c r="X1488" i="1"/>
  <c r="AA1487" i="1"/>
  <c r="Z1487" i="1"/>
  <c r="Y1487" i="1"/>
  <c r="X1487" i="1"/>
  <c r="AA1486" i="1"/>
  <c r="Z1486" i="1"/>
  <c r="Y1486" i="1"/>
  <c r="X1486" i="1"/>
  <c r="AA1485" i="1"/>
  <c r="Z1485" i="1"/>
  <c r="Y1485" i="1"/>
  <c r="X1485" i="1"/>
  <c r="AA1484" i="1"/>
  <c r="Z1484" i="1"/>
  <c r="Y1484" i="1"/>
  <c r="X1484" i="1"/>
  <c r="AA1483" i="1"/>
  <c r="Z1483" i="1"/>
  <c r="Y1483" i="1"/>
  <c r="X1483" i="1"/>
  <c r="AA1482" i="1"/>
  <c r="Z1482" i="1"/>
  <c r="Y1482" i="1"/>
  <c r="X1482" i="1"/>
  <c r="AA1481" i="1"/>
  <c r="Z1481" i="1"/>
  <c r="Y1481" i="1"/>
  <c r="X1481" i="1"/>
  <c r="AA1480" i="1"/>
  <c r="Z1480" i="1"/>
  <c r="Y1480" i="1"/>
  <c r="X1480" i="1"/>
  <c r="AA1479" i="1"/>
  <c r="Z1479" i="1"/>
  <c r="Y1479" i="1"/>
  <c r="X1479" i="1"/>
  <c r="AA1478" i="1"/>
  <c r="Z1478" i="1"/>
  <c r="Y1478" i="1"/>
  <c r="X1478" i="1"/>
  <c r="AA1477" i="1"/>
  <c r="Z1477" i="1"/>
  <c r="Y1477" i="1"/>
  <c r="X1477" i="1"/>
  <c r="AA1476" i="1"/>
  <c r="Z1476" i="1"/>
  <c r="Y1476" i="1"/>
  <c r="X1476" i="1"/>
  <c r="AA1475" i="1"/>
  <c r="Z1475" i="1"/>
  <c r="Y1475" i="1"/>
  <c r="X1475" i="1"/>
  <c r="AA1474" i="1"/>
  <c r="Z1474" i="1"/>
  <c r="Y1474" i="1"/>
  <c r="X1474" i="1"/>
  <c r="AA1473" i="1"/>
  <c r="Z1473" i="1"/>
  <c r="Y1473" i="1"/>
  <c r="X1473" i="1"/>
  <c r="AA1472" i="1"/>
  <c r="Z1472" i="1"/>
  <c r="Y1472" i="1"/>
  <c r="X1472" i="1"/>
  <c r="AA1471" i="1"/>
  <c r="Z1471" i="1"/>
  <c r="Y1471" i="1"/>
  <c r="X1471" i="1"/>
  <c r="AA1470" i="1"/>
  <c r="Z1470" i="1"/>
  <c r="Y1470" i="1"/>
  <c r="X1470" i="1"/>
  <c r="AA1469" i="1"/>
  <c r="Z1469" i="1"/>
  <c r="Y1469" i="1"/>
  <c r="X1469" i="1"/>
  <c r="AA1468" i="1"/>
  <c r="Z1468" i="1"/>
  <c r="Y1468" i="1"/>
  <c r="X1468" i="1"/>
  <c r="AA1467" i="1"/>
  <c r="Z1467" i="1"/>
  <c r="Y1467" i="1"/>
  <c r="X1467" i="1"/>
  <c r="AA1466" i="1"/>
  <c r="Z1466" i="1"/>
  <c r="Y1466" i="1"/>
  <c r="X1466" i="1"/>
  <c r="AA1465" i="1"/>
  <c r="Z1465" i="1"/>
  <c r="Y1465" i="1"/>
  <c r="X1465" i="1"/>
  <c r="AA1464" i="1"/>
  <c r="Z1464" i="1"/>
  <c r="Y1464" i="1"/>
  <c r="X1464" i="1"/>
  <c r="AA1463" i="1"/>
  <c r="Z1463" i="1"/>
  <c r="Y1463" i="1"/>
  <c r="X1463" i="1"/>
  <c r="AA1462" i="1"/>
  <c r="Z1462" i="1"/>
  <c r="Y1462" i="1"/>
  <c r="X1462" i="1"/>
  <c r="AA1461" i="1"/>
  <c r="Z1461" i="1"/>
  <c r="Y1461" i="1"/>
  <c r="X1461" i="1"/>
  <c r="AA1460" i="1"/>
  <c r="Z1460" i="1"/>
  <c r="Y1460" i="1"/>
  <c r="X1460" i="1"/>
  <c r="AA1459" i="1"/>
  <c r="Z1459" i="1"/>
  <c r="Y1459" i="1"/>
  <c r="X1459" i="1"/>
  <c r="AA1458" i="1"/>
  <c r="Z1458" i="1"/>
  <c r="Y1458" i="1"/>
  <c r="X1458" i="1"/>
  <c r="AA1457" i="1"/>
  <c r="Z1457" i="1"/>
  <c r="Y1457" i="1"/>
  <c r="X1457" i="1"/>
  <c r="AA1456" i="1"/>
  <c r="Z1456" i="1"/>
  <c r="Y1456" i="1"/>
  <c r="X1456" i="1"/>
  <c r="AA1455" i="1"/>
  <c r="Z1455" i="1"/>
  <c r="Y1455" i="1"/>
  <c r="X1455" i="1"/>
  <c r="AA1454" i="1"/>
  <c r="Z1454" i="1"/>
  <c r="Y1454" i="1"/>
  <c r="X1454" i="1"/>
  <c r="AA1453" i="1"/>
  <c r="Z1453" i="1"/>
  <c r="Y1453" i="1"/>
  <c r="X1453" i="1"/>
  <c r="AA1452" i="1"/>
  <c r="Z1452" i="1"/>
  <c r="Y1452" i="1"/>
  <c r="X1452" i="1"/>
  <c r="AA1451" i="1"/>
  <c r="Z1451" i="1"/>
  <c r="Y1451" i="1"/>
  <c r="X1451" i="1"/>
  <c r="AA1450" i="1"/>
  <c r="Z1450" i="1"/>
  <c r="Y1450" i="1"/>
  <c r="X1450" i="1"/>
  <c r="AA1449" i="1"/>
  <c r="Z1449" i="1"/>
  <c r="Y1449" i="1"/>
  <c r="X1449" i="1"/>
  <c r="AA1448" i="1"/>
  <c r="Z1448" i="1"/>
  <c r="Y1448" i="1"/>
  <c r="X1448" i="1"/>
  <c r="AA1447" i="1"/>
  <c r="Z1447" i="1"/>
  <c r="Y1447" i="1"/>
  <c r="X1447" i="1"/>
  <c r="AA1446" i="1"/>
  <c r="Z1446" i="1"/>
  <c r="Y1446" i="1"/>
  <c r="X1446" i="1"/>
  <c r="AA1445" i="1"/>
  <c r="Z1445" i="1"/>
  <c r="Y1445" i="1"/>
  <c r="X1445" i="1"/>
  <c r="AA1444" i="1"/>
  <c r="Z1444" i="1"/>
  <c r="Y1444" i="1"/>
  <c r="X1444" i="1"/>
  <c r="AA1443" i="1"/>
  <c r="Z1443" i="1"/>
  <c r="Y1443" i="1"/>
  <c r="X1443" i="1"/>
  <c r="AA1442" i="1"/>
  <c r="Z1442" i="1"/>
  <c r="Y1442" i="1"/>
  <c r="X1442" i="1"/>
  <c r="AA1441" i="1"/>
  <c r="Z1441" i="1"/>
  <c r="Y1441" i="1"/>
  <c r="X1441" i="1"/>
  <c r="AA1440" i="1"/>
  <c r="Z1440" i="1"/>
  <c r="Y1440" i="1"/>
  <c r="X1440" i="1"/>
  <c r="AA1439" i="1"/>
  <c r="Z1439" i="1"/>
  <c r="Y1439" i="1"/>
  <c r="X1439" i="1"/>
  <c r="AA1438" i="1"/>
  <c r="Z1438" i="1"/>
  <c r="Y1438" i="1"/>
  <c r="X1438" i="1"/>
  <c r="AA1437" i="1"/>
  <c r="Z1437" i="1"/>
  <c r="Y1437" i="1"/>
  <c r="X1437" i="1"/>
  <c r="AA1436" i="1"/>
  <c r="Z1436" i="1"/>
  <c r="Y1436" i="1"/>
  <c r="X1436" i="1"/>
  <c r="AA1435" i="1"/>
  <c r="Z1435" i="1"/>
  <c r="Y1435" i="1"/>
  <c r="X1435" i="1"/>
  <c r="AA1434" i="1"/>
  <c r="Z1434" i="1"/>
  <c r="Y1434" i="1"/>
  <c r="X1434" i="1"/>
  <c r="AA1433" i="1"/>
  <c r="Z1433" i="1"/>
  <c r="Y1433" i="1"/>
  <c r="X1433" i="1"/>
  <c r="AA1432" i="1"/>
  <c r="Z1432" i="1"/>
  <c r="Y1432" i="1"/>
  <c r="X1432" i="1"/>
  <c r="AA1431" i="1"/>
  <c r="Z1431" i="1"/>
  <c r="Y1431" i="1"/>
  <c r="X1431" i="1"/>
  <c r="AA1430" i="1"/>
  <c r="Z1430" i="1"/>
  <c r="Y1430" i="1"/>
  <c r="X1430" i="1"/>
  <c r="AA1429" i="1"/>
  <c r="Z1429" i="1"/>
  <c r="Y1429" i="1"/>
  <c r="X1429" i="1"/>
  <c r="AA1428" i="1"/>
  <c r="Z1428" i="1"/>
  <c r="Y1428" i="1"/>
  <c r="X1428" i="1"/>
  <c r="AA1427" i="1"/>
  <c r="Z1427" i="1"/>
  <c r="Y1427" i="1"/>
  <c r="X1427" i="1"/>
  <c r="AA1426" i="1"/>
  <c r="Z1426" i="1"/>
  <c r="Y1426" i="1"/>
  <c r="X1426" i="1"/>
  <c r="AA1425" i="1"/>
  <c r="Z1425" i="1"/>
  <c r="Y1425" i="1"/>
  <c r="X1425" i="1"/>
  <c r="AA1424" i="1"/>
  <c r="Z1424" i="1"/>
  <c r="Y1424" i="1"/>
  <c r="X1424" i="1"/>
  <c r="AA1423" i="1"/>
  <c r="Z1423" i="1"/>
  <c r="Y1423" i="1"/>
  <c r="X1423" i="1"/>
  <c r="AA1422" i="1"/>
  <c r="Z1422" i="1"/>
  <c r="Y1422" i="1"/>
  <c r="X1422" i="1"/>
  <c r="AA1421" i="1"/>
  <c r="Z1421" i="1"/>
  <c r="Y1421" i="1"/>
  <c r="X1421" i="1"/>
  <c r="AA1420" i="1"/>
  <c r="Z1420" i="1"/>
  <c r="Y1420" i="1"/>
  <c r="X1420" i="1"/>
  <c r="AA1419" i="1"/>
  <c r="Z1419" i="1"/>
  <c r="Y1419" i="1"/>
  <c r="X1419" i="1"/>
  <c r="AA1418" i="1"/>
  <c r="Z1418" i="1"/>
  <c r="Y1418" i="1"/>
  <c r="X1418" i="1"/>
  <c r="AA1417" i="1"/>
  <c r="Z1417" i="1"/>
  <c r="Y1417" i="1"/>
  <c r="X1417" i="1"/>
  <c r="AA1416" i="1"/>
  <c r="Z1416" i="1"/>
  <c r="Y1416" i="1"/>
  <c r="X1416" i="1"/>
  <c r="AA1415" i="1"/>
  <c r="Z1415" i="1"/>
  <c r="Y1415" i="1"/>
  <c r="X1415" i="1"/>
  <c r="AA1414" i="1"/>
  <c r="Z1414" i="1"/>
  <c r="Y1414" i="1"/>
  <c r="X1414" i="1"/>
  <c r="AA1413" i="1"/>
  <c r="Z1413" i="1"/>
  <c r="Y1413" i="1"/>
  <c r="X1413" i="1"/>
  <c r="AA1412" i="1"/>
  <c r="Z1412" i="1"/>
  <c r="Y1412" i="1"/>
  <c r="X1412" i="1"/>
  <c r="AA1411" i="1"/>
  <c r="Z1411" i="1"/>
  <c r="Y1411" i="1"/>
  <c r="X1411" i="1"/>
  <c r="AA1410" i="1"/>
  <c r="Z1410" i="1"/>
  <c r="Y1410" i="1"/>
  <c r="X1410" i="1"/>
  <c r="AA1409" i="1"/>
  <c r="Z1409" i="1"/>
  <c r="Y1409" i="1"/>
  <c r="X1409" i="1"/>
  <c r="AA1408" i="1"/>
  <c r="Z1408" i="1"/>
  <c r="Y1408" i="1"/>
  <c r="X1408" i="1"/>
  <c r="AA1407" i="1"/>
  <c r="Z1407" i="1"/>
  <c r="Y1407" i="1"/>
  <c r="X1407" i="1"/>
  <c r="AA1406" i="1"/>
  <c r="Z1406" i="1"/>
  <c r="Y1406" i="1"/>
  <c r="X1406" i="1"/>
  <c r="AA1405" i="1"/>
  <c r="Z1405" i="1"/>
  <c r="Y1405" i="1"/>
  <c r="X1405" i="1"/>
  <c r="AA1404" i="1"/>
  <c r="Z1404" i="1"/>
  <c r="Y1404" i="1"/>
  <c r="X1404" i="1"/>
  <c r="AA1403" i="1"/>
  <c r="Z1403" i="1"/>
  <c r="Y1403" i="1"/>
  <c r="X1403" i="1"/>
  <c r="AA1402" i="1"/>
  <c r="Z1402" i="1"/>
  <c r="Y1402" i="1"/>
  <c r="X1402" i="1"/>
  <c r="AA1401" i="1"/>
  <c r="Z1401" i="1"/>
  <c r="Y1401" i="1"/>
  <c r="X1401" i="1"/>
  <c r="AA1400" i="1"/>
  <c r="Z1400" i="1"/>
  <c r="Y1400" i="1"/>
  <c r="X1400" i="1"/>
  <c r="AA1399" i="1"/>
  <c r="Z1399" i="1"/>
  <c r="Y1399" i="1"/>
  <c r="X1399" i="1"/>
  <c r="AA1398" i="1"/>
  <c r="Z1398" i="1"/>
  <c r="Y1398" i="1"/>
  <c r="X1398" i="1"/>
  <c r="AA1397" i="1"/>
  <c r="Z1397" i="1"/>
  <c r="Y1397" i="1"/>
  <c r="X1397" i="1"/>
  <c r="AA1396" i="1"/>
  <c r="Z1396" i="1"/>
  <c r="Y1396" i="1"/>
  <c r="X1396" i="1"/>
  <c r="AA1395" i="1"/>
  <c r="Z1395" i="1"/>
  <c r="Y1395" i="1"/>
  <c r="X1395" i="1"/>
  <c r="AA1394" i="1"/>
  <c r="Z1394" i="1"/>
  <c r="Y1394" i="1"/>
  <c r="X1394" i="1"/>
  <c r="AA1393" i="1"/>
  <c r="Z1393" i="1"/>
  <c r="Y1393" i="1"/>
  <c r="X1393" i="1"/>
  <c r="AA1392" i="1"/>
  <c r="Z1392" i="1"/>
  <c r="Y1392" i="1"/>
  <c r="X1392" i="1"/>
  <c r="AA1391" i="1"/>
  <c r="Z1391" i="1"/>
  <c r="Y1391" i="1"/>
  <c r="X1391" i="1"/>
  <c r="AA1390" i="1"/>
  <c r="Z1390" i="1"/>
  <c r="Y1390" i="1"/>
  <c r="X1390" i="1"/>
  <c r="AA1389" i="1"/>
  <c r="Z1389" i="1"/>
  <c r="Y1389" i="1"/>
  <c r="X1389" i="1"/>
  <c r="AA1388" i="1"/>
  <c r="Z1388" i="1"/>
  <c r="Y1388" i="1"/>
  <c r="X1388" i="1"/>
  <c r="AA1387" i="1"/>
  <c r="Z1387" i="1"/>
  <c r="Y1387" i="1"/>
  <c r="X1387" i="1"/>
  <c r="AA1386" i="1"/>
  <c r="Z1386" i="1"/>
  <c r="Y1386" i="1"/>
  <c r="X1386" i="1"/>
  <c r="AA1385" i="1"/>
  <c r="Z1385" i="1"/>
  <c r="Y1385" i="1"/>
  <c r="X1385" i="1"/>
  <c r="AA1384" i="1"/>
  <c r="Z1384" i="1"/>
  <c r="Y1384" i="1"/>
  <c r="X1384" i="1"/>
  <c r="AA1383" i="1"/>
  <c r="Z1383" i="1"/>
  <c r="Y1383" i="1"/>
  <c r="X1383" i="1"/>
  <c r="AA1382" i="1"/>
  <c r="Z1382" i="1"/>
  <c r="Y1382" i="1"/>
  <c r="X1382" i="1"/>
  <c r="AA1381" i="1"/>
  <c r="Z1381" i="1"/>
  <c r="Y1381" i="1"/>
  <c r="X1381" i="1"/>
  <c r="AA1380" i="1"/>
  <c r="Z1380" i="1"/>
  <c r="Y1380" i="1"/>
  <c r="X1380" i="1"/>
  <c r="AA1379" i="1"/>
  <c r="Z1379" i="1"/>
  <c r="Y1379" i="1"/>
  <c r="X1379" i="1"/>
  <c r="AA1378" i="1"/>
  <c r="Z1378" i="1"/>
  <c r="Y1378" i="1"/>
  <c r="X1378" i="1"/>
  <c r="AA1377" i="1"/>
  <c r="Z1377" i="1"/>
  <c r="Y1377" i="1"/>
  <c r="X1377" i="1"/>
  <c r="AA1376" i="1"/>
  <c r="Z1376" i="1"/>
  <c r="Y1376" i="1"/>
  <c r="X1376" i="1"/>
  <c r="AA1375" i="1"/>
  <c r="Z1375" i="1"/>
  <c r="Y1375" i="1"/>
  <c r="X1375" i="1"/>
  <c r="AA1374" i="1"/>
  <c r="Z1374" i="1"/>
  <c r="Y1374" i="1"/>
  <c r="X1374" i="1"/>
  <c r="AA1373" i="1"/>
  <c r="Z1373" i="1"/>
  <c r="Y1373" i="1"/>
  <c r="X1373" i="1"/>
  <c r="AA1372" i="1"/>
  <c r="Z1372" i="1"/>
  <c r="Y1372" i="1"/>
  <c r="X1372" i="1"/>
  <c r="AA1371" i="1"/>
  <c r="Z1371" i="1"/>
  <c r="Y1371" i="1"/>
  <c r="X1371" i="1"/>
  <c r="AA1370" i="1"/>
  <c r="Z1370" i="1"/>
  <c r="Y1370" i="1"/>
  <c r="X1370" i="1"/>
  <c r="AA1369" i="1"/>
  <c r="Z1369" i="1"/>
  <c r="Y1369" i="1"/>
  <c r="X1369" i="1"/>
  <c r="AA1368" i="1"/>
  <c r="Z1368" i="1"/>
  <c r="Y1368" i="1"/>
  <c r="X1368" i="1"/>
  <c r="AA1367" i="1"/>
  <c r="Z1367" i="1"/>
  <c r="Y1367" i="1"/>
  <c r="X1367" i="1"/>
  <c r="AA1366" i="1"/>
  <c r="Z1366" i="1"/>
  <c r="Y1366" i="1"/>
  <c r="X1366" i="1"/>
  <c r="AA1365" i="1"/>
  <c r="Z1365" i="1"/>
  <c r="Y1365" i="1"/>
  <c r="X1365" i="1"/>
  <c r="AA1364" i="1"/>
  <c r="Z1364" i="1"/>
  <c r="Y1364" i="1"/>
  <c r="X1364" i="1"/>
  <c r="AA1363" i="1"/>
  <c r="Z1363" i="1"/>
  <c r="Y1363" i="1"/>
  <c r="X1363" i="1"/>
  <c r="AA1362" i="1"/>
  <c r="Z1362" i="1"/>
  <c r="Y1362" i="1"/>
  <c r="X1362" i="1"/>
  <c r="AA1361" i="1"/>
  <c r="Z1361" i="1"/>
  <c r="Y1361" i="1"/>
  <c r="X1361" i="1"/>
  <c r="AA1360" i="1"/>
  <c r="Z1360" i="1"/>
  <c r="Y1360" i="1"/>
  <c r="X1360" i="1"/>
  <c r="AA1359" i="1"/>
  <c r="Z1359" i="1"/>
  <c r="Y1359" i="1"/>
  <c r="X1359" i="1"/>
  <c r="AA1358" i="1"/>
  <c r="Z1358" i="1"/>
  <c r="Y1358" i="1"/>
  <c r="X1358" i="1"/>
  <c r="AA1357" i="1"/>
  <c r="Z1357" i="1"/>
  <c r="Y1357" i="1"/>
  <c r="X1357" i="1"/>
  <c r="AA1356" i="1"/>
  <c r="Z1356" i="1"/>
  <c r="Y1356" i="1"/>
  <c r="X1356" i="1"/>
  <c r="AA1355" i="1"/>
  <c r="Z1355" i="1"/>
  <c r="Y1355" i="1"/>
  <c r="X1355" i="1"/>
  <c r="AA1354" i="1"/>
  <c r="Z1354" i="1"/>
  <c r="Y1354" i="1"/>
  <c r="X1354" i="1"/>
  <c r="AA1353" i="1"/>
  <c r="Z1353" i="1"/>
  <c r="Y1353" i="1"/>
  <c r="X1353" i="1"/>
  <c r="AA1352" i="1"/>
  <c r="Z1352" i="1"/>
  <c r="Y1352" i="1"/>
  <c r="X1352" i="1"/>
  <c r="AA1351" i="1"/>
  <c r="Z1351" i="1"/>
  <c r="Y1351" i="1"/>
  <c r="X1351" i="1"/>
  <c r="AA1350" i="1"/>
  <c r="Z1350" i="1"/>
  <c r="Y1350" i="1"/>
  <c r="X1350" i="1"/>
  <c r="AA1349" i="1"/>
  <c r="Z1349" i="1"/>
  <c r="Y1349" i="1"/>
  <c r="X1349" i="1"/>
  <c r="AA1348" i="1"/>
  <c r="Z1348" i="1"/>
  <c r="Y1348" i="1"/>
  <c r="X1348" i="1"/>
  <c r="AA1347" i="1"/>
  <c r="Z1347" i="1"/>
  <c r="Y1347" i="1"/>
  <c r="X1347" i="1"/>
  <c r="AA1346" i="1"/>
  <c r="Z1346" i="1"/>
  <c r="Y1346" i="1"/>
  <c r="X1346" i="1"/>
  <c r="AA1345" i="1"/>
  <c r="Z1345" i="1"/>
  <c r="Y1345" i="1"/>
  <c r="X1345" i="1"/>
  <c r="AA1344" i="1"/>
  <c r="Z1344" i="1"/>
  <c r="Y1344" i="1"/>
  <c r="X1344" i="1"/>
  <c r="AA1343" i="1"/>
  <c r="Z1343" i="1"/>
  <c r="Y1343" i="1"/>
  <c r="X1343" i="1"/>
  <c r="AA1342" i="1"/>
  <c r="Z1342" i="1"/>
  <c r="Y1342" i="1"/>
  <c r="X1342" i="1"/>
  <c r="AA1341" i="1"/>
  <c r="Z1341" i="1"/>
  <c r="Y1341" i="1"/>
  <c r="X1341" i="1"/>
  <c r="AA1340" i="1"/>
  <c r="Z1340" i="1"/>
  <c r="Y1340" i="1"/>
  <c r="X1340" i="1"/>
  <c r="AA1339" i="1"/>
  <c r="Z1339" i="1"/>
  <c r="Y1339" i="1"/>
  <c r="X1339" i="1"/>
  <c r="AA1338" i="1"/>
  <c r="Z1338" i="1"/>
  <c r="Y1338" i="1"/>
  <c r="X1338" i="1"/>
  <c r="AA1337" i="1"/>
  <c r="Z1337" i="1"/>
  <c r="Y1337" i="1"/>
  <c r="X1337" i="1"/>
  <c r="AA1336" i="1"/>
  <c r="Z1336" i="1"/>
  <c r="Y1336" i="1"/>
  <c r="X1336" i="1"/>
  <c r="AA1335" i="1"/>
  <c r="Z1335" i="1"/>
  <c r="Y1335" i="1"/>
  <c r="X1335" i="1"/>
  <c r="AA1334" i="1"/>
  <c r="Z1334" i="1"/>
  <c r="Y1334" i="1"/>
  <c r="X1334" i="1"/>
  <c r="AA1333" i="1"/>
  <c r="Z1333" i="1"/>
  <c r="Y1333" i="1"/>
  <c r="X1333" i="1"/>
  <c r="AA1332" i="1"/>
  <c r="Z1332" i="1"/>
  <c r="Y1332" i="1"/>
  <c r="X1332" i="1"/>
  <c r="AA1331" i="1"/>
  <c r="Z1331" i="1"/>
  <c r="Y1331" i="1"/>
  <c r="X1331" i="1"/>
  <c r="AA1330" i="1"/>
  <c r="Z1330" i="1"/>
  <c r="Y1330" i="1"/>
  <c r="X1330" i="1"/>
  <c r="AA1329" i="1"/>
  <c r="Z1329" i="1"/>
  <c r="Y1329" i="1"/>
  <c r="X1329" i="1"/>
  <c r="AA1328" i="1"/>
  <c r="Z1328" i="1"/>
  <c r="Y1328" i="1"/>
  <c r="X1328" i="1"/>
  <c r="AA1327" i="1"/>
  <c r="Z1327" i="1"/>
  <c r="Y1327" i="1"/>
  <c r="X1327" i="1"/>
  <c r="AA1326" i="1"/>
  <c r="Z1326" i="1"/>
  <c r="Y1326" i="1"/>
  <c r="X1326" i="1"/>
  <c r="AA1325" i="1"/>
  <c r="Z1325" i="1"/>
  <c r="Y1325" i="1"/>
  <c r="X1325" i="1"/>
  <c r="AA1324" i="1"/>
  <c r="Z1324" i="1"/>
  <c r="Y1324" i="1"/>
  <c r="X1324" i="1"/>
  <c r="AA1323" i="1"/>
  <c r="Z1323" i="1"/>
  <c r="Y1323" i="1"/>
  <c r="X1323" i="1"/>
  <c r="AA1322" i="1"/>
  <c r="Z1322" i="1"/>
  <c r="Y1322" i="1"/>
  <c r="X1322" i="1"/>
  <c r="AA1321" i="1"/>
  <c r="Z1321" i="1"/>
  <c r="Y1321" i="1"/>
  <c r="X1321" i="1"/>
  <c r="AA1320" i="1"/>
  <c r="Z1320" i="1"/>
  <c r="Y1320" i="1"/>
  <c r="X1320" i="1"/>
  <c r="AA1319" i="1"/>
  <c r="Z1319" i="1"/>
  <c r="Y1319" i="1"/>
  <c r="X1319" i="1"/>
  <c r="AA1318" i="1"/>
  <c r="Z1318" i="1"/>
  <c r="Y1318" i="1"/>
  <c r="X1318" i="1"/>
  <c r="AA1317" i="1"/>
  <c r="Z1317" i="1"/>
  <c r="Y1317" i="1"/>
  <c r="X1317" i="1"/>
  <c r="AA1316" i="1"/>
  <c r="Z1316" i="1"/>
  <c r="Y1316" i="1"/>
  <c r="X1316" i="1"/>
  <c r="AA1315" i="1"/>
  <c r="Z1315" i="1"/>
  <c r="Y1315" i="1"/>
  <c r="X1315" i="1"/>
  <c r="AA1314" i="1"/>
  <c r="Z1314" i="1"/>
  <c r="Y1314" i="1"/>
  <c r="X1314" i="1"/>
  <c r="AA1313" i="1"/>
  <c r="Z1313" i="1"/>
  <c r="Y1313" i="1"/>
  <c r="X1313" i="1"/>
  <c r="AA1312" i="1"/>
  <c r="Z1312" i="1"/>
  <c r="Y1312" i="1"/>
  <c r="X1312" i="1"/>
  <c r="AA1311" i="1"/>
  <c r="Z1311" i="1"/>
  <c r="Y1311" i="1"/>
  <c r="X1311" i="1"/>
  <c r="AA1310" i="1"/>
  <c r="Z1310" i="1"/>
  <c r="Y1310" i="1"/>
  <c r="X1310" i="1"/>
  <c r="AA1309" i="1"/>
  <c r="Z1309" i="1"/>
  <c r="Y1309" i="1"/>
  <c r="X1309" i="1"/>
  <c r="AA1308" i="1"/>
  <c r="Z1308" i="1"/>
  <c r="Y1308" i="1"/>
  <c r="X1308" i="1"/>
  <c r="AA1307" i="1"/>
  <c r="Z1307" i="1"/>
  <c r="Y1307" i="1"/>
  <c r="X1307" i="1"/>
  <c r="AA1306" i="1"/>
  <c r="Z1306" i="1"/>
  <c r="Y1306" i="1"/>
  <c r="X1306" i="1"/>
  <c r="AA1305" i="1"/>
  <c r="Z1305" i="1"/>
  <c r="Y1305" i="1"/>
  <c r="X1305" i="1"/>
  <c r="AA1304" i="1"/>
  <c r="Z1304" i="1"/>
  <c r="Y1304" i="1"/>
  <c r="X1304" i="1"/>
  <c r="AA1303" i="1"/>
  <c r="Z1303" i="1"/>
  <c r="Y1303" i="1"/>
  <c r="X1303" i="1"/>
  <c r="AA1302" i="1"/>
  <c r="Z1302" i="1"/>
  <c r="Y1302" i="1"/>
  <c r="X1302" i="1"/>
  <c r="AA1301" i="1"/>
  <c r="Z1301" i="1"/>
  <c r="Y1301" i="1"/>
  <c r="X1301" i="1"/>
  <c r="AA1300" i="1"/>
  <c r="Z1300" i="1"/>
  <c r="Y1300" i="1"/>
  <c r="X1300" i="1"/>
  <c r="AA1299" i="1"/>
  <c r="Z1299" i="1"/>
  <c r="Y1299" i="1"/>
  <c r="X1299" i="1"/>
  <c r="AA1298" i="1"/>
  <c r="Z1298" i="1"/>
  <c r="Y1298" i="1"/>
  <c r="X1298" i="1"/>
  <c r="AA1297" i="1"/>
  <c r="Z1297" i="1"/>
  <c r="Y1297" i="1"/>
  <c r="X1297" i="1"/>
  <c r="AA1296" i="1"/>
  <c r="Z1296" i="1"/>
  <c r="Y1296" i="1"/>
  <c r="X1296" i="1"/>
  <c r="AA1295" i="1"/>
  <c r="Z1295" i="1"/>
  <c r="Y1295" i="1"/>
  <c r="X1295" i="1"/>
  <c r="AA1294" i="1"/>
  <c r="Z1294" i="1"/>
  <c r="Y1294" i="1"/>
  <c r="X1294" i="1"/>
  <c r="AA1293" i="1"/>
  <c r="Z1293" i="1"/>
  <c r="Y1293" i="1"/>
  <c r="X1293" i="1"/>
  <c r="AA1292" i="1"/>
  <c r="Z1292" i="1"/>
  <c r="Y1292" i="1"/>
  <c r="X1292" i="1"/>
  <c r="AA1291" i="1"/>
  <c r="Z1291" i="1"/>
  <c r="Y1291" i="1"/>
  <c r="X1291" i="1"/>
  <c r="AA1290" i="1"/>
  <c r="Z1290" i="1"/>
  <c r="Y1290" i="1"/>
  <c r="X1290" i="1"/>
  <c r="AA1289" i="1"/>
  <c r="Z1289" i="1"/>
  <c r="Y1289" i="1"/>
  <c r="X1289" i="1"/>
  <c r="AA1288" i="1"/>
  <c r="Z1288" i="1"/>
  <c r="Y1288" i="1"/>
  <c r="X1288" i="1"/>
  <c r="AA1287" i="1"/>
  <c r="Z1287" i="1"/>
  <c r="Y1287" i="1"/>
  <c r="X1287" i="1"/>
  <c r="AA1286" i="1"/>
  <c r="Z1286" i="1"/>
  <c r="Y1286" i="1"/>
  <c r="X1286" i="1"/>
  <c r="AA1285" i="1"/>
  <c r="Z1285" i="1"/>
  <c r="Y1285" i="1"/>
  <c r="X1285" i="1"/>
  <c r="AA1284" i="1"/>
  <c r="Z1284" i="1"/>
  <c r="Y1284" i="1"/>
  <c r="X1284" i="1"/>
  <c r="AA1283" i="1"/>
  <c r="Z1283" i="1"/>
  <c r="Y1283" i="1"/>
  <c r="X1283" i="1"/>
  <c r="AA1282" i="1"/>
  <c r="Z1282" i="1"/>
  <c r="Y1282" i="1"/>
  <c r="X1282" i="1"/>
  <c r="AA1281" i="1"/>
  <c r="Z1281" i="1"/>
  <c r="Y1281" i="1"/>
  <c r="X1281" i="1"/>
  <c r="AA1280" i="1"/>
  <c r="Z1280" i="1"/>
  <c r="Y1280" i="1"/>
  <c r="X1280" i="1"/>
  <c r="AA1279" i="1"/>
  <c r="Z1279" i="1"/>
  <c r="Y1279" i="1"/>
  <c r="X1279" i="1"/>
  <c r="AA1278" i="1"/>
  <c r="Z1278" i="1"/>
  <c r="Y1278" i="1"/>
  <c r="X1278" i="1"/>
  <c r="AA1277" i="1"/>
  <c r="Z1277" i="1"/>
  <c r="Y1277" i="1"/>
  <c r="X1277" i="1"/>
  <c r="AA1276" i="1"/>
  <c r="Z1276" i="1"/>
  <c r="Y1276" i="1"/>
  <c r="X1276" i="1"/>
  <c r="AA1275" i="1"/>
  <c r="Z1275" i="1"/>
  <c r="Y1275" i="1"/>
  <c r="X1275" i="1"/>
  <c r="AA1274" i="1"/>
  <c r="Z1274" i="1"/>
  <c r="Y1274" i="1"/>
  <c r="X1274" i="1"/>
  <c r="AA1273" i="1"/>
  <c r="Z1273" i="1"/>
  <c r="Y1273" i="1"/>
  <c r="X1273" i="1"/>
  <c r="AA1272" i="1"/>
  <c r="Z1272" i="1"/>
  <c r="Y1272" i="1"/>
  <c r="X1272" i="1"/>
  <c r="AA1271" i="1"/>
  <c r="Z1271" i="1"/>
  <c r="Y1271" i="1"/>
  <c r="X1271" i="1"/>
  <c r="AA1270" i="1"/>
  <c r="Z1270" i="1"/>
  <c r="Y1270" i="1"/>
  <c r="X1270" i="1"/>
  <c r="AA1269" i="1"/>
  <c r="Z1269" i="1"/>
  <c r="Y1269" i="1"/>
  <c r="X1269" i="1"/>
  <c r="AA1268" i="1"/>
  <c r="Z1268" i="1"/>
  <c r="Y1268" i="1"/>
  <c r="X1268" i="1"/>
  <c r="AA1267" i="1"/>
  <c r="Z1267" i="1"/>
  <c r="Y1267" i="1"/>
  <c r="X1267" i="1"/>
  <c r="AA1266" i="1"/>
  <c r="Z1266" i="1"/>
  <c r="Y1266" i="1"/>
  <c r="X1266" i="1"/>
  <c r="AA1265" i="1"/>
  <c r="Z1265" i="1"/>
  <c r="Y1265" i="1"/>
  <c r="X1265" i="1"/>
  <c r="AA1264" i="1"/>
  <c r="Z1264" i="1"/>
  <c r="Y1264" i="1"/>
  <c r="X1264" i="1"/>
  <c r="AA1263" i="1"/>
  <c r="Z1263" i="1"/>
  <c r="Y1263" i="1"/>
  <c r="X1263" i="1"/>
  <c r="AA1262" i="1"/>
  <c r="Z1262" i="1"/>
  <c r="Y1262" i="1"/>
  <c r="X1262" i="1"/>
  <c r="AA1261" i="1"/>
  <c r="Z1261" i="1"/>
  <c r="Y1261" i="1"/>
  <c r="X1261" i="1"/>
  <c r="AA1260" i="1"/>
  <c r="Z1260" i="1"/>
  <c r="Y1260" i="1"/>
  <c r="X1260" i="1"/>
  <c r="AA1259" i="1"/>
  <c r="Z1259" i="1"/>
  <c r="Y1259" i="1"/>
  <c r="X1259" i="1"/>
  <c r="AA1258" i="1"/>
  <c r="Z1258" i="1"/>
  <c r="Y1258" i="1"/>
  <c r="X1258" i="1"/>
  <c r="AA1257" i="1"/>
  <c r="Z1257" i="1"/>
  <c r="Y1257" i="1"/>
  <c r="X1257" i="1"/>
  <c r="AA1256" i="1"/>
  <c r="Z1256" i="1"/>
  <c r="Y1256" i="1"/>
  <c r="X1256" i="1"/>
  <c r="AA1255" i="1"/>
  <c r="Z1255" i="1"/>
  <c r="Y1255" i="1"/>
  <c r="X1255" i="1"/>
  <c r="AA1254" i="1"/>
  <c r="Z1254" i="1"/>
  <c r="Y1254" i="1"/>
  <c r="X1254" i="1"/>
  <c r="AA1253" i="1"/>
  <c r="Z1253" i="1"/>
  <c r="Y1253" i="1"/>
  <c r="X1253" i="1"/>
  <c r="AA1252" i="1"/>
  <c r="Z1252" i="1"/>
  <c r="Y1252" i="1"/>
  <c r="X1252" i="1"/>
  <c r="AA1251" i="1"/>
  <c r="Z1251" i="1"/>
  <c r="Y1251" i="1"/>
  <c r="X1251" i="1"/>
  <c r="AA1250" i="1"/>
  <c r="Z1250" i="1"/>
  <c r="Y1250" i="1"/>
  <c r="X1250" i="1"/>
  <c r="AA1249" i="1"/>
  <c r="Z1249" i="1"/>
  <c r="Y1249" i="1"/>
  <c r="X1249" i="1"/>
  <c r="AA1248" i="1"/>
  <c r="Z1248" i="1"/>
  <c r="Y1248" i="1"/>
  <c r="X1248" i="1"/>
  <c r="AA1247" i="1"/>
  <c r="Z1247" i="1"/>
  <c r="Y1247" i="1"/>
  <c r="X1247" i="1"/>
  <c r="AA1246" i="1"/>
  <c r="Z1246" i="1"/>
  <c r="Y1246" i="1"/>
  <c r="X1246" i="1"/>
  <c r="AA1245" i="1"/>
  <c r="Z1245" i="1"/>
  <c r="Y1245" i="1"/>
  <c r="X1245" i="1"/>
  <c r="AA1244" i="1"/>
  <c r="Z1244" i="1"/>
  <c r="Y1244" i="1"/>
  <c r="X1244" i="1"/>
  <c r="AA1243" i="1"/>
  <c r="Z1243" i="1"/>
  <c r="Y1243" i="1"/>
  <c r="X1243" i="1"/>
  <c r="AA1242" i="1"/>
  <c r="Z1242" i="1"/>
  <c r="Y1242" i="1"/>
  <c r="X1242" i="1"/>
  <c r="AA1241" i="1"/>
  <c r="Z1241" i="1"/>
  <c r="Y1241" i="1"/>
  <c r="X1241" i="1"/>
  <c r="AA1240" i="1"/>
  <c r="Z1240" i="1"/>
  <c r="Y1240" i="1"/>
  <c r="X1240" i="1"/>
  <c r="AA1239" i="1"/>
  <c r="Z1239" i="1"/>
  <c r="Y1239" i="1"/>
  <c r="X1239" i="1"/>
  <c r="AA1238" i="1"/>
  <c r="Z1238" i="1"/>
  <c r="Y1238" i="1"/>
  <c r="X1238" i="1"/>
  <c r="AA1237" i="1"/>
  <c r="Z1237" i="1"/>
  <c r="Y1237" i="1"/>
  <c r="X1237" i="1"/>
  <c r="AA1236" i="1"/>
  <c r="Z1236" i="1"/>
  <c r="Y1236" i="1"/>
  <c r="X1236" i="1"/>
  <c r="AA1235" i="1"/>
  <c r="Z1235" i="1"/>
  <c r="Y1235" i="1"/>
  <c r="X1235" i="1"/>
  <c r="AA1234" i="1"/>
  <c r="Z1234" i="1"/>
  <c r="Y1234" i="1"/>
  <c r="X1234" i="1"/>
  <c r="AA1233" i="1"/>
  <c r="Z1233" i="1"/>
  <c r="Y1233" i="1"/>
  <c r="X1233" i="1"/>
  <c r="AA1232" i="1"/>
  <c r="Z1232" i="1"/>
  <c r="Y1232" i="1"/>
  <c r="X1232" i="1"/>
  <c r="AA1231" i="1"/>
  <c r="Z1231" i="1"/>
  <c r="Y1231" i="1"/>
  <c r="X1231" i="1"/>
  <c r="AA1230" i="1"/>
  <c r="Z1230" i="1"/>
  <c r="Y1230" i="1"/>
  <c r="X1230" i="1"/>
  <c r="AA1229" i="1"/>
  <c r="Z1229" i="1"/>
  <c r="Y1229" i="1"/>
  <c r="X1229" i="1"/>
  <c r="AA1228" i="1"/>
  <c r="Z1228" i="1"/>
  <c r="Y1228" i="1"/>
  <c r="X1228" i="1"/>
  <c r="AA1227" i="1"/>
  <c r="Z1227" i="1"/>
  <c r="Y1227" i="1"/>
  <c r="X1227" i="1"/>
  <c r="AA1226" i="1"/>
  <c r="Z1226" i="1"/>
  <c r="Y1226" i="1"/>
  <c r="X1226" i="1"/>
  <c r="AA1225" i="1"/>
  <c r="Z1225" i="1"/>
  <c r="Y1225" i="1"/>
  <c r="X1225" i="1"/>
  <c r="AA1224" i="1"/>
  <c r="Z1224" i="1"/>
  <c r="Y1224" i="1"/>
  <c r="X1224" i="1"/>
  <c r="AA1223" i="1"/>
  <c r="Z1223" i="1"/>
  <c r="Y1223" i="1"/>
  <c r="X1223" i="1"/>
  <c r="AA1222" i="1"/>
  <c r="Z1222" i="1"/>
  <c r="Y1222" i="1"/>
  <c r="X1222" i="1"/>
  <c r="AA1221" i="1"/>
  <c r="Z1221" i="1"/>
  <c r="Y1221" i="1"/>
  <c r="X1221" i="1"/>
  <c r="AA1220" i="1"/>
  <c r="Z1220" i="1"/>
  <c r="Y1220" i="1"/>
  <c r="X1220" i="1"/>
  <c r="AA1219" i="1"/>
  <c r="Z1219" i="1"/>
  <c r="Y1219" i="1"/>
  <c r="X1219" i="1"/>
  <c r="AA1218" i="1"/>
  <c r="Z1218" i="1"/>
  <c r="Y1218" i="1"/>
  <c r="X1218" i="1"/>
  <c r="AA1217" i="1"/>
  <c r="Z1217" i="1"/>
  <c r="Y1217" i="1"/>
  <c r="X1217" i="1"/>
  <c r="AA1216" i="1"/>
  <c r="Z1216" i="1"/>
  <c r="Y1216" i="1"/>
  <c r="X1216" i="1"/>
  <c r="AA1215" i="1"/>
  <c r="Z1215" i="1"/>
  <c r="Y1215" i="1"/>
  <c r="X1215" i="1"/>
  <c r="AA1214" i="1"/>
  <c r="Z1214" i="1"/>
  <c r="Y1214" i="1"/>
  <c r="X1214" i="1"/>
  <c r="AA1213" i="1"/>
  <c r="Z1213" i="1"/>
  <c r="Y1213" i="1"/>
  <c r="X1213" i="1"/>
  <c r="AA1212" i="1"/>
  <c r="Z1212" i="1"/>
  <c r="Y1212" i="1"/>
  <c r="X1212" i="1"/>
  <c r="AA1211" i="1"/>
  <c r="Z1211" i="1"/>
  <c r="Y1211" i="1"/>
  <c r="X1211" i="1"/>
  <c r="AA1210" i="1"/>
  <c r="Z1210" i="1"/>
  <c r="Y1210" i="1"/>
  <c r="X1210" i="1"/>
  <c r="AA1209" i="1"/>
  <c r="Z1209" i="1"/>
  <c r="Y1209" i="1"/>
  <c r="X1209" i="1"/>
  <c r="AA1208" i="1"/>
  <c r="Z1208" i="1"/>
  <c r="Y1208" i="1"/>
  <c r="X1208" i="1"/>
  <c r="AA1207" i="1"/>
  <c r="Z1207" i="1"/>
  <c r="Y1207" i="1"/>
  <c r="X1207" i="1"/>
  <c r="AA1206" i="1"/>
  <c r="Z1206" i="1"/>
  <c r="Y1206" i="1"/>
  <c r="X1206" i="1"/>
  <c r="AA1205" i="1"/>
  <c r="Z1205" i="1"/>
  <c r="Y1205" i="1"/>
  <c r="X1205" i="1"/>
  <c r="AA1204" i="1"/>
  <c r="Z1204" i="1"/>
  <c r="Y1204" i="1"/>
  <c r="X1204" i="1"/>
  <c r="AA1203" i="1"/>
  <c r="Z1203" i="1"/>
  <c r="Y1203" i="1"/>
  <c r="X1203" i="1"/>
  <c r="AA1202" i="1"/>
  <c r="Z1202" i="1"/>
  <c r="Y1202" i="1"/>
  <c r="X1202" i="1"/>
  <c r="AA1201" i="1"/>
  <c r="Z1201" i="1"/>
  <c r="Y1201" i="1"/>
  <c r="X1201" i="1"/>
  <c r="AA1200" i="1"/>
  <c r="Z1200" i="1"/>
  <c r="Y1200" i="1"/>
  <c r="X1200" i="1"/>
  <c r="AA1199" i="1"/>
  <c r="Z1199" i="1"/>
  <c r="Y1199" i="1"/>
  <c r="X1199" i="1"/>
  <c r="AA1198" i="1"/>
  <c r="Z1198" i="1"/>
  <c r="Y1198" i="1"/>
  <c r="X1198" i="1"/>
  <c r="AA1197" i="1"/>
  <c r="Z1197" i="1"/>
  <c r="Y1197" i="1"/>
  <c r="X1197" i="1"/>
  <c r="AA1196" i="1"/>
  <c r="Z1196" i="1"/>
  <c r="Y1196" i="1"/>
  <c r="X1196" i="1"/>
  <c r="AA1195" i="1"/>
  <c r="Z1195" i="1"/>
  <c r="Y1195" i="1"/>
  <c r="X1195" i="1"/>
  <c r="AA1194" i="1"/>
  <c r="Z1194" i="1"/>
  <c r="Y1194" i="1"/>
  <c r="X1194" i="1"/>
  <c r="AA1193" i="1"/>
  <c r="Z1193" i="1"/>
  <c r="Y1193" i="1"/>
  <c r="X1193" i="1"/>
  <c r="AA1192" i="1"/>
  <c r="Z1192" i="1"/>
  <c r="Y1192" i="1"/>
  <c r="X1192" i="1"/>
  <c r="AA1191" i="1"/>
  <c r="Z1191" i="1"/>
  <c r="Y1191" i="1"/>
  <c r="X1191" i="1"/>
  <c r="AA1190" i="1"/>
  <c r="Z1190" i="1"/>
  <c r="Y1190" i="1"/>
  <c r="X1190" i="1"/>
  <c r="AA1189" i="1"/>
  <c r="Z1189" i="1"/>
  <c r="Y1189" i="1"/>
  <c r="X1189" i="1"/>
  <c r="AA1188" i="1"/>
  <c r="Z1188" i="1"/>
  <c r="Y1188" i="1"/>
  <c r="X1188" i="1"/>
  <c r="AA1187" i="1"/>
  <c r="Z1187" i="1"/>
  <c r="Y1187" i="1"/>
  <c r="X1187" i="1"/>
  <c r="AA1186" i="1"/>
  <c r="Z1186" i="1"/>
  <c r="Y1186" i="1"/>
  <c r="X1186" i="1"/>
  <c r="AA1185" i="1"/>
  <c r="Z1185" i="1"/>
  <c r="Y1185" i="1"/>
  <c r="X1185" i="1"/>
  <c r="AA1184" i="1"/>
  <c r="Z1184" i="1"/>
  <c r="Y1184" i="1"/>
  <c r="X1184" i="1"/>
  <c r="AA1183" i="1"/>
  <c r="Z1183" i="1"/>
  <c r="Y1183" i="1"/>
  <c r="X1183" i="1"/>
  <c r="AA1182" i="1"/>
  <c r="Z1182" i="1"/>
  <c r="Y1182" i="1"/>
  <c r="X1182" i="1"/>
  <c r="AA1181" i="1"/>
  <c r="Z1181" i="1"/>
  <c r="Y1181" i="1"/>
  <c r="X1181" i="1"/>
  <c r="AA1180" i="1"/>
  <c r="Z1180" i="1"/>
  <c r="Y1180" i="1"/>
  <c r="X1180" i="1"/>
  <c r="AA1179" i="1"/>
  <c r="Z1179" i="1"/>
  <c r="Y1179" i="1"/>
  <c r="X1179" i="1"/>
  <c r="AA1178" i="1"/>
  <c r="Z1178" i="1"/>
  <c r="Y1178" i="1"/>
  <c r="X1178" i="1"/>
  <c r="AA1177" i="1"/>
  <c r="Z1177" i="1"/>
  <c r="Y1177" i="1"/>
  <c r="X1177" i="1"/>
  <c r="AA1176" i="1"/>
  <c r="Z1176" i="1"/>
  <c r="Y1176" i="1"/>
  <c r="X1176" i="1"/>
  <c r="AA1175" i="1"/>
  <c r="Z1175" i="1"/>
  <c r="Y1175" i="1"/>
  <c r="X1175" i="1"/>
  <c r="AA1174" i="1"/>
  <c r="Z1174" i="1"/>
  <c r="Y1174" i="1"/>
  <c r="X1174" i="1"/>
  <c r="AA1173" i="1"/>
  <c r="Z1173" i="1"/>
  <c r="Y1173" i="1"/>
  <c r="X1173" i="1"/>
  <c r="AA1172" i="1"/>
  <c r="Z1172" i="1"/>
  <c r="Y1172" i="1"/>
  <c r="X1172" i="1"/>
  <c r="AA1171" i="1"/>
  <c r="Z1171" i="1"/>
  <c r="Y1171" i="1"/>
  <c r="X1171" i="1"/>
  <c r="AA1170" i="1"/>
  <c r="Z1170" i="1"/>
  <c r="Y1170" i="1"/>
  <c r="X1170" i="1"/>
  <c r="AA1169" i="1"/>
  <c r="Z1169" i="1"/>
  <c r="Y1169" i="1"/>
  <c r="X1169" i="1"/>
  <c r="AA1168" i="1"/>
  <c r="Z1168" i="1"/>
  <c r="Y1168" i="1"/>
  <c r="X1168" i="1"/>
  <c r="AA1167" i="1"/>
  <c r="Z1167" i="1"/>
  <c r="Y1167" i="1"/>
  <c r="X1167" i="1"/>
  <c r="AA1166" i="1"/>
  <c r="Z1166" i="1"/>
  <c r="Y1166" i="1"/>
  <c r="X1166" i="1"/>
  <c r="AA1165" i="1"/>
  <c r="Z1165" i="1"/>
  <c r="Y1165" i="1"/>
  <c r="X1165" i="1"/>
  <c r="AA1164" i="1"/>
  <c r="Z1164" i="1"/>
  <c r="Y1164" i="1"/>
  <c r="X1164" i="1"/>
  <c r="AA1163" i="1"/>
  <c r="Z1163" i="1"/>
  <c r="Y1163" i="1"/>
  <c r="X1163" i="1"/>
  <c r="AA1162" i="1"/>
  <c r="Z1162" i="1"/>
  <c r="Y1162" i="1"/>
  <c r="X1162" i="1"/>
  <c r="AA1161" i="1"/>
  <c r="Z1161" i="1"/>
  <c r="Y1161" i="1"/>
  <c r="X1161" i="1"/>
  <c r="AA1160" i="1"/>
  <c r="Z1160" i="1"/>
  <c r="Y1160" i="1"/>
  <c r="X1160" i="1"/>
  <c r="AA1159" i="1"/>
  <c r="Z1159" i="1"/>
  <c r="Y1159" i="1"/>
  <c r="X1159" i="1"/>
  <c r="AA1158" i="1"/>
  <c r="Z1158" i="1"/>
  <c r="Y1158" i="1"/>
  <c r="X1158" i="1"/>
  <c r="AA1157" i="1"/>
  <c r="Z1157" i="1"/>
  <c r="Y1157" i="1"/>
  <c r="X1157" i="1"/>
  <c r="AA1156" i="1"/>
  <c r="Z1156" i="1"/>
  <c r="Y1156" i="1"/>
  <c r="X1156" i="1"/>
  <c r="AA1155" i="1"/>
  <c r="Z1155" i="1"/>
  <c r="Y1155" i="1"/>
  <c r="X1155" i="1"/>
  <c r="AA1154" i="1"/>
  <c r="Z1154" i="1"/>
  <c r="Y1154" i="1"/>
  <c r="X1154" i="1"/>
  <c r="AA1153" i="1"/>
  <c r="Z1153" i="1"/>
  <c r="Y1153" i="1"/>
  <c r="X1153" i="1"/>
  <c r="AA1152" i="1"/>
  <c r="Z1152" i="1"/>
  <c r="Y1152" i="1"/>
  <c r="X1152" i="1"/>
  <c r="AA1151" i="1"/>
  <c r="Z1151" i="1"/>
  <c r="Y1151" i="1"/>
  <c r="X1151" i="1"/>
  <c r="AA1150" i="1"/>
  <c r="Z1150" i="1"/>
  <c r="Y1150" i="1"/>
  <c r="X1150" i="1"/>
  <c r="AA1149" i="1"/>
  <c r="Z1149" i="1"/>
  <c r="Y1149" i="1"/>
  <c r="X1149" i="1"/>
  <c r="AA1148" i="1"/>
  <c r="Z1148" i="1"/>
  <c r="Y1148" i="1"/>
  <c r="X1148" i="1"/>
  <c r="AA1147" i="1"/>
  <c r="Z1147" i="1"/>
  <c r="Y1147" i="1"/>
  <c r="X1147" i="1"/>
  <c r="AA1146" i="1"/>
  <c r="Z1146" i="1"/>
  <c r="Y1146" i="1"/>
  <c r="X1146" i="1"/>
  <c r="AA1145" i="1"/>
  <c r="Z1145" i="1"/>
  <c r="Y1145" i="1"/>
  <c r="X1145" i="1"/>
  <c r="AA1144" i="1"/>
  <c r="Z1144" i="1"/>
  <c r="Y1144" i="1"/>
  <c r="X1144" i="1"/>
  <c r="AA1143" i="1"/>
  <c r="Z1143" i="1"/>
  <c r="Y1143" i="1"/>
  <c r="X1143" i="1"/>
  <c r="AA1142" i="1"/>
  <c r="Z1142" i="1"/>
  <c r="Y1142" i="1"/>
  <c r="X1142" i="1"/>
  <c r="AA1141" i="1"/>
  <c r="Z1141" i="1"/>
  <c r="Y1141" i="1"/>
  <c r="X1141" i="1"/>
  <c r="AA1140" i="1"/>
  <c r="Z1140" i="1"/>
  <c r="Y1140" i="1"/>
  <c r="X1140" i="1"/>
  <c r="AA1139" i="1"/>
  <c r="Z1139" i="1"/>
  <c r="Y1139" i="1"/>
  <c r="X1139" i="1"/>
  <c r="AA1138" i="1"/>
  <c r="Z1138" i="1"/>
  <c r="Y1138" i="1"/>
  <c r="X1138" i="1"/>
  <c r="AA1137" i="1"/>
  <c r="Z1137" i="1"/>
  <c r="Y1137" i="1"/>
  <c r="X1137" i="1"/>
  <c r="AA1136" i="1"/>
  <c r="Z1136" i="1"/>
  <c r="Y1136" i="1"/>
  <c r="X1136" i="1"/>
  <c r="AA1135" i="1"/>
  <c r="Z1135" i="1"/>
  <c r="Y1135" i="1"/>
  <c r="X1135" i="1"/>
  <c r="AA1134" i="1"/>
  <c r="Z1134" i="1"/>
  <c r="Y1134" i="1"/>
  <c r="X1134" i="1"/>
  <c r="AA1133" i="1"/>
  <c r="Z1133" i="1"/>
  <c r="Y1133" i="1"/>
  <c r="X1133" i="1"/>
  <c r="AA1132" i="1"/>
  <c r="Z1132" i="1"/>
  <c r="Y1132" i="1"/>
  <c r="X1132" i="1"/>
  <c r="AA1131" i="1"/>
  <c r="Z1131" i="1"/>
  <c r="Y1131" i="1"/>
  <c r="X1131" i="1"/>
  <c r="AA1130" i="1"/>
  <c r="Z1130" i="1"/>
  <c r="Y1130" i="1"/>
  <c r="X1130" i="1"/>
  <c r="AA1129" i="1"/>
  <c r="Z1129" i="1"/>
  <c r="Y1129" i="1"/>
  <c r="X1129" i="1"/>
  <c r="AA1128" i="1"/>
  <c r="Z1128" i="1"/>
  <c r="Y1128" i="1"/>
  <c r="X1128" i="1"/>
  <c r="AA1127" i="1"/>
  <c r="Z1127" i="1"/>
  <c r="Y1127" i="1"/>
  <c r="X1127" i="1"/>
  <c r="AA1126" i="1"/>
  <c r="Z1126" i="1"/>
  <c r="Y1126" i="1"/>
  <c r="X1126" i="1"/>
  <c r="AA1125" i="1"/>
  <c r="Z1125" i="1"/>
  <c r="Y1125" i="1"/>
  <c r="X1125" i="1"/>
  <c r="AA1124" i="1"/>
  <c r="Z1124" i="1"/>
  <c r="Y1124" i="1"/>
  <c r="X1124" i="1"/>
  <c r="AA1123" i="1"/>
  <c r="Z1123" i="1"/>
  <c r="Y1123" i="1"/>
  <c r="X1123" i="1"/>
  <c r="AA1122" i="1"/>
  <c r="Z1122" i="1"/>
  <c r="Y1122" i="1"/>
  <c r="X1122" i="1"/>
  <c r="AA1121" i="1"/>
  <c r="Z1121" i="1"/>
  <c r="Y1121" i="1"/>
  <c r="X1121" i="1"/>
  <c r="AA1120" i="1"/>
  <c r="Z1120" i="1"/>
  <c r="Y1120" i="1"/>
  <c r="X1120" i="1"/>
  <c r="AA1119" i="1"/>
  <c r="Z1119" i="1"/>
  <c r="Y1119" i="1"/>
  <c r="X1119" i="1"/>
  <c r="AA1118" i="1"/>
  <c r="Z1118" i="1"/>
  <c r="Y1118" i="1"/>
  <c r="X1118" i="1"/>
  <c r="AA1117" i="1"/>
  <c r="Z1117" i="1"/>
  <c r="Y1117" i="1"/>
  <c r="X1117" i="1"/>
  <c r="AA1116" i="1"/>
  <c r="Z1116" i="1"/>
  <c r="Y1116" i="1"/>
  <c r="X1116" i="1"/>
  <c r="AA1115" i="1"/>
  <c r="Z1115" i="1"/>
  <c r="Y1115" i="1"/>
  <c r="X1115" i="1"/>
  <c r="AA1114" i="1"/>
  <c r="Z1114" i="1"/>
  <c r="Y1114" i="1"/>
  <c r="X1114" i="1"/>
  <c r="AA1113" i="1"/>
  <c r="Z1113" i="1"/>
  <c r="Y1113" i="1"/>
  <c r="X1113" i="1"/>
  <c r="AA1112" i="1"/>
  <c r="Z1112" i="1"/>
  <c r="Y1112" i="1"/>
  <c r="X1112" i="1"/>
  <c r="AA1111" i="1"/>
  <c r="Z1111" i="1"/>
  <c r="Y1111" i="1"/>
  <c r="X1111" i="1"/>
  <c r="AA1110" i="1"/>
  <c r="Z1110" i="1"/>
  <c r="Y1110" i="1"/>
  <c r="X1110" i="1"/>
  <c r="AA1109" i="1"/>
  <c r="Z1109" i="1"/>
  <c r="Y1109" i="1"/>
  <c r="X1109" i="1"/>
  <c r="AA1108" i="1"/>
  <c r="Z1108" i="1"/>
  <c r="Y1108" i="1"/>
  <c r="X1108" i="1"/>
  <c r="AA1107" i="1"/>
  <c r="Z1107" i="1"/>
  <c r="Y1107" i="1"/>
  <c r="X1107" i="1"/>
  <c r="AA1106" i="1"/>
  <c r="Z1106" i="1"/>
  <c r="Y1106" i="1"/>
  <c r="X1106" i="1"/>
  <c r="AA1105" i="1"/>
  <c r="Z1105" i="1"/>
  <c r="Y1105" i="1"/>
  <c r="X1105" i="1"/>
  <c r="AA1104" i="1"/>
  <c r="Z1104" i="1"/>
  <c r="Y1104" i="1"/>
  <c r="X1104" i="1"/>
  <c r="AA1103" i="1"/>
  <c r="Z1103" i="1"/>
  <c r="Y1103" i="1"/>
  <c r="X1103" i="1"/>
  <c r="AA1102" i="1"/>
  <c r="Z1102" i="1"/>
  <c r="Y1102" i="1"/>
  <c r="X1102" i="1"/>
  <c r="AA1101" i="1"/>
  <c r="Z1101" i="1"/>
  <c r="Y1101" i="1"/>
  <c r="X1101" i="1"/>
  <c r="AA1100" i="1"/>
  <c r="Z1100" i="1"/>
  <c r="Y1100" i="1"/>
  <c r="X1100" i="1"/>
  <c r="AA1099" i="1"/>
  <c r="Z1099" i="1"/>
  <c r="Y1099" i="1"/>
  <c r="X1099" i="1"/>
  <c r="AA1098" i="1"/>
  <c r="Z1098" i="1"/>
  <c r="Y1098" i="1"/>
  <c r="X1098" i="1"/>
  <c r="AA1097" i="1"/>
  <c r="Z1097" i="1"/>
  <c r="Y1097" i="1"/>
  <c r="X1097" i="1"/>
  <c r="AA1096" i="1"/>
  <c r="Z1096" i="1"/>
  <c r="Y1096" i="1"/>
  <c r="X1096" i="1"/>
  <c r="AA1095" i="1"/>
  <c r="Z1095" i="1"/>
  <c r="Y1095" i="1"/>
  <c r="X1095" i="1"/>
  <c r="AA1094" i="1"/>
  <c r="Z1094" i="1"/>
  <c r="Y1094" i="1"/>
  <c r="X1094" i="1"/>
  <c r="AA1093" i="1"/>
  <c r="Z1093" i="1"/>
  <c r="Y1093" i="1"/>
  <c r="X1093" i="1"/>
  <c r="AA1092" i="1"/>
  <c r="Z1092" i="1"/>
  <c r="Y1092" i="1"/>
  <c r="X1092" i="1"/>
  <c r="AA1091" i="1"/>
  <c r="Z1091" i="1"/>
  <c r="Y1091" i="1"/>
  <c r="X1091" i="1"/>
  <c r="AA1090" i="1"/>
  <c r="Z1090" i="1"/>
  <c r="Y1090" i="1"/>
  <c r="X1090" i="1"/>
  <c r="AA1089" i="1"/>
  <c r="Z1089" i="1"/>
  <c r="Y1089" i="1"/>
  <c r="X1089" i="1"/>
  <c r="AA1088" i="1"/>
  <c r="Z1088" i="1"/>
  <c r="Y1088" i="1"/>
  <c r="X1088" i="1"/>
  <c r="AA1087" i="1"/>
  <c r="Z1087" i="1"/>
  <c r="Y1087" i="1"/>
  <c r="X1087" i="1"/>
  <c r="AA1086" i="1"/>
  <c r="Z1086" i="1"/>
  <c r="Y1086" i="1"/>
  <c r="X1086" i="1"/>
  <c r="AA1085" i="1"/>
  <c r="Z1085" i="1"/>
  <c r="Y1085" i="1"/>
  <c r="X1085" i="1"/>
  <c r="AA1084" i="1"/>
  <c r="Z1084" i="1"/>
  <c r="Y1084" i="1"/>
  <c r="X1084" i="1"/>
  <c r="AA1083" i="1"/>
  <c r="Z1083" i="1"/>
  <c r="Y1083" i="1"/>
  <c r="X1083" i="1"/>
  <c r="AA1082" i="1"/>
  <c r="Z1082" i="1"/>
  <c r="Y1082" i="1"/>
  <c r="X1082" i="1"/>
  <c r="AA1081" i="1"/>
  <c r="Z1081" i="1"/>
  <c r="Y1081" i="1"/>
  <c r="X1081" i="1"/>
  <c r="AA1080" i="1"/>
  <c r="Z1080" i="1"/>
  <c r="Y1080" i="1"/>
  <c r="X1080" i="1"/>
  <c r="AA1079" i="1"/>
  <c r="Z1079" i="1"/>
  <c r="Y1079" i="1"/>
  <c r="X1079" i="1"/>
  <c r="AA1078" i="1"/>
  <c r="Z1078" i="1"/>
  <c r="Y1078" i="1"/>
  <c r="X1078" i="1"/>
  <c r="AA1077" i="1"/>
  <c r="Z1077" i="1"/>
  <c r="Y1077" i="1"/>
  <c r="X1077" i="1"/>
  <c r="AA1076" i="1"/>
  <c r="Z1076" i="1"/>
  <c r="Y1076" i="1"/>
  <c r="X1076" i="1"/>
  <c r="AA1075" i="1"/>
  <c r="Z1075" i="1"/>
  <c r="Y1075" i="1"/>
  <c r="X1075" i="1"/>
  <c r="AA1074" i="1"/>
  <c r="Z1074" i="1"/>
  <c r="Y1074" i="1"/>
  <c r="X1074" i="1"/>
  <c r="AA1073" i="1"/>
  <c r="Z1073" i="1"/>
  <c r="Y1073" i="1"/>
  <c r="X1073" i="1"/>
  <c r="AA1072" i="1"/>
  <c r="Z1072" i="1"/>
  <c r="Y1072" i="1"/>
  <c r="X1072" i="1"/>
  <c r="AA1071" i="1"/>
  <c r="Z1071" i="1"/>
  <c r="Y1071" i="1"/>
  <c r="X1071" i="1"/>
  <c r="AA1070" i="1"/>
  <c r="Z1070" i="1"/>
  <c r="Y1070" i="1"/>
  <c r="X1070" i="1"/>
  <c r="AA1069" i="1"/>
  <c r="Z1069" i="1"/>
  <c r="Y1069" i="1"/>
  <c r="X1069" i="1"/>
  <c r="AA1068" i="1"/>
  <c r="Z1068" i="1"/>
  <c r="Y1068" i="1"/>
  <c r="X1068" i="1"/>
  <c r="AA1067" i="1"/>
  <c r="Z1067" i="1"/>
  <c r="Y1067" i="1"/>
  <c r="X1067" i="1"/>
  <c r="AA1066" i="1"/>
  <c r="Z1066" i="1"/>
  <c r="Y1066" i="1"/>
  <c r="X1066" i="1"/>
  <c r="AA1065" i="1"/>
  <c r="Z1065" i="1"/>
  <c r="Y1065" i="1"/>
  <c r="X1065" i="1"/>
  <c r="AA1064" i="1"/>
  <c r="Z1064" i="1"/>
  <c r="Y1064" i="1"/>
  <c r="X1064" i="1"/>
  <c r="AA1063" i="1"/>
  <c r="Z1063" i="1"/>
  <c r="Y1063" i="1"/>
  <c r="X1063" i="1"/>
  <c r="AA1062" i="1"/>
  <c r="Z1062" i="1"/>
  <c r="Y1062" i="1"/>
  <c r="X1062" i="1"/>
  <c r="AA1061" i="1"/>
  <c r="Z1061" i="1"/>
  <c r="Y1061" i="1"/>
  <c r="X1061" i="1"/>
  <c r="AA1060" i="1"/>
  <c r="Z1060" i="1"/>
  <c r="Y1060" i="1"/>
  <c r="X1060" i="1"/>
  <c r="AA1059" i="1"/>
  <c r="Z1059" i="1"/>
  <c r="Y1059" i="1"/>
  <c r="X1059" i="1"/>
  <c r="AA1058" i="1"/>
  <c r="Z1058" i="1"/>
  <c r="Y1058" i="1"/>
  <c r="X1058" i="1"/>
  <c r="AA1057" i="1"/>
  <c r="Z1057" i="1"/>
  <c r="Y1057" i="1"/>
  <c r="X1057" i="1"/>
  <c r="AA1056" i="1"/>
  <c r="Z1056" i="1"/>
  <c r="Y1056" i="1"/>
  <c r="X1056" i="1"/>
  <c r="AA1055" i="1"/>
  <c r="Z1055" i="1"/>
  <c r="Y1055" i="1"/>
  <c r="X1055" i="1"/>
  <c r="AA1054" i="1"/>
  <c r="Z1054" i="1"/>
  <c r="Y1054" i="1"/>
  <c r="X1054" i="1"/>
  <c r="AA1053" i="1"/>
  <c r="Z1053" i="1"/>
  <c r="Y1053" i="1"/>
  <c r="X1053" i="1"/>
  <c r="AA1052" i="1"/>
  <c r="Z1052" i="1"/>
  <c r="Y1052" i="1"/>
  <c r="X1052" i="1"/>
  <c r="AA1051" i="1"/>
  <c r="Z1051" i="1"/>
  <c r="Y1051" i="1"/>
  <c r="X1051" i="1"/>
  <c r="AA1050" i="1"/>
  <c r="Z1050" i="1"/>
  <c r="Y1050" i="1"/>
  <c r="X1050" i="1"/>
  <c r="AA1049" i="1"/>
  <c r="Z1049" i="1"/>
  <c r="Y1049" i="1"/>
  <c r="X1049" i="1"/>
  <c r="AA1048" i="1"/>
  <c r="Z1048" i="1"/>
  <c r="Y1048" i="1"/>
  <c r="X1048" i="1"/>
  <c r="AA1047" i="1"/>
  <c r="Z1047" i="1"/>
  <c r="Y1047" i="1"/>
  <c r="X1047" i="1"/>
  <c r="AA1046" i="1"/>
  <c r="Z1046" i="1"/>
  <c r="Y1046" i="1"/>
  <c r="X1046" i="1"/>
  <c r="AA1045" i="1"/>
  <c r="Z1045" i="1"/>
  <c r="Y1045" i="1"/>
  <c r="X1045" i="1"/>
  <c r="AA1044" i="1"/>
  <c r="Z1044" i="1"/>
  <c r="Y1044" i="1"/>
  <c r="X1044" i="1"/>
  <c r="AA1043" i="1"/>
  <c r="Z1043" i="1"/>
  <c r="Y1043" i="1"/>
  <c r="X1043" i="1"/>
  <c r="AA1042" i="1"/>
  <c r="Z1042" i="1"/>
  <c r="Y1042" i="1"/>
  <c r="X1042" i="1"/>
  <c r="AA1041" i="1"/>
  <c r="Z1041" i="1"/>
  <c r="Y1041" i="1"/>
  <c r="X1041" i="1"/>
  <c r="AA1040" i="1"/>
  <c r="Z1040" i="1"/>
  <c r="Y1040" i="1"/>
  <c r="X1040" i="1"/>
  <c r="AA1039" i="1"/>
  <c r="Z1039" i="1"/>
  <c r="Y1039" i="1"/>
  <c r="X1039" i="1"/>
  <c r="AA1038" i="1"/>
  <c r="Z1038" i="1"/>
  <c r="Y1038" i="1"/>
  <c r="X1038" i="1"/>
  <c r="AA1037" i="1"/>
  <c r="Z1037" i="1"/>
  <c r="Y1037" i="1"/>
  <c r="X1037" i="1"/>
  <c r="AA1036" i="1"/>
  <c r="Z1036" i="1"/>
  <c r="Y1036" i="1"/>
  <c r="X1036" i="1"/>
  <c r="AA1035" i="1"/>
  <c r="Z1035" i="1"/>
  <c r="Y1035" i="1"/>
  <c r="X1035" i="1"/>
  <c r="AA1034" i="1"/>
  <c r="Z1034" i="1"/>
  <c r="Y1034" i="1"/>
  <c r="X1034" i="1"/>
  <c r="AA1033" i="1"/>
  <c r="Z1033" i="1"/>
  <c r="Y1033" i="1"/>
  <c r="X1033" i="1"/>
  <c r="AA1032" i="1"/>
  <c r="Z1032" i="1"/>
  <c r="Y1032" i="1"/>
  <c r="X1032" i="1"/>
  <c r="AA1031" i="1"/>
  <c r="Z1031" i="1"/>
  <c r="Y1031" i="1"/>
  <c r="X1031" i="1"/>
  <c r="AA1030" i="1"/>
  <c r="Z1030" i="1"/>
  <c r="Y1030" i="1"/>
  <c r="X1030" i="1"/>
  <c r="AA1029" i="1"/>
  <c r="Z1029" i="1"/>
  <c r="Y1029" i="1"/>
  <c r="X1029" i="1"/>
  <c r="AA1028" i="1"/>
  <c r="Z1028" i="1"/>
  <c r="Y1028" i="1"/>
  <c r="X1028" i="1"/>
  <c r="AA1027" i="1"/>
  <c r="Z1027" i="1"/>
  <c r="Y1027" i="1"/>
  <c r="X1027" i="1"/>
  <c r="AA1026" i="1"/>
  <c r="Z1026" i="1"/>
  <c r="Y1026" i="1"/>
  <c r="X1026" i="1"/>
  <c r="AA1025" i="1"/>
  <c r="Z1025" i="1"/>
  <c r="Y1025" i="1"/>
  <c r="X1025" i="1"/>
  <c r="AA1024" i="1"/>
  <c r="Z1024" i="1"/>
  <c r="Y1024" i="1"/>
  <c r="X1024" i="1"/>
  <c r="AA1023" i="1"/>
  <c r="Z1023" i="1"/>
  <c r="Y1023" i="1"/>
  <c r="X1023" i="1"/>
  <c r="AA1022" i="1"/>
  <c r="Z1022" i="1"/>
  <c r="Y1022" i="1"/>
  <c r="X1022" i="1"/>
  <c r="AA1021" i="1"/>
  <c r="Z1021" i="1"/>
  <c r="Y1021" i="1"/>
  <c r="X1021" i="1"/>
  <c r="AA1020" i="1"/>
  <c r="Z1020" i="1"/>
  <c r="Y1020" i="1"/>
  <c r="X1020" i="1"/>
  <c r="AA1019" i="1"/>
  <c r="Z1019" i="1"/>
  <c r="Y1019" i="1"/>
  <c r="X1019" i="1"/>
  <c r="AA1018" i="1"/>
  <c r="Z1018" i="1"/>
  <c r="Y1018" i="1"/>
  <c r="X1018" i="1"/>
  <c r="AA1017" i="1"/>
  <c r="Z1017" i="1"/>
  <c r="Y1017" i="1"/>
  <c r="X1017" i="1"/>
  <c r="AA1016" i="1"/>
  <c r="Z1016" i="1"/>
  <c r="Y1016" i="1"/>
  <c r="X1016" i="1"/>
  <c r="AA1015" i="1"/>
  <c r="Z1015" i="1"/>
  <c r="Y1015" i="1"/>
  <c r="X1015" i="1"/>
  <c r="AA1014" i="1"/>
  <c r="Z1014" i="1"/>
  <c r="Y1014" i="1"/>
  <c r="X1014" i="1"/>
  <c r="AA1013" i="1"/>
  <c r="Z1013" i="1"/>
  <c r="Y1013" i="1"/>
  <c r="X1013" i="1"/>
  <c r="AA1012" i="1"/>
  <c r="Z1012" i="1"/>
  <c r="Y1012" i="1"/>
  <c r="X1012" i="1"/>
  <c r="AA1011" i="1"/>
  <c r="Z1011" i="1"/>
  <c r="Y1011" i="1"/>
  <c r="X1011" i="1"/>
  <c r="AA1010" i="1"/>
  <c r="Z1010" i="1"/>
  <c r="Y1010" i="1"/>
  <c r="X1010" i="1"/>
  <c r="AA1009" i="1"/>
  <c r="Z1009" i="1"/>
  <c r="Y1009" i="1"/>
  <c r="X1009" i="1"/>
  <c r="AA1008" i="1"/>
  <c r="Z1008" i="1"/>
  <c r="Y1008" i="1"/>
  <c r="X1008" i="1"/>
  <c r="AA1007" i="1"/>
  <c r="Z1007" i="1"/>
  <c r="Y1007" i="1"/>
  <c r="X1007" i="1"/>
  <c r="AA1006" i="1"/>
  <c r="Z1006" i="1"/>
  <c r="Y1006" i="1"/>
  <c r="X1006" i="1"/>
  <c r="AA1005" i="1"/>
  <c r="Z1005" i="1"/>
  <c r="Y1005" i="1"/>
  <c r="X1005" i="1"/>
  <c r="AA1004" i="1"/>
  <c r="Z1004" i="1"/>
  <c r="Y1004" i="1"/>
  <c r="X1004" i="1"/>
  <c r="AA1003" i="1"/>
  <c r="Z1003" i="1"/>
  <c r="Y1003" i="1"/>
  <c r="X1003" i="1"/>
  <c r="AA1002" i="1"/>
  <c r="Z1002" i="1"/>
  <c r="Y1002" i="1"/>
  <c r="X1002" i="1"/>
  <c r="AA1001" i="1"/>
  <c r="Z1001" i="1"/>
  <c r="Y1001" i="1"/>
  <c r="X1001" i="1"/>
  <c r="AA1000" i="1"/>
  <c r="Z1000" i="1"/>
  <c r="Y1000" i="1"/>
  <c r="X1000" i="1"/>
  <c r="AA999" i="1"/>
  <c r="Z999" i="1"/>
  <c r="Y999" i="1"/>
  <c r="X999" i="1"/>
  <c r="AA998" i="1"/>
  <c r="Z998" i="1"/>
  <c r="Y998" i="1"/>
  <c r="X998" i="1"/>
  <c r="AA997" i="1"/>
  <c r="Z997" i="1"/>
  <c r="Y997" i="1"/>
  <c r="X997" i="1"/>
  <c r="AA996" i="1"/>
  <c r="Z996" i="1"/>
  <c r="Y996" i="1"/>
  <c r="X996" i="1"/>
  <c r="AA995" i="1"/>
  <c r="Z995" i="1"/>
  <c r="Y995" i="1"/>
  <c r="X995" i="1"/>
  <c r="AA994" i="1"/>
  <c r="Z994" i="1"/>
  <c r="Y994" i="1"/>
  <c r="X994" i="1"/>
  <c r="AA993" i="1"/>
  <c r="Z993" i="1"/>
  <c r="Y993" i="1"/>
  <c r="X993" i="1"/>
  <c r="AA992" i="1"/>
  <c r="Z992" i="1"/>
  <c r="Y992" i="1"/>
  <c r="X992" i="1"/>
  <c r="AA991" i="1"/>
  <c r="Z991" i="1"/>
  <c r="Y991" i="1"/>
  <c r="X991" i="1"/>
  <c r="AA990" i="1"/>
  <c r="Z990" i="1"/>
  <c r="Y990" i="1"/>
  <c r="X990" i="1"/>
  <c r="AA989" i="1"/>
  <c r="Z989" i="1"/>
  <c r="Y989" i="1"/>
  <c r="X989" i="1"/>
  <c r="AA988" i="1"/>
  <c r="Z988" i="1"/>
  <c r="Y988" i="1"/>
  <c r="X988" i="1"/>
  <c r="AA987" i="1"/>
  <c r="Z987" i="1"/>
  <c r="Y987" i="1"/>
  <c r="X987" i="1"/>
  <c r="AA986" i="1"/>
  <c r="Z986" i="1"/>
  <c r="Y986" i="1"/>
  <c r="X986" i="1"/>
  <c r="AA985" i="1"/>
  <c r="Z985" i="1"/>
  <c r="Y985" i="1"/>
  <c r="X985" i="1"/>
  <c r="AA984" i="1"/>
  <c r="Z984" i="1"/>
  <c r="Y984" i="1"/>
  <c r="X984" i="1"/>
  <c r="AA983" i="1"/>
  <c r="Z983" i="1"/>
  <c r="Y983" i="1"/>
  <c r="X983" i="1"/>
  <c r="AA982" i="1"/>
  <c r="Z982" i="1"/>
  <c r="Y982" i="1"/>
  <c r="X982" i="1"/>
  <c r="AA981" i="1"/>
  <c r="Z981" i="1"/>
  <c r="Y981" i="1"/>
  <c r="X981" i="1"/>
  <c r="AA980" i="1"/>
  <c r="Z980" i="1"/>
  <c r="Y980" i="1"/>
  <c r="X980" i="1"/>
  <c r="AA979" i="1"/>
  <c r="Z979" i="1"/>
  <c r="Y979" i="1"/>
  <c r="X979" i="1"/>
  <c r="AA978" i="1"/>
  <c r="Z978" i="1"/>
  <c r="Y978" i="1"/>
  <c r="X978" i="1"/>
  <c r="AA977" i="1"/>
  <c r="Z977" i="1"/>
  <c r="Y977" i="1"/>
  <c r="X977" i="1"/>
  <c r="AA976" i="1"/>
  <c r="Z976" i="1"/>
  <c r="Y976" i="1"/>
  <c r="X976" i="1"/>
  <c r="AA975" i="1"/>
  <c r="Z975" i="1"/>
  <c r="Y975" i="1"/>
  <c r="X975" i="1"/>
  <c r="AA974" i="1"/>
  <c r="Z974" i="1"/>
  <c r="Y974" i="1"/>
  <c r="X974" i="1"/>
  <c r="AA973" i="1"/>
  <c r="Z973" i="1"/>
  <c r="Y973" i="1"/>
  <c r="X973" i="1"/>
  <c r="AA972" i="1"/>
  <c r="Z972" i="1"/>
  <c r="Y972" i="1"/>
  <c r="X972" i="1"/>
  <c r="AA971" i="1"/>
  <c r="Z971" i="1"/>
  <c r="Y971" i="1"/>
  <c r="X971" i="1"/>
  <c r="AA970" i="1"/>
  <c r="Z970" i="1"/>
  <c r="Y970" i="1"/>
  <c r="X970" i="1"/>
  <c r="AA969" i="1"/>
  <c r="Z969" i="1"/>
  <c r="Y969" i="1"/>
  <c r="X969" i="1"/>
  <c r="AA968" i="1"/>
  <c r="Z968" i="1"/>
  <c r="Y968" i="1"/>
  <c r="X968" i="1"/>
  <c r="AA967" i="1"/>
  <c r="Z967" i="1"/>
  <c r="Y967" i="1"/>
  <c r="X967" i="1"/>
  <c r="AA966" i="1"/>
  <c r="Z966" i="1"/>
  <c r="Y966" i="1"/>
  <c r="X966" i="1"/>
  <c r="AA965" i="1"/>
  <c r="Z965" i="1"/>
  <c r="Y965" i="1"/>
  <c r="X965" i="1"/>
  <c r="AA964" i="1"/>
  <c r="Z964" i="1"/>
  <c r="Y964" i="1"/>
  <c r="X964" i="1"/>
  <c r="AA963" i="1"/>
  <c r="Z963" i="1"/>
  <c r="Y963" i="1"/>
  <c r="X963" i="1"/>
  <c r="AA962" i="1"/>
  <c r="Z962" i="1"/>
  <c r="Y962" i="1"/>
  <c r="X962" i="1"/>
  <c r="AA961" i="1"/>
  <c r="Z961" i="1"/>
  <c r="Y961" i="1"/>
  <c r="X961" i="1"/>
  <c r="AA960" i="1"/>
  <c r="Z960" i="1"/>
  <c r="Y960" i="1"/>
  <c r="X960" i="1"/>
  <c r="AA959" i="1"/>
  <c r="Z959" i="1"/>
  <c r="Y959" i="1"/>
  <c r="X959" i="1"/>
  <c r="AA958" i="1"/>
  <c r="Z958" i="1"/>
  <c r="Y958" i="1"/>
  <c r="X958" i="1"/>
  <c r="AA957" i="1"/>
  <c r="Z957" i="1"/>
  <c r="Y957" i="1"/>
  <c r="X957" i="1"/>
  <c r="AA956" i="1"/>
  <c r="Z956" i="1"/>
  <c r="Y956" i="1"/>
  <c r="X956" i="1"/>
  <c r="AA955" i="1"/>
  <c r="Z955" i="1"/>
  <c r="Y955" i="1"/>
  <c r="X955" i="1"/>
  <c r="AA954" i="1"/>
  <c r="Z954" i="1"/>
  <c r="Y954" i="1"/>
  <c r="X954" i="1"/>
  <c r="AA953" i="1"/>
  <c r="Z953" i="1"/>
  <c r="Y953" i="1"/>
  <c r="X953" i="1"/>
  <c r="AA952" i="1"/>
  <c r="Z952" i="1"/>
  <c r="Y952" i="1"/>
  <c r="X952" i="1"/>
  <c r="AA951" i="1"/>
  <c r="Z951" i="1"/>
  <c r="Y951" i="1"/>
  <c r="X951" i="1"/>
  <c r="AA950" i="1"/>
  <c r="Z950" i="1"/>
  <c r="Y950" i="1"/>
  <c r="X950" i="1"/>
  <c r="AA949" i="1"/>
  <c r="Z949" i="1"/>
  <c r="Y949" i="1"/>
  <c r="X949" i="1"/>
  <c r="AA948" i="1"/>
  <c r="Z948" i="1"/>
  <c r="Y948" i="1"/>
  <c r="X948" i="1"/>
  <c r="AA947" i="1"/>
  <c r="Z947" i="1"/>
  <c r="Y947" i="1"/>
  <c r="X947" i="1"/>
  <c r="AA946" i="1"/>
  <c r="Z946" i="1"/>
  <c r="Y946" i="1"/>
  <c r="X946" i="1"/>
  <c r="AA945" i="1"/>
  <c r="Z945" i="1"/>
  <c r="Y945" i="1"/>
  <c r="X945" i="1"/>
  <c r="AA944" i="1"/>
  <c r="Z944" i="1"/>
  <c r="Y944" i="1"/>
  <c r="X944" i="1"/>
  <c r="AA943" i="1"/>
  <c r="Z943" i="1"/>
  <c r="Y943" i="1"/>
  <c r="X943" i="1"/>
  <c r="AA942" i="1"/>
  <c r="Z942" i="1"/>
  <c r="Y942" i="1"/>
  <c r="X942" i="1"/>
  <c r="AA941" i="1"/>
  <c r="Z941" i="1"/>
  <c r="Y941" i="1"/>
  <c r="X941" i="1"/>
  <c r="AA940" i="1"/>
  <c r="Z940" i="1"/>
  <c r="Y940" i="1"/>
  <c r="X940" i="1"/>
  <c r="AA939" i="1"/>
  <c r="Z939" i="1"/>
  <c r="Y939" i="1"/>
  <c r="X939" i="1"/>
  <c r="AA938" i="1"/>
  <c r="Z938" i="1"/>
  <c r="Y938" i="1"/>
  <c r="X938" i="1"/>
  <c r="AA937" i="1"/>
  <c r="Z937" i="1"/>
  <c r="Y937" i="1"/>
  <c r="X937" i="1"/>
  <c r="AA936" i="1"/>
  <c r="Z936" i="1"/>
  <c r="Y936" i="1"/>
  <c r="X936" i="1"/>
  <c r="AA935" i="1"/>
  <c r="Z935" i="1"/>
  <c r="Y935" i="1"/>
  <c r="X935" i="1"/>
  <c r="AA934" i="1"/>
  <c r="Z934" i="1"/>
  <c r="Y934" i="1"/>
  <c r="X934" i="1"/>
  <c r="AA933" i="1"/>
  <c r="Z933" i="1"/>
  <c r="Y933" i="1"/>
  <c r="X933" i="1"/>
  <c r="AA932" i="1"/>
  <c r="Z932" i="1"/>
  <c r="Y932" i="1"/>
  <c r="X932" i="1"/>
  <c r="AA931" i="1"/>
  <c r="Z931" i="1"/>
  <c r="Y931" i="1"/>
  <c r="X931" i="1"/>
  <c r="AA930" i="1"/>
  <c r="Z930" i="1"/>
  <c r="Y930" i="1"/>
  <c r="X930" i="1"/>
  <c r="AA929" i="1"/>
  <c r="Z929" i="1"/>
  <c r="Y929" i="1"/>
  <c r="X929" i="1"/>
  <c r="AA928" i="1"/>
  <c r="Z928" i="1"/>
  <c r="Y928" i="1"/>
  <c r="X928" i="1"/>
  <c r="AA927" i="1"/>
  <c r="Z927" i="1"/>
  <c r="Y927" i="1"/>
  <c r="X927" i="1"/>
  <c r="AA926" i="1"/>
  <c r="Z926" i="1"/>
  <c r="Y926" i="1"/>
  <c r="X926" i="1"/>
  <c r="AA925" i="1"/>
  <c r="Z925" i="1"/>
  <c r="Y925" i="1"/>
  <c r="X925" i="1"/>
  <c r="AA924" i="1"/>
  <c r="Z924" i="1"/>
  <c r="Y924" i="1"/>
  <c r="X924" i="1"/>
  <c r="AA923" i="1"/>
  <c r="Z923" i="1"/>
  <c r="Y923" i="1"/>
  <c r="X923" i="1"/>
  <c r="AA922" i="1"/>
  <c r="Z922" i="1"/>
  <c r="Y922" i="1"/>
  <c r="X922" i="1"/>
  <c r="AA921" i="1"/>
  <c r="Z921" i="1"/>
  <c r="Y921" i="1"/>
  <c r="X921" i="1"/>
  <c r="AA920" i="1"/>
  <c r="Z920" i="1"/>
  <c r="Y920" i="1"/>
  <c r="X920" i="1"/>
  <c r="AA919" i="1"/>
  <c r="Z919" i="1"/>
  <c r="Y919" i="1"/>
  <c r="X919" i="1"/>
  <c r="AA918" i="1"/>
  <c r="Z918" i="1"/>
  <c r="Y918" i="1"/>
  <c r="X918" i="1"/>
  <c r="AA917" i="1"/>
  <c r="Z917" i="1"/>
  <c r="Y917" i="1"/>
  <c r="X917" i="1"/>
  <c r="AA916" i="1"/>
  <c r="Z916" i="1"/>
  <c r="Y916" i="1"/>
  <c r="X916" i="1"/>
  <c r="AA915" i="1"/>
  <c r="Z915" i="1"/>
  <c r="Y915" i="1"/>
  <c r="X915" i="1"/>
  <c r="AA914" i="1"/>
  <c r="Z914" i="1"/>
  <c r="Y914" i="1"/>
  <c r="X914" i="1"/>
  <c r="AA913" i="1"/>
  <c r="Z913" i="1"/>
  <c r="Y913" i="1"/>
  <c r="X913" i="1"/>
  <c r="AA912" i="1"/>
  <c r="Z912" i="1"/>
  <c r="Y912" i="1"/>
  <c r="X912" i="1"/>
  <c r="AA911" i="1"/>
  <c r="Z911" i="1"/>
  <c r="Y911" i="1"/>
  <c r="X911" i="1"/>
  <c r="AA910" i="1"/>
  <c r="Z910" i="1"/>
  <c r="Y910" i="1"/>
  <c r="X910" i="1"/>
  <c r="AA909" i="1"/>
  <c r="Z909" i="1"/>
  <c r="Y909" i="1"/>
  <c r="X909" i="1"/>
  <c r="AA908" i="1"/>
  <c r="Z908" i="1"/>
  <c r="Y908" i="1"/>
  <c r="X908" i="1"/>
  <c r="AA907" i="1"/>
  <c r="Z907" i="1"/>
  <c r="Y907" i="1"/>
  <c r="X907" i="1"/>
  <c r="AA906" i="1"/>
  <c r="Z906" i="1"/>
  <c r="Y906" i="1"/>
  <c r="X906" i="1"/>
  <c r="AA905" i="1"/>
  <c r="Z905" i="1"/>
  <c r="Y905" i="1"/>
  <c r="X905" i="1"/>
  <c r="AA904" i="1"/>
  <c r="Z904" i="1"/>
  <c r="Y904" i="1"/>
  <c r="X904" i="1"/>
  <c r="AA903" i="1"/>
  <c r="Z903" i="1"/>
  <c r="Y903" i="1"/>
  <c r="X903" i="1"/>
  <c r="AA902" i="1"/>
  <c r="Z902" i="1"/>
  <c r="Y902" i="1"/>
  <c r="X902" i="1"/>
  <c r="AA901" i="1"/>
  <c r="Z901" i="1"/>
  <c r="Y901" i="1"/>
  <c r="X901" i="1"/>
  <c r="AA900" i="1"/>
  <c r="Z900" i="1"/>
  <c r="Y900" i="1"/>
  <c r="X900" i="1"/>
  <c r="AA899" i="1"/>
  <c r="Z899" i="1"/>
  <c r="Y899" i="1"/>
  <c r="X899" i="1"/>
  <c r="AA898" i="1"/>
  <c r="Z898" i="1"/>
  <c r="Y898" i="1"/>
  <c r="X898" i="1"/>
  <c r="AA897" i="1"/>
  <c r="Z897" i="1"/>
  <c r="Y897" i="1"/>
  <c r="X897" i="1"/>
  <c r="AA896" i="1"/>
  <c r="Z896" i="1"/>
  <c r="Y896" i="1"/>
  <c r="X896" i="1"/>
  <c r="AA895" i="1"/>
  <c r="Z895" i="1"/>
  <c r="Y895" i="1"/>
  <c r="X895" i="1"/>
  <c r="AA894" i="1"/>
  <c r="Z894" i="1"/>
  <c r="Y894" i="1"/>
  <c r="X894" i="1"/>
  <c r="AA893" i="1"/>
  <c r="Z893" i="1"/>
  <c r="Y893" i="1"/>
  <c r="X893" i="1"/>
  <c r="AA892" i="1"/>
  <c r="Z892" i="1"/>
  <c r="Y892" i="1"/>
  <c r="X892" i="1"/>
  <c r="AA891" i="1"/>
  <c r="Z891" i="1"/>
  <c r="Y891" i="1"/>
  <c r="X891" i="1"/>
  <c r="AA890" i="1"/>
  <c r="Z890" i="1"/>
  <c r="Y890" i="1"/>
  <c r="X890" i="1"/>
  <c r="AA889" i="1"/>
  <c r="Z889" i="1"/>
  <c r="Y889" i="1"/>
  <c r="X889" i="1"/>
  <c r="AA888" i="1"/>
  <c r="Z888" i="1"/>
  <c r="Y888" i="1"/>
  <c r="X888" i="1"/>
  <c r="AA887" i="1"/>
  <c r="Z887" i="1"/>
  <c r="Y887" i="1"/>
  <c r="X887" i="1"/>
  <c r="AA886" i="1"/>
  <c r="Z886" i="1"/>
  <c r="Y886" i="1"/>
  <c r="X886" i="1"/>
  <c r="AA885" i="1"/>
  <c r="Z885" i="1"/>
  <c r="Y885" i="1"/>
  <c r="X885" i="1"/>
  <c r="AA884" i="1"/>
  <c r="Z884" i="1"/>
  <c r="Y884" i="1"/>
  <c r="X884" i="1"/>
  <c r="AA883" i="1"/>
  <c r="Z883" i="1"/>
  <c r="Y883" i="1"/>
  <c r="X883" i="1"/>
  <c r="AA882" i="1"/>
  <c r="Z882" i="1"/>
  <c r="Y882" i="1"/>
  <c r="X882" i="1"/>
  <c r="AA881" i="1"/>
  <c r="Z881" i="1"/>
  <c r="Y881" i="1"/>
  <c r="X881" i="1"/>
  <c r="AA880" i="1"/>
  <c r="Z880" i="1"/>
  <c r="Y880" i="1"/>
  <c r="X880" i="1"/>
  <c r="AA879" i="1"/>
  <c r="Z879" i="1"/>
  <c r="Y879" i="1"/>
  <c r="X879" i="1"/>
  <c r="AA878" i="1"/>
  <c r="Z878" i="1"/>
  <c r="Y878" i="1"/>
  <c r="X878" i="1"/>
  <c r="AA877" i="1"/>
  <c r="Z877" i="1"/>
  <c r="Y877" i="1"/>
  <c r="X877" i="1"/>
  <c r="AA876" i="1"/>
  <c r="Z876" i="1"/>
  <c r="Y876" i="1"/>
  <c r="X876" i="1"/>
  <c r="AA875" i="1"/>
  <c r="Z875" i="1"/>
  <c r="Y875" i="1"/>
  <c r="X875" i="1"/>
  <c r="AA874" i="1"/>
  <c r="Z874" i="1"/>
  <c r="Y874" i="1"/>
  <c r="X874" i="1"/>
  <c r="AA873" i="1"/>
  <c r="Z873" i="1"/>
  <c r="Y873" i="1"/>
  <c r="X873" i="1"/>
  <c r="AA872" i="1"/>
  <c r="Z872" i="1"/>
  <c r="Y872" i="1"/>
  <c r="X872" i="1"/>
  <c r="AA871" i="1"/>
  <c r="Z871" i="1"/>
  <c r="Y871" i="1"/>
  <c r="X871" i="1"/>
  <c r="AA870" i="1"/>
  <c r="Z870" i="1"/>
  <c r="Y870" i="1"/>
  <c r="X870" i="1"/>
  <c r="AA869" i="1"/>
  <c r="Z869" i="1"/>
  <c r="Y869" i="1"/>
  <c r="X869" i="1"/>
  <c r="AA868" i="1"/>
  <c r="Z868" i="1"/>
  <c r="Y868" i="1"/>
  <c r="X868" i="1"/>
  <c r="AA867" i="1"/>
  <c r="Z867" i="1"/>
  <c r="Y867" i="1"/>
  <c r="X867" i="1"/>
  <c r="AA866" i="1"/>
  <c r="Z866" i="1"/>
  <c r="Y866" i="1"/>
  <c r="X866" i="1"/>
  <c r="AA865" i="1"/>
  <c r="Z865" i="1"/>
  <c r="Y865" i="1"/>
  <c r="X865" i="1"/>
  <c r="AA864" i="1"/>
  <c r="Z864" i="1"/>
  <c r="Y864" i="1"/>
  <c r="X864" i="1"/>
  <c r="AA863" i="1"/>
  <c r="Z863" i="1"/>
  <c r="Y863" i="1"/>
  <c r="X863" i="1"/>
  <c r="AA862" i="1"/>
  <c r="Z862" i="1"/>
  <c r="Y862" i="1"/>
  <c r="X862" i="1"/>
  <c r="AA861" i="1"/>
  <c r="Z861" i="1"/>
  <c r="Y861" i="1"/>
  <c r="X861" i="1"/>
  <c r="AA860" i="1"/>
  <c r="Z860" i="1"/>
  <c r="Y860" i="1"/>
  <c r="X860" i="1"/>
  <c r="AA859" i="1"/>
  <c r="Z859" i="1"/>
  <c r="Y859" i="1"/>
  <c r="X859" i="1"/>
  <c r="AA858" i="1"/>
  <c r="Z858" i="1"/>
  <c r="Y858" i="1"/>
  <c r="X858" i="1"/>
  <c r="AA857" i="1"/>
  <c r="Z857" i="1"/>
  <c r="Y857" i="1"/>
  <c r="X857" i="1"/>
  <c r="AA856" i="1"/>
  <c r="Z856" i="1"/>
  <c r="Y856" i="1"/>
  <c r="X856" i="1"/>
  <c r="AA855" i="1"/>
  <c r="Z855" i="1"/>
  <c r="Y855" i="1"/>
  <c r="X855" i="1"/>
  <c r="AA854" i="1"/>
  <c r="Z854" i="1"/>
  <c r="Y854" i="1"/>
  <c r="X854" i="1"/>
  <c r="AA853" i="1"/>
  <c r="Z853" i="1"/>
  <c r="Y853" i="1"/>
  <c r="X853" i="1"/>
  <c r="AA852" i="1"/>
  <c r="Z852" i="1"/>
  <c r="Y852" i="1"/>
  <c r="X852" i="1"/>
  <c r="AA851" i="1"/>
  <c r="Z851" i="1"/>
  <c r="Y851" i="1"/>
  <c r="X851" i="1"/>
  <c r="AA850" i="1"/>
  <c r="Z850" i="1"/>
  <c r="Y850" i="1"/>
  <c r="X850" i="1"/>
  <c r="AA849" i="1"/>
  <c r="Z849" i="1"/>
  <c r="Y849" i="1"/>
  <c r="X849" i="1"/>
  <c r="AA848" i="1"/>
  <c r="Z848" i="1"/>
  <c r="Y848" i="1"/>
  <c r="X848" i="1"/>
  <c r="AA847" i="1"/>
  <c r="Z847" i="1"/>
  <c r="Y847" i="1"/>
  <c r="X847" i="1"/>
  <c r="AA846" i="1"/>
  <c r="Z846" i="1"/>
  <c r="Y846" i="1"/>
  <c r="X846" i="1"/>
  <c r="AA845" i="1"/>
  <c r="Z845" i="1"/>
  <c r="Y845" i="1"/>
  <c r="X845" i="1"/>
  <c r="AA844" i="1"/>
  <c r="Z844" i="1"/>
  <c r="Y844" i="1"/>
  <c r="X844" i="1"/>
  <c r="AA843" i="1"/>
  <c r="Z843" i="1"/>
  <c r="Y843" i="1"/>
  <c r="X843" i="1"/>
  <c r="AA842" i="1"/>
  <c r="Z842" i="1"/>
  <c r="Y842" i="1"/>
  <c r="X842" i="1"/>
  <c r="AA841" i="1"/>
  <c r="Z841" i="1"/>
  <c r="Y841" i="1"/>
  <c r="X841" i="1"/>
  <c r="AA840" i="1"/>
  <c r="Z840" i="1"/>
  <c r="Y840" i="1"/>
  <c r="X840" i="1"/>
  <c r="AA839" i="1"/>
  <c r="Z839" i="1"/>
  <c r="Y839" i="1"/>
  <c r="X839" i="1"/>
  <c r="AA838" i="1"/>
  <c r="Z838" i="1"/>
  <c r="Y838" i="1"/>
  <c r="X838" i="1"/>
  <c r="AA837" i="1"/>
  <c r="Z837" i="1"/>
  <c r="Y837" i="1"/>
  <c r="X837" i="1"/>
  <c r="AA836" i="1"/>
  <c r="Z836" i="1"/>
  <c r="Y836" i="1"/>
  <c r="X836" i="1"/>
  <c r="AA835" i="1"/>
  <c r="Z835" i="1"/>
  <c r="Y835" i="1"/>
  <c r="X835" i="1"/>
  <c r="AA834" i="1"/>
  <c r="Z834" i="1"/>
  <c r="Y834" i="1"/>
  <c r="X834" i="1"/>
  <c r="AA833" i="1"/>
  <c r="Z833" i="1"/>
  <c r="Y833" i="1"/>
  <c r="X833" i="1"/>
  <c r="AA832" i="1"/>
  <c r="Z832" i="1"/>
  <c r="Y832" i="1"/>
  <c r="X832" i="1"/>
  <c r="AA831" i="1"/>
  <c r="Z831" i="1"/>
  <c r="Y831" i="1"/>
  <c r="X831" i="1"/>
  <c r="AA830" i="1"/>
  <c r="Z830" i="1"/>
  <c r="Y830" i="1"/>
  <c r="X830" i="1"/>
  <c r="AA829" i="1"/>
  <c r="Z829" i="1"/>
  <c r="Y829" i="1"/>
  <c r="X829" i="1"/>
  <c r="AA828" i="1"/>
  <c r="Z828" i="1"/>
  <c r="Y828" i="1"/>
  <c r="X828" i="1"/>
  <c r="AA827" i="1"/>
  <c r="Z827" i="1"/>
  <c r="Y827" i="1"/>
  <c r="X827" i="1"/>
  <c r="AA826" i="1"/>
  <c r="Z826" i="1"/>
  <c r="Y826" i="1"/>
  <c r="X826" i="1"/>
  <c r="AA825" i="1"/>
  <c r="Z825" i="1"/>
  <c r="Y825" i="1"/>
  <c r="X825" i="1"/>
  <c r="AA824" i="1"/>
  <c r="Z824" i="1"/>
  <c r="Y824" i="1"/>
  <c r="X824" i="1"/>
  <c r="AA823" i="1"/>
  <c r="Z823" i="1"/>
  <c r="Y823" i="1"/>
  <c r="X823" i="1"/>
  <c r="AA822" i="1"/>
  <c r="Z822" i="1"/>
  <c r="Y822" i="1"/>
  <c r="X822" i="1"/>
  <c r="AA821" i="1"/>
  <c r="Z821" i="1"/>
  <c r="Y821" i="1"/>
  <c r="X821" i="1"/>
  <c r="AA820" i="1"/>
  <c r="Z820" i="1"/>
  <c r="Y820" i="1"/>
  <c r="X820" i="1"/>
  <c r="AA819" i="1"/>
  <c r="Z819" i="1"/>
  <c r="Y819" i="1"/>
  <c r="X819" i="1"/>
  <c r="AA818" i="1"/>
  <c r="Z818" i="1"/>
  <c r="Y818" i="1"/>
  <c r="X818" i="1"/>
  <c r="AA817" i="1"/>
  <c r="Z817" i="1"/>
  <c r="Y817" i="1"/>
  <c r="X817" i="1"/>
  <c r="AA816" i="1"/>
  <c r="Z816" i="1"/>
  <c r="Y816" i="1"/>
  <c r="X816" i="1"/>
  <c r="AA815" i="1"/>
  <c r="Z815" i="1"/>
  <c r="Y815" i="1"/>
  <c r="X815" i="1"/>
  <c r="AA814" i="1"/>
  <c r="Z814" i="1"/>
  <c r="Y814" i="1"/>
  <c r="X814" i="1"/>
  <c r="AA813" i="1"/>
  <c r="Z813" i="1"/>
  <c r="Y813" i="1"/>
  <c r="X813" i="1"/>
  <c r="AA812" i="1"/>
  <c r="Z812" i="1"/>
  <c r="Y812" i="1"/>
  <c r="X812" i="1"/>
  <c r="AA811" i="1"/>
  <c r="Z811" i="1"/>
  <c r="Y811" i="1"/>
  <c r="X811" i="1"/>
  <c r="AA810" i="1"/>
  <c r="Z810" i="1"/>
  <c r="Y810" i="1"/>
  <c r="X810" i="1"/>
  <c r="AA809" i="1"/>
  <c r="Z809" i="1"/>
  <c r="Y809" i="1"/>
  <c r="X809" i="1"/>
  <c r="AA808" i="1"/>
  <c r="Z808" i="1"/>
  <c r="Y808" i="1"/>
  <c r="X808" i="1"/>
  <c r="AA807" i="1"/>
  <c r="Z807" i="1"/>
  <c r="Y807" i="1"/>
  <c r="X807" i="1"/>
  <c r="AA806" i="1"/>
  <c r="Z806" i="1"/>
  <c r="Y806" i="1"/>
  <c r="X806" i="1"/>
  <c r="AA805" i="1"/>
  <c r="Z805" i="1"/>
  <c r="Y805" i="1"/>
  <c r="X805" i="1"/>
  <c r="AA804" i="1"/>
  <c r="Z804" i="1"/>
  <c r="Y804" i="1"/>
  <c r="X804" i="1"/>
  <c r="AA803" i="1"/>
  <c r="Z803" i="1"/>
  <c r="Y803" i="1"/>
  <c r="X803" i="1"/>
  <c r="AA802" i="1"/>
  <c r="Z802" i="1"/>
  <c r="Y802" i="1"/>
  <c r="X802" i="1"/>
  <c r="AA801" i="1"/>
  <c r="Z801" i="1"/>
  <c r="Y801" i="1"/>
  <c r="X801" i="1"/>
  <c r="AA800" i="1"/>
  <c r="Z800" i="1"/>
  <c r="Y800" i="1"/>
  <c r="X800" i="1"/>
  <c r="AA799" i="1"/>
  <c r="Z799" i="1"/>
  <c r="Y799" i="1"/>
  <c r="X799" i="1"/>
  <c r="AA798" i="1"/>
  <c r="Z798" i="1"/>
  <c r="Y798" i="1"/>
  <c r="X798" i="1"/>
  <c r="AA797" i="1"/>
  <c r="Z797" i="1"/>
  <c r="Y797" i="1"/>
  <c r="X797" i="1"/>
  <c r="AA796" i="1"/>
  <c r="Z796" i="1"/>
  <c r="Y796" i="1"/>
  <c r="X796" i="1"/>
  <c r="AA795" i="1"/>
  <c r="Z795" i="1"/>
  <c r="Y795" i="1"/>
  <c r="X795" i="1"/>
  <c r="AA794" i="1"/>
  <c r="Z794" i="1"/>
  <c r="Y794" i="1"/>
  <c r="X794" i="1"/>
  <c r="AA793" i="1"/>
  <c r="Z793" i="1"/>
  <c r="Y793" i="1"/>
  <c r="X793" i="1"/>
  <c r="AA792" i="1"/>
  <c r="Z792" i="1"/>
  <c r="Y792" i="1"/>
  <c r="X792" i="1"/>
  <c r="AA791" i="1"/>
  <c r="Z791" i="1"/>
  <c r="Y791" i="1"/>
  <c r="X791" i="1"/>
  <c r="AA790" i="1"/>
  <c r="Z790" i="1"/>
  <c r="Y790" i="1"/>
  <c r="X790" i="1"/>
  <c r="AA789" i="1"/>
  <c r="Z789" i="1"/>
  <c r="Y789" i="1"/>
  <c r="X789" i="1"/>
  <c r="AA788" i="1"/>
  <c r="Z788" i="1"/>
  <c r="Y788" i="1"/>
  <c r="X788" i="1"/>
  <c r="AA787" i="1"/>
  <c r="Z787" i="1"/>
  <c r="Y787" i="1"/>
  <c r="X787" i="1"/>
  <c r="AA786" i="1"/>
  <c r="Z786" i="1"/>
  <c r="Y786" i="1"/>
  <c r="X786" i="1"/>
  <c r="AA785" i="1"/>
  <c r="Z785" i="1"/>
  <c r="Y785" i="1"/>
  <c r="X785" i="1"/>
  <c r="AA784" i="1"/>
  <c r="Z784" i="1"/>
  <c r="Y784" i="1"/>
  <c r="X784" i="1"/>
  <c r="AA783" i="1"/>
  <c r="Z783" i="1"/>
  <c r="Y783" i="1"/>
  <c r="X783" i="1"/>
  <c r="AA782" i="1"/>
  <c r="Z782" i="1"/>
  <c r="Y782" i="1"/>
  <c r="X782" i="1"/>
  <c r="AA781" i="1"/>
  <c r="Z781" i="1"/>
  <c r="Y781" i="1"/>
  <c r="X781" i="1"/>
  <c r="AA780" i="1"/>
  <c r="Z780" i="1"/>
  <c r="Y780" i="1"/>
  <c r="X780" i="1"/>
  <c r="AA779" i="1"/>
  <c r="Z779" i="1"/>
  <c r="Y779" i="1"/>
  <c r="X779" i="1"/>
  <c r="AA778" i="1"/>
  <c r="Z778" i="1"/>
  <c r="Y778" i="1"/>
  <c r="X778" i="1"/>
  <c r="AA777" i="1"/>
  <c r="Z777" i="1"/>
  <c r="Y777" i="1"/>
  <c r="X777" i="1"/>
  <c r="AA776" i="1"/>
  <c r="Z776" i="1"/>
  <c r="Y776" i="1"/>
  <c r="X776" i="1"/>
  <c r="AA775" i="1"/>
  <c r="Z775" i="1"/>
  <c r="Y775" i="1"/>
  <c r="X775" i="1"/>
  <c r="AA774" i="1"/>
  <c r="Z774" i="1"/>
  <c r="Y774" i="1"/>
  <c r="X774" i="1"/>
  <c r="AA773" i="1"/>
  <c r="Z773" i="1"/>
  <c r="Y773" i="1"/>
  <c r="X773" i="1"/>
  <c r="AA772" i="1"/>
  <c r="Z772" i="1"/>
  <c r="Y772" i="1"/>
  <c r="X772" i="1"/>
  <c r="AA771" i="1"/>
  <c r="Z771" i="1"/>
  <c r="Y771" i="1"/>
  <c r="X771" i="1"/>
  <c r="AA770" i="1"/>
  <c r="Z770" i="1"/>
  <c r="Y770" i="1"/>
  <c r="X770" i="1"/>
  <c r="AA769" i="1"/>
  <c r="Z769" i="1"/>
  <c r="Y769" i="1"/>
  <c r="X769" i="1"/>
  <c r="AA768" i="1"/>
  <c r="Z768" i="1"/>
  <c r="Y768" i="1"/>
  <c r="X768" i="1"/>
  <c r="AA767" i="1"/>
  <c r="Z767" i="1"/>
  <c r="Y767" i="1"/>
  <c r="X767" i="1"/>
  <c r="AA766" i="1"/>
  <c r="Z766" i="1"/>
  <c r="Y766" i="1"/>
  <c r="X766" i="1"/>
  <c r="AA765" i="1"/>
  <c r="Z765" i="1"/>
  <c r="Y765" i="1"/>
  <c r="X765" i="1"/>
  <c r="AA764" i="1"/>
  <c r="Z764" i="1"/>
  <c r="Y764" i="1"/>
  <c r="X764" i="1"/>
  <c r="AA763" i="1"/>
  <c r="Z763" i="1"/>
  <c r="Y763" i="1"/>
  <c r="X763" i="1"/>
  <c r="AA762" i="1"/>
  <c r="Z762" i="1"/>
  <c r="Y762" i="1"/>
  <c r="X762" i="1"/>
  <c r="AA761" i="1"/>
  <c r="Z761" i="1"/>
  <c r="Y761" i="1"/>
  <c r="X761" i="1"/>
  <c r="AA760" i="1"/>
  <c r="Z760" i="1"/>
  <c r="Y760" i="1"/>
  <c r="X760" i="1"/>
  <c r="AA759" i="1"/>
  <c r="Z759" i="1"/>
  <c r="Y759" i="1"/>
  <c r="X759" i="1"/>
  <c r="AA758" i="1"/>
  <c r="Z758" i="1"/>
  <c r="Y758" i="1"/>
  <c r="X758" i="1"/>
  <c r="AA757" i="1"/>
  <c r="Z757" i="1"/>
  <c r="Y757" i="1"/>
  <c r="X757" i="1"/>
  <c r="AA756" i="1"/>
  <c r="Z756" i="1"/>
  <c r="Y756" i="1"/>
  <c r="X756" i="1"/>
  <c r="AA755" i="1"/>
  <c r="Z755" i="1"/>
  <c r="Y755" i="1"/>
  <c r="X755" i="1"/>
  <c r="AA754" i="1"/>
  <c r="Z754" i="1"/>
  <c r="Y754" i="1"/>
  <c r="X754" i="1"/>
  <c r="AA753" i="1"/>
  <c r="Z753" i="1"/>
  <c r="Y753" i="1"/>
  <c r="X753" i="1"/>
  <c r="AA752" i="1"/>
  <c r="Z752" i="1"/>
  <c r="Y752" i="1"/>
  <c r="X752" i="1"/>
  <c r="AA751" i="1"/>
  <c r="Z751" i="1"/>
  <c r="Y751" i="1"/>
  <c r="X751" i="1"/>
  <c r="AA750" i="1"/>
  <c r="Z750" i="1"/>
  <c r="Y750" i="1"/>
  <c r="X750" i="1"/>
  <c r="AA749" i="1"/>
  <c r="Z749" i="1"/>
  <c r="Y749" i="1"/>
  <c r="X749" i="1"/>
  <c r="AA748" i="1"/>
  <c r="Z748" i="1"/>
  <c r="Y748" i="1"/>
  <c r="X748" i="1"/>
  <c r="AA747" i="1"/>
  <c r="Z747" i="1"/>
  <c r="Y747" i="1"/>
  <c r="X747" i="1"/>
  <c r="AA746" i="1"/>
  <c r="Z746" i="1"/>
  <c r="Y746" i="1"/>
  <c r="X746" i="1"/>
  <c r="AA745" i="1"/>
  <c r="Z745" i="1"/>
  <c r="Y745" i="1"/>
  <c r="X745" i="1"/>
  <c r="AA744" i="1"/>
  <c r="Z744" i="1"/>
  <c r="Y744" i="1"/>
  <c r="X744" i="1"/>
  <c r="AA743" i="1"/>
  <c r="Z743" i="1"/>
  <c r="Y743" i="1"/>
  <c r="X743" i="1"/>
  <c r="AA742" i="1"/>
  <c r="Z742" i="1"/>
  <c r="Y742" i="1"/>
  <c r="X742" i="1"/>
  <c r="AA741" i="1"/>
  <c r="Z741" i="1"/>
  <c r="Y741" i="1"/>
  <c r="X741" i="1"/>
  <c r="AA740" i="1"/>
  <c r="Z740" i="1"/>
  <c r="Y740" i="1"/>
  <c r="X740" i="1"/>
  <c r="AA739" i="1"/>
  <c r="Z739" i="1"/>
  <c r="Y739" i="1"/>
  <c r="X739" i="1"/>
  <c r="AA738" i="1"/>
  <c r="Z738" i="1"/>
  <c r="Y738" i="1"/>
  <c r="X738" i="1"/>
  <c r="AA737" i="1"/>
  <c r="Z737" i="1"/>
  <c r="Y737" i="1"/>
  <c r="X737" i="1"/>
  <c r="AA736" i="1"/>
  <c r="Z736" i="1"/>
  <c r="Y736" i="1"/>
  <c r="X736" i="1"/>
  <c r="AA735" i="1"/>
  <c r="Z735" i="1"/>
  <c r="Y735" i="1"/>
  <c r="X735" i="1"/>
  <c r="AA734" i="1"/>
  <c r="Z734" i="1"/>
  <c r="Y734" i="1"/>
  <c r="X734" i="1"/>
  <c r="AA733" i="1"/>
  <c r="Z733" i="1"/>
  <c r="Y733" i="1"/>
  <c r="X733" i="1"/>
  <c r="AA732" i="1"/>
  <c r="Z732" i="1"/>
  <c r="Y732" i="1"/>
  <c r="X732" i="1"/>
  <c r="AA731" i="1"/>
  <c r="Z731" i="1"/>
  <c r="Y731" i="1"/>
  <c r="X731" i="1"/>
  <c r="AA730" i="1"/>
  <c r="Z730" i="1"/>
  <c r="Y730" i="1"/>
  <c r="X730" i="1"/>
  <c r="AA729" i="1"/>
  <c r="Z729" i="1"/>
  <c r="Y729" i="1"/>
  <c r="X729" i="1"/>
  <c r="AA728" i="1"/>
  <c r="Z728" i="1"/>
  <c r="Y728" i="1"/>
  <c r="X728" i="1"/>
  <c r="AA727" i="1"/>
  <c r="Z727" i="1"/>
  <c r="Y727" i="1"/>
  <c r="X727" i="1"/>
  <c r="AA726" i="1"/>
  <c r="Z726" i="1"/>
  <c r="Y726" i="1"/>
  <c r="X726" i="1"/>
  <c r="AA725" i="1"/>
  <c r="Z725" i="1"/>
  <c r="Y725" i="1"/>
  <c r="X725" i="1"/>
  <c r="AA724" i="1"/>
  <c r="Z724" i="1"/>
  <c r="Y724" i="1"/>
  <c r="X724" i="1"/>
  <c r="AA723" i="1"/>
  <c r="Z723" i="1"/>
  <c r="Y723" i="1"/>
  <c r="X723" i="1"/>
  <c r="AA722" i="1"/>
  <c r="Z722" i="1"/>
  <c r="Y722" i="1"/>
  <c r="X722" i="1"/>
  <c r="AA721" i="1"/>
  <c r="Z721" i="1"/>
  <c r="Y721" i="1"/>
  <c r="X721" i="1"/>
  <c r="AA720" i="1"/>
  <c r="Z720" i="1"/>
  <c r="Y720" i="1"/>
  <c r="X720" i="1"/>
  <c r="AA719" i="1"/>
  <c r="Z719" i="1"/>
  <c r="Y719" i="1"/>
  <c r="X719" i="1"/>
  <c r="AA718" i="1"/>
  <c r="Z718" i="1"/>
  <c r="Y718" i="1"/>
  <c r="X718" i="1"/>
  <c r="AA717" i="1"/>
  <c r="Z717" i="1"/>
  <c r="Y717" i="1"/>
  <c r="X717" i="1"/>
  <c r="AA716" i="1"/>
  <c r="Z716" i="1"/>
  <c r="Y716" i="1"/>
  <c r="X716" i="1"/>
  <c r="AA715" i="1"/>
  <c r="Z715" i="1"/>
  <c r="Y715" i="1"/>
  <c r="X715" i="1"/>
  <c r="AA714" i="1"/>
  <c r="Z714" i="1"/>
  <c r="Y714" i="1"/>
  <c r="X714" i="1"/>
  <c r="AA713" i="1"/>
  <c r="Z713" i="1"/>
  <c r="Y713" i="1"/>
  <c r="X713" i="1"/>
  <c r="AA712" i="1"/>
  <c r="Z712" i="1"/>
  <c r="Y712" i="1"/>
  <c r="X712" i="1"/>
  <c r="AA711" i="1"/>
  <c r="Z711" i="1"/>
  <c r="Y711" i="1"/>
  <c r="X711" i="1"/>
  <c r="AA710" i="1"/>
  <c r="Z710" i="1"/>
  <c r="Y710" i="1"/>
  <c r="X710" i="1"/>
  <c r="AA709" i="1"/>
  <c r="Z709" i="1"/>
  <c r="Y709" i="1"/>
  <c r="X709" i="1"/>
  <c r="AA708" i="1"/>
  <c r="Z708" i="1"/>
  <c r="Y708" i="1"/>
  <c r="X708" i="1"/>
  <c r="AA707" i="1"/>
  <c r="Z707" i="1"/>
  <c r="Y707" i="1"/>
  <c r="X707" i="1"/>
  <c r="AA706" i="1"/>
  <c r="Z706" i="1"/>
  <c r="Y706" i="1"/>
  <c r="X706" i="1"/>
  <c r="AA705" i="1"/>
  <c r="Z705" i="1"/>
  <c r="Y705" i="1"/>
  <c r="X705" i="1"/>
  <c r="AA704" i="1"/>
  <c r="Z704" i="1"/>
  <c r="Y704" i="1"/>
  <c r="X704" i="1"/>
  <c r="AA703" i="1"/>
  <c r="Z703" i="1"/>
  <c r="Y703" i="1"/>
  <c r="X703" i="1"/>
  <c r="AA702" i="1"/>
  <c r="Z702" i="1"/>
  <c r="Y702" i="1"/>
  <c r="X702" i="1"/>
  <c r="AA701" i="1"/>
  <c r="Z701" i="1"/>
  <c r="Y701" i="1"/>
  <c r="X701" i="1"/>
  <c r="AA700" i="1"/>
  <c r="Z700" i="1"/>
  <c r="Y700" i="1"/>
  <c r="X700" i="1"/>
  <c r="AA699" i="1"/>
  <c r="Z699" i="1"/>
  <c r="Y699" i="1"/>
  <c r="X699" i="1"/>
  <c r="AA698" i="1"/>
  <c r="Z698" i="1"/>
  <c r="Y698" i="1"/>
  <c r="X698" i="1"/>
  <c r="AA697" i="1"/>
  <c r="Z697" i="1"/>
  <c r="Y697" i="1"/>
  <c r="X697" i="1"/>
  <c r="AA696" i="1"/>
  <c r="Z696" i="1"/>
  <c r="Y696" i="1"/>
  <c r="X696" i="1"/>
  <c r="AA695" i="1"/>
  <c r="Z695" i="1"/>
  <c r="Y695" i="1"/>
  <c r="X695" i="1"/>
  <c r="AA694" i="1"/>
  <c r="Z694" i="1"/>
  <c r="Y694" i="1"/>
  <c r="X694" i="1"/>
  <c r="AA693" i="1"/>
  <c r="Z693" i="1"/>
  <c r="Y693" i="1"/>
  <c r="X693" i="1"/>
  <c r="AA692" i="1"/>
  <c r="Z692" i="1"/>
  <c r="Y692" i="1"/>
  <c r="X692" i="1"/>
  <c r="AA691" i="1"/>
  <c r="Z691" i="1"/>
  <c r="Y691" i="1"/>
  <c r="X691" i="1"/>
  <c r="AA690" i="1"/>
  <c r="Z690" i="1"/>
  <c r="Y690" i="1"/>
  <c r="X690" i="1"/>
  <c r="AA689" i="1"/>
  <c r="Z689" i="1"/>
  <c r="Y689" i="1"/>
  <c r="X689" i="1"/>
  <c r="AA688" i="1"/>
  <c r="Z688" i="1"/>
  <c r="Y688" i="1"/>
  <c r="X688" i="1"/>
  <c r="AA687" i="1"/>
  <c r="Z687" i="1"/>
  <c r="Y687" i="1"/>
  <c r="X687" i="1"/>
  <c r="AA686" i="1"/>
  <c r="Z686" i="1"/>
  <c r="Y686" i="1"/>
  <c r="X686" i="1"/>
  <c r="AA685" i="1"/>
  <c r="Z685" i="1"/>
  <c r="Y685" i="1"/>
  <c r="X685" i="1"/>
  <c r="AA684" i="1"/>
  <c r="Z684" i="1"/>
  <c r="Y684" i="1"/>
  <c r="X684" i="1"/>
  <c r="AA683" i="1"/>
  <c r="Z683" i="1"/>
  <c r="Y683" i="1"/>
  <c r="X683" i="1"/>
  <c r="AA682" i="1"/>
  <c r="Z682" i="1"/>
  <c r="Y682" i="1"/>
  <c r="X682" i="1"/>
  <c r="AA681" i="1"/>
  <c r="Z681" i="1"/>
  <c r="Y681" i="1"/>
  <c r="X681" i="1"/>
  <c r="AA680" i="1"/>
  <c r="Z680" i="1"/>
  <c r="Y680" i="1"/>
  <c r="X680" i="1"/>
  <c r="AA679" i="1"/>
  <c r="Z679" i="1"/>
  <c r="Y679" i="1"/>
  <c r="X679" i="1"/>
  <c r="AA678" i="1"/>
  <c r="Z678" i="1"/>
  <c r="Y678" i="1"/>
  <c r="X678" i="1"/>
  <c r="AA677" i="1"/>
  <c r="Z677" i="1"/>
  <c r="Y677" i="1"/>
  <c r="X677" i="1"/>
  <c r="AA676" i="1"/>
  <c r="Z676" i="1"/>
  <c r="Y676" i="1"/>
  <c r="X676" i="1"/>
  <c r="AA675" i="1"/>
  <c r="Z675" i="1"/>
  <c r="Y675" i="1"/>
  <c r="X675" i="1"/>
  <c r="AA674" i="1"/>
  <c r="Z674" i="1"/>
  <c r="Y674" i="1"/>
  <c r="X674" i="1"/>
  <c r="AA673" i="1"/>
  <c r="Z673" i="1"/>
  <c r="Y673" i="1"/>
  <c r="X673" i="1"/>
  <c r="AA672" i="1"/>
  <c r="Z672" i="1"/>
  <c r="Y672" i="1"/>
  <c r="X672" i="1"/>
  <c r="AA671" i="1"/>
  <c r="Z671" i="1"/>
  <c r="Y671" i="1"/>
  <c r="X671" i="1"/>
  <c r="AA670" i="1"/>
  <c r="Z670" i="1"/>
  <c r="Y670" i="1"/>
  <c r="X670" i="1"/>
  <c r="AA669" i="1"/>
  <c r="Z669" i="1"/>
  <c r="Y669" i="1"/>
  <c r="X669" i="1"/>
  <c r="AA668" i="1"/>
  <c r="Z668" i="1"/>
  <c r="Y668" i="1"/>
  <c r="X668" i="1"/>
  <c r="AA667" i="1"/>
  <c r="Z667" i="1"/>
  <c r="Y667" i="1"/>
  <c r="X667" i="1"/>
  <c r="AA666" i="1"/>
  <c r="Z666" i="1"/>
  <c r="Y666" i="1"/>
  <c r="X666" i="1"/>
  <c r="AA665" i="1"/>
  <c r="Z665" i="1"/>
  <c r="Y665" i="1"/>
  <c r="X665" i="1"/>
  <c r="AA664" i="1"/>
  <c r="Z664" i="1"/>
  <c r="Y664" i="1"/>
  <c r="X664" i="1"/>
  <c r="AA663" i="1"/>
  <c r="Z663" i="1"/>
  <c r="Y663" i="1"/>
  <c r="X663" i="1"/>
  <c r="AA662" i="1"/>
  <c r="Z662" i="1"/>
  <c r="Y662" i="1"/>
  <c r="X662" i="1"/>
  <c r="AA661" i="1"/>
  <c r="Z661" i="1"/>
  <c r="Y661" i="1"/>
  <c r="X661" i="1"/>
  <c r="AA660" i="1"/>
  <c r="Z660" i="1"/>
  <c r="Y660" i="1"/>
  <c r="X660" i="1"/>
  <c r="AA659" i="1"/>
  <c r="Z659" i="1"/>
  <c r="Y659" i="1"/>
  <c r="X659" i="1"/>
  <c r="AA658" i="1"/>
  <c r="Z658" i="1"/>
  <c r="Y658" i="1"/>
  <c r="X658" i="1"/>
  <c r="AA657" i="1"/>
  <c r="Z657" i="1"/>
  <c r="Y657" i="1"/>
  <c r="X657" i="1"/>
  <c r="AA656" i="1"/>
  <c r="Z656" i="1"/>
  <c r="Y656" i="1"/>
  <c r="X656" i="1"/>
  <c r="AA655" i="1"/>
  <c r="Z655" i="1"/>
  <c r="Y655" i="1"/>
  <c r="X655" i="1"/>
  <c r="AA654" i="1"/>
  <c r="Z654" i="1"/>
  <c r="Y654" i="1"/>
  <c r="X654" i="1"/>
  <c r="AA653" i="1"/>
  <c r="Z653" i="1"/>
  <c r="Y653" i="1"/>
  <c r="X653" i="1"/>
  <c r="AA652" i="1"/>
  <c r="Z652" i="1"/>
  <c r="Y652" i="1"/>
  <c r="X652" i="1"/>
  <c r="AA651" i="1"/>
  <c r="Z651" i="1"/>
  <c r="Y651" i="1"/>
  <c r="X651" i="1"/>
  <c r="AA650" i="1"/>
  <c r="Z650" i="1"/>
  <c r="Y650" i="1"/>
  <c r="X650" i="1"/>
  <c r="AA649" i="1"/>
  <c r="Z649" i="1"/>
  <c r="Y649" i="1"/>
  <c r="X649" i="1"/>
  <c r="AA648" i="1"/>
  <c r="Z648" i="1"/>
  <c r="Y648" i="1"/>
  <c r="X648" i="1"/>
  <c r="AA647" i="1"/>
  <c r="Z647" i="1"/>
  <c r="Y647" i="1"/>
  <c r="X647" i="1"/>
  <c r="AA646" i="1"/>
  <c r="Z646" i="1"/>
  <c r="Y646" i="1"/>
  <c r="X646" i="1"/>
  <c r="AA645" i="1"/>
  <c r="Z645" i="1"/>
  <c r="Y645" i="1"/>
  <c r="X645" i="1"/>
  <c r="AA644" i="1"/>
  <c r="Z644" i="1"/>
  <c r="Y644" i="1"/>
  <c r="X644" i="1"/>
  <c r="AA643" i="1"/>
  <c r="Z643" i="1"/>
  <c r="Y643" i="1"/>
  <c r="X643" i="1"/>
  <c r="AA642" i="1"/>
  <c r="Z642" i="1"/>
  <c r="Y642" i="1"/>
  <c r="X642" i="1"/>
  <c r="AA641" i="1"/>
  <c r="Z641" i="1"/>
  <c r="Y641" i="1"/>
  <c r="X641" i="1"/>
  <c r="AA640" i="1"/>
  <c r="Z640" i="1"/>
  <c r="Y640" i="1"/>
  <c r="X640" i="1"/>
  <c r="AA639" i="1"/>
  <c r="Z639" i="1"/>
  <c r="Y639" i="1"/>
  <c r="X639" i="1"/>
  <c r="AA638" i="1"/>
  <c r="Z638" i="1"/>
  <c r="Y638" i="1"/>
  <c r="X638" i="1"/>
  <c r="AA637" i="1"/>
  <c r="Z637" i="1"/>
  <c r="Y637" i="1"/>
  <c r="X637" i="1"/>
  <c r="AA636" i="1"/>
  <c r="Z636" i="1"/>
  <c r="Y636" i="1"/>
  <c r="X636" i="1"/>
  <c r="AA635" i="1"/>
  <c r="Z635" i="1"/>
  <c r="Y635" i="1"/>
  <c r="X635" i="1"/>
  <c r="AA634" i="1"/>
  <c r="Z634" i="1"/>
  <c r="Y634" i="1"/>
  <c r="X634" i="1"/>
  <c r="AA633" i="1"/>
  <c r="Z633" i="1"/>
  <c r="Y633" i="1"/>
  <c r="X633" i="1"/>
  <c r="AA632" i="1"/>
  <c r="Z632" i="1"/>
  <c r="Y632" i="1"/>
  <c r="X632" i="1"/>
  <c r="AA631" i="1"/>
  <c r="Z631" i="1"/>
  <c r="Y631" i="1"/>
  <c r="X631" i="1"/>
  <c r="AA630" i="1"/>
  <c r="Z630" i="1"/>
  <c r="Y630" i="1"/>
  <c r="X630" i="1"/>
  <c r="AA629" i="1"/>
  <c r="Z629" i="1"/>
  <c r="Y629" i="1"/>
  <c r="X629" i="1"/>
  <c r="AA628" i="1"/>
  <c r="Z628" i="1"/>
  <c r="Y628" i="1"/>
  <c r="X628" i="1"/>
  <c r="AA627" i="1"/>
  <c r="Z627" i="1"/>
  <c r="Y627" i="1"/>
  <c r="X627" i="1"/>
  <c r="AA626" i="1"/>
  <c r="Z626" i="1"/>
  <c r="Y626" i="1"/>
  <c r="X626" i="1"/>
  <c r="AA625" i="1"/>
  <c r="Z625" i="1"/>
  <c r="Y625" i="1"/>
  <c r="X625" i="1"/>
  <c r="AA624" i="1"/>
  <c r="Z624" i="1"/>
  <c r="Y624" i="1"/>
  <c r="X624" i="1"/>
  <c r="AA623" i="1"/>
  <c r="Z623" i="1"/>
  <c r="Y623" i="1"/>
  <c r="X623" i="1"/>
  <c r="AA622" i="1"/>
  <c r="Z622" i="1"/>
  <c r="Y622" i="1"/>
  <c r="X622" i="1"/>
  <c r="AA621" i="1"/>
  <c r="Z621" i="1"/>
  <c r="Y621" i="1"/>
  <c r="X621" i="1"/>
  <c r="AA620" i="1"/>
  <c r="Z620" i="1"/>
  <c r="Y620" i="1"/>
  <c r="X620" i="1"/>
  <c r="AA619" i="1"/>
  <c r="Z619" i="1"/>
  <c r="Y619" i="1"/>
  <c r="X619" i="1"/>
  <c r="AA618" i="1"/>
  <c r="Z618" i="1"/>
  <c r="Y618" i="1"/>
  <c r="X618" i="1"/>
  <c r="AA617" i="1"/>
  <c r="Z617" i="1"/>
  <c r="Y617" i="1"/>
  <c r="X617" i="1"/>
  <c r="AA616" i="1"/>
  <c r="Z616" i="1"/>
  <c r="Y616" i="1"/>
  <c r="X616" i="1"/>
  <c r="AA615" i="1"/>
  <c r="Z615" i="1"/>
  <c r="Y615" i="1"/>
  <c r="X615" i="1"/>
  <c r="AA614" i="1"/>
  <c r="Z614" i="1"/>
  <c r="Y614" i="1"/>
  <c r="X614" i="1"/>
  <c r="AA613" i="1"/>
  <c r="Z613" i="1"/>
  <c r="Y613" i="1"/>
  <c r="X613" i="1"/>
  <c r="AA612" i="1"/>
  <c r="Z612" i="1"/>
  <c r="Y612" i="1"/>
  <c r="X612" i="1"/>
  <c r="AA611" i="1"/>
  <c r="Z611" i="1"/>
  <c r="Y611" i="1"/>
  <c r="X611" i="1"/>
  <c r="AA610" i="1"/>
  <c r="Z610" i="1"/>
  <c r="Y610" i="1"/>
  <c r="X610" i="1"/>
  <c r="AA609" i="1"/>
  <c r="Z609" i="1"/>
  <c r="Y609" i="1"/>
  <c r="X609" i="1"/>
  <c r="AA608" i="1"/>
  <c r="Z608" i="1"/>
  <c r="Y608" i="1"/>
  <c r="X608" i="1"/>
  <c r="AA607" i="1"/>
  <c r="Z607" i="1"/>
  <c r="Y607" i="1"/>
  <c r="X607" i="1"/>
  <c r="AA606" i="1"/>
  <c r="Z606" i="1"/>
  <c r="Y606" i="1"/>
  <c r="X606" i="1"/>
  <c r="AA605" i="1"/>
  <c r="Z605" i="1"/>
  <c r="Y605" i="1"/>
  <c r="X605" i="1"/>
  <c r="AA604" i="1"/>
  <c r="Z604" i="1"/>
  <c r="Y604" i="1"/>
  <c r="X604" i="1"/>
  <c r="AA603" i="1"/>
  <c r="Z603" i="1"/>
  <c r="Y603" i="1"/>
  <c r="X603" i="1"/>
  <c r="AA602" i="1"/>
  <c r="Z602" i="1"/>
  <c r="Y602" i="1"/>
  <c r="X602" i="1"/>
  <c r="AA601" i="1"/>
  <c r="Z601" i="1"/>
  <c r="Y601" i="1"/>
  <c r="X601" i="1"/>
  <c r="AA600" i="1"/>
  <c r="Z600" i="1"/>
  <c r="Y600" i="1"/>
  <c r="X600" i="1"/>
  <c r="AA599" i="1"/>
  <c r="Z599" i="1"/>
  <c r="Y599" i="1"/>
  <c r="X599" i="1"/>
  <c r="AA598" i="1"/>
  <c r="Z598" i="1"/>
  <c r="Y598" i="1"/>
  <c r="X598" i="1"/>
  <c r="AA597" i="1"/>
  <c r="Z597" i="1"/>
  <c r="Y597" i="1"/>
  <c r="X597" i="1"/>
  <c r="AA596" i="1"/>
  <c r="Z596" i="1"/>
  <c r="Y596" i="1"/>
  <c r="X596" i="1"/>
  <c r="AA595" i="1"/>
  <c r="Z595" i="1"/>
  <c r="Y595" i="1"/>
  <c r="X595" i="1"/>
  <c r="AA594" i="1"/>
  <c r="Z594" i="1"/>
  <c r="Y594" i="1"/>
  <c r="X594" i="1"/>
  <c r="AA593" i="1"/>
  <c r="Z593" i="1"/>
  <c r="Y593" i="1"/>
  <c r="X593" i="1"/>
  <c r="AA592" i="1"/>
  <c r="Z592" i="1"/>
  <c r="Y592" i="1"/>
  <c r="X592" i="1"/>
  <c r="AA591" i="1"/>
  <c r="Z591" i="1"/>
  <c r="Y591" i="1"/>
  <c r="X591" i="1"/>
  <c r="AA590" i="1"/>
  <c r="Z590" i="1"/>
  <c r="Y590" i="1"/>
  <c r="X590" i="1"/>
  <c r="AA589" i="1"/>
  <c r="Z589" i="1"/>
  <c r="Y589" i="1"/>
  <c r="X589" i="1"/>
  <c r="AA588" i="1"/>
  <c r="Z588" i="1"/>
  <c r="Y588" i="1"/>
  <c r="X588" i="1"/>
  <c r="AA587" i="1"/>
  <c r="Z587" i="1"/>
  <c r="Y587" i="1"/>
  <c r="X587" i="1"/>
  <c r="AA586" i="1"/>
  <c r="Z586" i="1"/>
  <c r="Y586" i="1"/>
  <c r="X586" i="1"/>
  <c r="AA585" i="1"/>
  <c r="Z585" i="1"/>
  <c r="Y585" i="1"/>
  <c r="X585" i="1"/>
  <c r="AA584" i="1"/>
  <c r="Z584" i="1"/>
  <c r="Y584" i="1"/>
  <c r="X584" i="1"/>
  <c r="AA583" i="1"/>
  <c r="Z583" i="1"/>
  <c r="Y583" i="1"/>
  <c r="X583" i="1"/>
  <c r="AA582" i="1"/>
  <c r="Z582" i="1"/>
  <c r="Y582" i="1"/>
  <c r="X582" i="1"/>
  <c r="AA581" i="1"/>
  <c r="Z581" i="1"/>
  <c r="Y581" i="1"/>
  <c r="X581" i="1"/>
  <c r="AA580" i="1"/>
  <c r="Z580" i="1"/>
  <c r="Y580" i="1"/>
  <c r="X580" i="1"/>
  <c r="AA579" i="1"/>
  <c r="Z579" i="1"/>
  <c r="Y579" i="1"/>
  <c r="X579" i="1"/>
  <c r="AA578" i="1"/>
  <c r="Z578" i="1"/>
  <c r="Y578" i="1"/>
  <c r="X578" i="1"/>
  <c r="AA577" i="1"/>
  <c r="Z577" i="1"/>
  <c r="Y577" i="1"/>
  <c r="X577" i="1"/>
  <c r="AA576" i="1"/>
  <c r="Z576" i="1"/>
  <c r="Y576" i="1"/>
  <c r="X576" i="1"/>
  <c r="AA575" i="1"/>
  <c r="Z575" i="1"/>
  <c r="Y575" i="1"/>
  <c r="X575" i="1"/>
  <c r="AA574" i="1"/>
  <c r="Z574" i="1"/>
  <c r="Y574" i="1"/>
  <c r="X574" i="1"/>
  <c r="AA573" i="1"/>
  <c r="Z573" i="1"/>
  <c r="Y573" i="1"/>
  <c r="X573" i="1"/>
  <c r="AA572" i="1"/>
  <c r="Z572" i="1"/>
  <c r="Y572" i="1"/>
  <c r="X572" i="1"/>
  <c r="AA571" i="1"/>
  <c r="Z571" i="1"/>
  <c r="Y571" i="1"/>
  <c r="X571" i="1"/>
  <c r="AA570" i="1"/>
  <c r="Z570" i="1"/>
  <c r="Y570" i="1"/>
  <c r="X570" i="1"/>
  <c r="AA569" i="1"/>
  <c r="Z569" i="1"/>
  <c r="Y569" i="1"/>
  <c r="X569" i="1"/>
  <c r="AA568" i="1"/>
  <c r="Z568" i="1"/>
  <c r="Y568" i="1"/>
  <c r="X568" i="1"/>
  <c r="AA567" i="1"/>
  <c r="Z567" i="1"/>
  <c r="Y567" i="1"/>
  <c r="X567" i="1"/>
  <c r="AA566" i="1"/>
  <c r="Z566" i="1"/>
  <c r="Y566" i="1"/>
  <c r="X566" i="1"/>
  <c r="AA565" i="1"/>
  <c r="Z565" i="1"/>
  <c r="Y565" i="1"/>
  <c r="X565" i="1"/>
  <c r="AA564" i="1"/>
  <c r="Z564" i="1"/>
  <c r="Y564" i="1"/>
  <c r="X564" i="1"/>
  <c r="AA563" i="1"/>
  <c r="Z563" i="1"/>
  <c r="Y563" i="1"/>
  <c r="X563" i="1"/>
  <c r="AA562" i="1"/>
  <c r="Z562" i="1"/>
  <c r="Y562" i="1"/>
  <c r="X562" i="1"/>
  <c r="AA561" i="1"/>
  <c r="Z561" i="1"/>
  <c r="Y561" i="1"/>
  <c r="X561" i="1"/>
  <c r="AA560" i="1"/>
  <c r="Z560" i="1"/>
  <c r="Y560" i="1"/>
  <c r="X560" i="1"/>
  <c r="AA559" i="1"/>
  <c r="Z559" i="1"/>
  <c r="Y559" i="1"/>
  <c r="X559" i="1"/>
  <c r="AA558" i="1"/>
  <c r="Z558" i="1"/>
  <c r="Y558" i="1"/>
  <c r="X558" i="1"/>
  <c r="AA557" i="1"/>
  <c r="Z557" i="1"/>
  <c r="Y557" i="1"/>
  <c r="X557" i="1"/>
  <c r="AA556" i="1"/>
  <c r="Z556" i="1"/>
  <c r="Y556" i="1"/>
  <c r="X556" i="1"/>
  <c r="AA555" i="1"/>
  <c r="Z555" i="1"/>
  <c r="Y555" i="1"/>
  <c r="X555" i="1"/>
  <c r="AA554" i="1"/>
  <c r="Z554" i="1"/>
  <c r="Y554" i="1"/>
  <c r="X554" i="1"/>
  <c r="AA553" i="1"/>
  <c r="Z553" i="1"/>
  <c r="Y553" i="1"/>
  <c r="X553" i="1"/>
  <c r="AA552" i="1"/>
  <c r="Z552" i="1"/>
  <c r="Y552" i="1"/>
  <c r="X552" i="1"/>
  <c r="AA551" i="1"/>
  <c r="Z551" i="1"/>
  <c r="Y551" i="1"/>
  <c r="X551" i="1"/>
  <c r="AA550" i="1"/>
  <c r="Z550" i="1"/>
  <c r="Y550" i="1"/>
  <c r="X550" i="1"/>
  <c r="AA549" i="1"/>
  <c r="Z549" i="1"/>
  <c r="Y549" i="1"/>
  <c r="X549" i="1"/>
  <c r="AA548" i="1"/>
  <c r="Z548" i="1"/>
  <c r="Y548" i="1"/>
  <c r="X548" i="1"/>
  <c r="AA547" i="1"/>
  <c r="Z547" i="1"/>
  <c r="Y547" i="1"/>
  <c r="X547" i="1"/>
  <c r="AA546" i="1"/>
  <c r="Z546" i="1"/>
  <c r="Y546" i="1"/>
  <c r="X546" i="1"/>
  <c r="AA545" i="1"/>
  <c r="Z545" i="1"/>
  <c r="Y545" i="1"/>
  <c r="X545" i="1"/>
  <c r="AA544" i="1"/>
  <c r="Z544" i="1"/>
  <c r="Y544" i="1"/>
  <c r="X544" i="1"/>
  <c r="AA543" i="1"/>
  <c r="Z543" i="1"/>
  <c r="Y543" i="1"/>
  <c r="X543" i="1"/>
  <c r="AA542" i="1"/>
  <c r="Z542" i="1"/>
  <c r="Y542" i="1"/>
  <c r="X542" i="1"/>
  <c r="AA541" i="1"/>
  <c r="Z541" i="1"/>
  <c r="Y541" i="1"/>
  <c r="X541" i="1"/>
  <c r="AA540" i="1"/>
  <c r="Z540" i="1"/>
  <c r="Y540" i="1"/>
  <c r="X540" i="1"/>
  <c r="AA539" i="1"/>
  <c r="Z539" i="1"/>
  <c r="Y539" i="1"/>
  <c r="X539" i="1"/>
  <c r="AA538" i="1"/>
  <c r="Z538" i="1"/>
  <c r="Y538" i="1"/>
  <c r="X538" i="1"/>
  <c r="AA537" i="1"/>
  <c r="Z537" i="1"/>
  <c r="Y537" i="1"/>
  <c r="X537" i="1"/>
  <c r="AA536" i="1"/>
  <c r="Z536" i="1"/>
  <c r="Y536" i="1"/>
  <c r="X536" i="1"/>
  <c r="AA535" i="1"/>
  <c r="Z535" i="1"/>
  <c r="Y535" i="1"/>
  <c r="X535" i="1"/>
  <c r="AA534" i="1"/>
  <c r="Z534" i="1"/>
  <c r="Y534" i="1"/>
  <c r="X534" i="1"/>
  <c r="AA533" i="1"/>
  <c r="Z533" i="1"/>
  <c r="Y533" i="1"/>
  <c r="X533" i="1"/>
  <c r="AA532" i="1"/>
  <c r="Z532" i="1"/>
  <c r="Y532" i="1"/>
  <c r="X532" i="1"/>
  <c r="AA531" i="1"/>
  <c r="Z531" i="1"/>
  <c r="Y531" i="1"/>
  <c r="X531" i="1"/>
  <c r="AA530" i="1"/>
  <c r="Z530" i="1"/>
  <c r="Y530" i="1"/>
  <c r="X530" i="1"/>
  <c r="AA529" i="1"/>
  <c r="Z529" i="1"/>
  <c r="Y529" i="1"/>
  <c r="X529" i="1"/>
  <c r="AA528" i="1"/>
  <c r="Z528" i="1"/>
  <c r="Y528" i="1"/>
  <c r="X528" i="1"/>
  <c r="AA527" i="1"/>
  <c r="Z527" i="1"/>
  <c r="Y527" i="1"/>
  <c r="X527" i="1"/>
  <c r="AA526" i="1"/>
  <c r="Z526" i="1"/>
  <c r="Y526" i="1"/>
  <c r="X526" i="1"/>
  <c r="AA525" i="1"/>
  <c r="Z525" i="1"/>
  <c r="Y525" i="1"/>
  <c r="X525" i="1"/>
  <c r="AA524" i="1"/>
  <c r="Z524" i="1"/>
  <c r="Y524" i="1"/>
  <c r="X524" i="1"/>
  <c r="AA523" i="1"/>
  <c r="Z523" i="1"/>
  <c r="Y523" i="1"/>
  <c r="X523" i="1"/>
  <c r="AA522" i="1"/>
  <c r="Z522" i="1"/>
  <c r="Y522" i="1"/>
  <c r="X522" i="1"/>
  <c r="AA521" i="1"/>
  <c r="Z521" i="1"/>
  <c r="Y521" i="1"/>
  <c r="X521" i="1"/>
  <c r="AA520" i="1"/>
  <c r="Z520" i="1"/>
  <c r="Y520" i="1"/>
  <c r="X520" i="1"/>
  <c r="AA519" i="1"/>
  <c r="Z519" i="1"/>
  <c r="Y519" i="1"/>
  <c r="X519" i="1"/>
  <c r="AA518" i="1"/>
  <c r="Z518" i="1"/>
  <c r="Y518" i="1"/>
  <c r="X518" i="1"/>
  <c r="AA517" i="1"/>
  <c r="Z517" i="1"/>
  <c r="Y517" i="1"/>
  <c r="X517" i="1"/>
  <c r="AA516" i="1"/>
  <c r="Z516" i="1"/>
  <c r="Y516" i="1"/>
  <c r="X516" i="1"/>
  <c r="AA515" i="1"/>
  <c r="Z515" i="1"/>
  <c r="Y515" i="1"/>
  <c r="X515" i="1"/>
  <c r="AA514" i="1"/>
  <c r="Z514" i="1"/>
  <c r="Y514" i="1"/>
  <c r="X514" i="1"/>
  <c r="AA513" i="1"/>
  <c r="Z513" i="1"/>
  <c r="Y513" i="1"/>
  <c r="X513" i="1"/>
  <c r="AA512" i="1"/>
  <c r="Z512" i="1"/>
  <c r="Y512" i="1"/>
  <c r="X512" i="1"/>
  <c r="AA511" i="1"/>
  <c r="Z511" i="1"/>
  <c r="Y511" i="1"/>
  <c r="X511" i="1"/>
  <c r="AA510" i="1"/>
  <c r="Z510" i="1"/>
  <c r="Y510" i="1"/>
  <c r="X510" i="1"/>
  <c r="AA509" i="1"/>
  <c r="Z509" i="1"/>
  <c r="Y509" i="1"/>
  <c r="X509" i="1"/>
  <c r="AA508" i="1"/>
  <c r="Z508" i="1"/>
  <c r="Y508" i="1"/>
  <c r="X508" i="1"/>
  <c r="AA507" i="1"/>
  <c r="Z507" i="1"/>
  <c r="Y507" i="1"/>
  <c r="X507" i="1"/>
  <c r="AA506" i="1"/>
  <c r="Z506" i="1"/>
  <c r="Y506" i="1"/>
  <c r="X506" i="1"/>
  <c r="AA505" i="1"/>
  <c r="Z505" i="1"/>
  <c r="Y505" i="1"/>
  <c r="X505" i="1"/>
  <c r="AA504" i="1"/>
  <c r="Z504" i="1"/>
  <c r="Y504" i="1"/>
  <c r="X504" i="1"/>
  <c r="AA503" i="1"/>
  <c r="Z503" i="1"/>
  <c r="Y503" i="1"/>
  <c r="X503" i="1"/>
  <c r="AA502" i="1"/>
  <c r="Z502" i="1"/>
  <c r="Y502" i="1"/>
  <c r="X502" i="1"/>
  <c r="AA501" i="1"/>
  <c r="Z501" i="1"/>
  <c r="Y501" i="1"/>
  <c r="X501" i="1"/>
  <c r="AA500" i="1"/>
  <c r="Z500" i="1"/>
  <c r="Y500" i="1"/>
  <c r="X500" i="1"/>
  <c r="AA499" i="1"/>
  <c r="Z499" i="1"/>
  <c r="Y499" i="1"/>
  <c r="X499" i="1"/>
  <c r="AA498" i="1"/>
  <c r="Z498" i="1"/>
  <c r="Y498" i="1"/>
  <c r="X498" i="1"/>
  <c r="AA497" i="1"/>
  <c r="Z497" i="1"/>
  <c r="Y497" i="1"/>
  <c r="X497" i="1"/>
  <c r="AA496" i="1"/>
  <c r="Z496" i="1"/>
  <c r="Y496" i="1"/>
  <c r="X496" i="1"/>
  <c r="AA495" i="1"/>
  <c r="Z495" i="1"/>
  <c r="Y495" i="1"/>
  <c r="X495" i="1"/>
  <c r="AA494" i="1"/>
  <c r="Z494" i="1"/>
  <c r="Y494" i="1"/>
  <c r="X494" i="1"/>
  <c r="AA493" i="1"/>
  <c r="Z493" i="1"/>
  <c r="Y493" i="1"/>
  <c r="X493" i="1"/>
  <c r="AA492" i="1"/>
  <c r="Z492" i="1"/>
  <c r="Y492" i="1"/>
  <c r="X492" i="1"/>
  <c r="AA491" i="1"/>
  <c r="Z491" i="1"/>
  <c r="Y491" i="1"/>
  <c r="X491" i="1"/>
  <c r="AA490" i="1"/>
  <c r="Z490" i="1"/>
  <c r="Y490" i="1"/>
  <c r="X490" i="1"/>
  <c r="AA489" i="1"/>
  <c r="Z489" i="1"/>
  <c r="Y489" i="1"/>
  <c r="X489" i="1"/>
  <c r="AA488" i="1"/>
  <c r="Z488" i="1"/>
  <c r="Y488" i="1"/>
  <c r="X488" i="1"/>
  <c r="AA487" i="1"/>
  <c r="Z487" i="1"/>
  <c r="Y487" i="1"/>
  <c r="X487" i="1"/>
  <c r="AA486" i="1"/>
  <c r="Z486" i="1"/>
  <c r="Y486" i="1"/>
  <c r="X486" i="1"/>
  <c r="AA485" i="1"/>
  <c r="Z485" i="1"/>
  <c r="Y485" i="1"/>
  <c r="X485" i="1"/>
  <c r="AA484" i="1"/>
  <c r="Z484" i="1"/>
  <c r="Y484" i="1"/>
  <c r="X484" i="1"/>
  <c r="AA483" i="1"/>
  <c r="Z483" i="1"/>
  <c r="Y483" i="1"/>
  <c r="X483" i="1"/>
  <c r="AA482" i="1"/>
  <c r="Z482" i="1"/>
  <c r="Y482" i="1"/>
  <c r="X482" i="1"/>
  <c r="AA481" i="1"/>
  <c r="Z481" i="1"/>
  <c r="Y481" i="1"/>
  <c r="X481" i="1"/>
  <c r="AA480" i="1"/>
  <c r="Z480" i="1"/>
  <c r="Y480" i="1"/>
  <c r="X480" i="1"/>
  <c r="AA479" i="1"/>
  <c r="Z479" i="1"/>
  <c r="Y479" i="1"/>
  <c r="X479" i="1"/>
  <c r="AA478" i="1"/>
  <c r="Z478" i="1"/>
  <c r="Y478" i="1"/>
  <c r="X478" i="1"/>
  <c r="AA477" i="1"/>
  <c r="Z477" i="1"/>
  <c r="Y477" i="1"/>
  <c r="X477" i="1"/>
  <c r="AA476" i="1"/>
  <c r="Z476" i="1"/>
  <c r="Y476" i="1"/>
  <c r="X476" i="1"/>
  <c r="AA475" i="1"/>
  <c r="Z475" i="1"/>
  <c r="Y475" i="1"/>
  <c r="X475" i="1"/>
  <c r="AA474" i="1"/>
  <c r="Z474" i="1"/>
  <c r="Y474" i="1"/>
  <c r="X474" i="1"/>
  <c r="AA473" i="1"/>
  <c r="Z473" i="1"/>
  <c r="Y473" i="1"/>
  <c r="X473" i="1"/>
  <c r="AA472" i="1"/>
  <c r="Z472" i="1"/>
  <c r="Y472" i="1"/>
  <c r="X472" i="1"/>
  <c r="AA471" i="1"/>
  <c r="Z471" i="1"/>
  <c r="Y471" i="1"/>
  <c r="X471" i="1"/>
  <c r="AA470" i="1"/>
  <c r="Z470" i="1"/>
  <c r="Y470" i="1"/>
  <c r="X470" i="1"/>
  <c r="AA469" i="1"/>
  <c r="Z469" i="1"/>
  <c r="Y469" i="1"/>
  <c r="X469" i="1"/>
  <c r="AA468" i="1"/>
  <c r="Z468" i="1"/>
  <c r="Y468" i="1"/>
  <c r="X468" i="1"/>
  <c r="AA467" i="1"/>
  <c r="Z467" i="1"/>
  <c r="Y467" i="1"/>
  <c r="X467" i="1"/>
  <c r="AA466" i="1"/>
  <c r="Z466" i="1"/>
  <c r="Y466" i="1"/>
  <c r="X466" i="1"/>
  <c r="AA465" i="1"/>
  <c r="Z465" i="1"/>
  <c r="Y465" i="1"/>
  <c r="X465" i="1"/>
  <c r="AA464" i="1"/>
  <c r="Z464" i="1"/>
  <c r="Y464" i="1"/>
  <c r="X464" i="1"/>
  <c r="AA463" i="1"/>
  <c r="Z463" i="1"/>
  <c r="Y463" i="1"/>
  <c r="X463" i="1"/>
  <c r="AA462" i="1"/>
  <c r="Z462" i="1"/>
  <c r="Y462" i="1"/>
  <c r="X462" i="1"/>
  <c r="AA461" i="1"/>
  <c r="Z461" i="1"/>
  <c r="Y461" i="1"/>
  <c r="X461" i="1"/>
  <c r="AA460" i="1"/>
  <c r="Z460" i="1"/>
  <c r="Y460" i="1"/>
  <c r="X460" i="1"/>
  <c r="AA459" i="1"/>
  <c r="Z459" i="1"/>
  <c r="Y459" i="1"/>
  <c r="X459" i="1"/>
  <c r="AA458" i="1"/>
  <c r="Z458" i="1"/>
  <c r="Y458" i="1"/>
  <c r="X458" i="1"/>
  <c r="AA457" i="1"/>
  <c r="Z457" i="1"/>
  <c r="Y457" i="1"/>
  <c r="X457" i="1"/>
  <c r="AA456" i="1"/>
  <c r="Z456" i="1"/>
  <c r="Y456" i="1"/>
  <c r="X456" i="1"/>
  <c r="AA455" i="1"/>
  <c r="Z455" i="1"/>
  <c r="Y455" i="1"/>
  <c r="X455" i="1"/>
  <c r="AA454" i="1"/>
  <c r="Z454" i="1"/>
  <c r="Y454" i="1"/>
  <c r="X454" i="1"/>
  <c r="AA453" i="1"/>
  <c r="Z453" i="1"/>
  <c r="Y453" i="1"/>
  <c r="X453" i="1"/>
  <c r="AA452" i="1"/>
  <c r="Z452" i="1"/>
  <c r="Y452" i="1"/>
  <c r="X452" i="1"/>
  <c r="AA451" i="1"/>
  <c r="Z451" i="1"/>
  <c r="Y451" i="1"/>
  <c r="X451" i="1"/>
  <c r="AA450" i="1"/>
  <c r="Z450" i="1"/>
  <c r="Y450" i="1"/>
  <c r="X450" i="1"/>
  <c r="AA449" i="1"/>
  <c r="Z449" i="1"/>
  <c r="Y449" i="1"/>
  <c r="X449" i="1"/>
  <c r="AA448" i="1"/>
  <c r="Z448" i="1"/>
  <c r="Y448" i="1"/>
  <c r="X448" i="1"/>
  <c r="AA447" i="1"/>
  <c r="Z447" i="1"/>
  <c r="Y447" i="1"/>
  <c r="X447" i="1"/>
  <c r="AA446" i="1"/>
  <c r="Z446" i="1"/>
  <c r="Y446" i="1"/>
  <c r="X446" i="1"/>
  <c r="AA445" i="1"/>
  <c r="Z445" i="1"/>
  <c r="Y445" i="1"/>
  <c r="X445" i="1"/>
  <c r="AA444" i="1"/>
  <c r="Z444" i="1"/>
  <c r="Y444" i="1"/>
  <c r="X444" i="1"/>
  <c r="AA443" i="1"/>
  <c r="Z443" i="1"/>
  <c r="Y443" i="1"/>
  <c r="X443" i="1"/>
  <c r="AA442" i="1"/>
  <c r="Z442" i="1"/>
  <c r="Y442" i="1"/>
  <c r="X442" i="1"/>
  <c r="AA441" i="1"/>
  <c r="Z441" i="1"/>
  <c r="Y441" i="1"/>
  <c r="X441" i="1"/>
  <c r="AA440" i="1"/>
  <c r="Z440" i="1"/>
  <c r="Y440" i="1"/>
  <c r="X440" i="1"/>
  <c r="AA439" i="1"/>
  <c r="Z439" i="1"/>
  <c r="Y439" i="1"/>
  <c r="X439" i="1"/>
  <c r="AA438" i="1"/>
  <c r="Z438" i="1"/>
  <c r="Y438" i="1"/>
  <c r="X438" i="1"/>
  <c r="AA437" i="1"/>
  <c r="Z437" i="1"/>
  <c r="Y437" i="1"/>
  <c r="X437" i="1"/>
  <c r="AA436" i="1"/>
  <c r="Z436" i="1"/>
  <c r="Y436" i="1"/>
  <c r="X436" i="1"/>
  <c r="AA435" i="1"/>
  <c r="Z435" i="1"/>
  <c r="Y435" i="1"/>
  <c r="X435" i="1"/>
  <c r="AA434" i="1"/>
  <c r="Z434" i="1"/>
  <c r="Y434" i="1"/>
  <c r="X434" i="1"/>
  <c r="AA433" i="1"/>
  <c r="Z433" i="1"/>
  <c r="Y433" i="1"/>
  <c r="X433" i="1"/>
  <c r="AA432" i="1"/>
  <c r="Z432" i="1"/>
  <c r="Y432" i="1"/>
  <c r="X432" i="1"/>
  <c r="AA431" i="1"/>
  <c r="Z431" i="1"/>
  <c r="Y431" i="1"/>
  <c r="X431" i="1"/>
  <c r="AA430" i="1"/>
  <c r="Z430" i="1"/>
  <c r="Y430" i="1"/>
  <c r="X430" i="1"/>
  <c r="AA429" i="1"/>
  <c r="Z429" i="1"/>
  <c r="Y429" i="1"/>
  <c r="X429" i="1"/>
  <c r="AA428" i="1"/>
  <c r="Z428" i="1"/>
  <c r="Y428" i="1"/>
  <c r="X428" i="1"/>
  <c r="AA427" i="1"/>
  <c r="Z427" i="1"/>
  <c r="Y427" i="1"/>
  <c r="X427" i="1"/>
  <c r="AA426" i="1"/>
  <c r="Z426" i="1"/>
  <c r="Y426" i="1"/>
  <c r="X426" i="1"/>
  <c r="AA425" i="1"/>
  <c r="Z425" i="1"/>
  <c r="Y425" i="1"/>
  <c r="X425" i="1"/>
  <c r="AA424" i="1"/>
  <c r="Z424" i="1"/>
  <c r="Y424" i="1"/>
  <c r="X424" i="1"/>
  <c r="AA423" i="1"/>
  <c r="Z423" i="1"/>
  <c r="Y423" i="1"/>
  <c r="X423" i="1"/>
  <c r="AA422" i="1"/>
  <c r="Z422" i="1"/>
  <c r="Y422" i="1"/>
  <c r="X422" i="1"/>
  <c r="AA421" i="1"/>
  <c r="Z421" i="1"/>
  <c r="Y421" i="1"/>
  <c r="X421" i="1"/>
  <c r="AA420" i="1"/>
  <c r="Z420" i="1"/>
  <c r="Y420" i="1"/>
  <c r="X420" i="1"/>
  <c r="AA419" i="1"/>
  <c r="Z419" i="1"/>
  <c r="Y419" i="1"/>
  <c r="X419" i="1"/>
  <c r="AA418" i="1"/>
  <c r="Z418" i="1"/>
  <c r="Y418" i="1"/>
  <c r="X418" i="1"/>
  <c r="AA417" i="1"/>
  <c r="Z417" i="1"/>
  <c r="Y417" i="1"/>
  <c r="X417" i="1"/>
  <c r="AA416" i="1"/>
  <c r="Z416" i="1"/>
  <c r="Y416" i="1"/>
  <c r="X416" i="1"/>
  <c r="AA415" i="1"/>
  <c r="Z415" i="1"/>
  <c r="Y415" i="1"/>
  <c r="X415" i="1"/>
  <c r="AA414" i="1"/>
  <c r="Z414" i="1"/>
  <c r="Y414" i="1"/>
  <c r="X414" i="1"/>
  <c r="AA413" i="1"/>
  <c r="Z413" i="1"/>
  <c r="Y413" i="1"/>
  <c r="X413" i="1"/>
  <c r="AA412" i="1"/>
  <c r="Z412" i="1"/>
  <c r="Y412" i="1"/>
  <c r="X412" i="1"/>
  <c r="AA411" i="1"/>
  <c r="Z411" i="1"/>
  <c r="Y411" i="1"/>
  <c r="X411" i="1"/>
  <c r="AA410" i="1"/>
  <c r="Z410" i="1"/>
  <c r="Y410" i="1"/>
  <c r="X410" i="1"/>
  <c r="AA409" i="1"/>
  <c r="Z409" i="1"/>
  <c r="Y409" i="1"/>
  <c r="X409" i="1"/>
  <c r="AA408" i="1"/>
  <c r="Z408" i="1"/>
  <c r="Y408" i="1"/>
  <c r="X408" i="1"/>
  <c r="AA407" i="1"/>
  <c r="Z407" i="1"/>
  <c r="Y407" i="1"/>
  <c r="X407" i="1"/>
  <c r="AA406" i="1"/>
  <c r="Z406" i="1"/>
  <c r="Y406" i="1"/>
  <c r="X406" i="1"/>
  <c r="AA405" i="1"/>
  <c r="Z405" i="1"/>
  <c r="Y405" i="1"/>
  <c r="X405" i="1"/>
  <c r="AA404" i="1"/>
  <c r="Z404" i="1"/>
  <c r="Y404" i="1"/>
  <c r="X404" i="1"/>
  <c r="AA403" i="1"/>
  <c r="Z403" i="1"/>
  <c r="Y403" i="1"/>
  <c r="X403" i="1"/>
  <c r="AA402" i="1"/>
  <c r="Z402" i="1"/>
  <c r="Y402" i="1"/>
  <c r="X402" i="1"/>
  <c r="AA401" i="1"/>
  <c r="Z401" i="1"/>
  <c r="Y401" i="1"/>
  <c r="X401" i="1"/>
  <c r="AA400" i="1"/>
  <c r="Z400" i="1"/>
  <c r="Y400" i="1"/>
  <c r="X400" i="1"/>
  <c r="AA399" i="1"/>
  <c r="Z399" i="1"/>
  <c r="Y399" i="1"/>
  <c r="X399" i="1"/>
  <c r="AA398" i="1"/>
  <c r="Z398" i="1"/>
  <c r="Y398" i="1"/>
  <c r="X398" i="1"/>
  <c r="AA397" i="1"/>
  <c r="Z397" i="1"/>
  <c r="Y397" i="1"/>
  <c r="X397" i="1"/>
  <c r="AA396" i="1"/>
  <c r="Z396" i="1"/>
  <c r="Y396" i="1"/>
  <c r="X396" i="1"/>
  <c r="AA395" i="1"/>
  <c r="Z395" i="1"/>
  <c r="Y395" i="1"/>
  <c r="X395" i="1"/>
  <c r="AA394" i="1"/>
  <c r="Z394" i="1"/>
  <c r="Y394" i="1"/>
  <c r="X394" i="1"/>
  <c r="AA393" i="1"/>
  <c r="Z393" i="1"/>
  <c r="Y393" i="1"/>
  <c r="X393" i="1"/>
  <c r="AA392" i="1"/>
  <c r="Z392" i="1"/>
  <c r="Y392" i="1"/>
  <c r="X392" i="1"/>
  <c r="AA391" i="1"/>
  <c r="Z391" i="1"/>
  <c r="Y391" i="1"/>
  <c r="X391" i="1"/>
  <c r="AA390" i="1"/>
  <c r="Z390" i="1"/>
  <c r="Y390" i="1"/>
  <c r="X390" i="1"/>
  <c r="AA389" i="1"/>
  <c r="Z389" i="1"/>
  <c r="Y389" i="1"/>
  <c r="X389" i="1"/>
  <c r="AA388" i="1"/>
  <c r="Z388" i="1"/>
  <c r="Y388" i="1"/>
  <c r="X388" i="1"/>
  <c r="AA387" i="1"/>
  <c r="Z387" i="1"/>
  <c r="Y387" i="1"/>
  <c r="X387" i="1"/>
  <c r="AA386" i="1"/>
  <c r="Z386" i="1"/>
  <c r="Y386" i="1"/>
  <c r="X386" i="1"/>
  <c r="AA385" i="1"/>
  <c r="Z385" i="1"/>
  <c r="Y385" i="1"/>
  <c r="X385" i="1"/>
  <c r="AA384" i="1"/>
  <c r="Z384" i="1"/>
  <c r="Y384" i="1"/>
  <c r="X384" i="1"/>
  <c r="AA383" i="1"/>
  <c r="Z383" i="1"/>
  <c r="Y383" i="1"/>
  <c r="X383" i="1"/>
  <c r="AA382" i="1"/>
  <c r="Z382" i="1"/>
  <c r="Y382" i="1"/>
  <c r="X382" i="1"/>
  <c r="AA381" i="1"/>
  <c r="Z381" i="1"/>
  <c r="Y381" i="1"/>
  <c r="X381" i="1"/>
  <c r="AA380" i="1"/>
  <c r="Z380" i="1"/>
  <c r="Y380" i="1"/>
  <c r="X380" i="1"/>
  <c r="AA379" i="1"/>
  <c r="Z379" i="1"/>
  <c r="Y379" i="1"/>
  <c r="X379" i="1"/>
  <c r="AA378" i="1"/>
  <c r="Z378" i="1"/>
  <c r="Y378" i="1"/>
  <c r="X378" i="1"/>
  <c r="AA377" i="1"/>
  <c r="Z377" i="1"/>
  <c r="Y377" i="1"/>
  <c r="X377" i="1"/>
  <c r="AA376" i="1"/>
  <c r="Z376" i="1"/>
  <c r="Y376" i="1"/>
  <c r="X376" i="1"/>
  <c r="AA375" i="1"/>
  <c r="Z375" i="1"/>
  <c r="Y375" i="1"/>
  <c r="X375" i="1"/>
  <c r="AA374" i="1"/>
  <c r="Z374" i="1"/>
  <c r="Y374" i="1"/>
  <c r="X374" i="1"/>
  <c r="AA373" i="1"/>
  <c r="Z373" i="1"/>
  <c r="Y373" i="1"/>
  <c r="X373" i="1"/>
  <c r="AA372" i="1"/>
  <c r="Z372" i="1"/>
  <c r="Y372" i="1"/>
  <c r="X372" i="1"/>
  <c r="AA371" i="1"/>
  <c r="Z371" i="1"/>
  <c r="Y371" i="1"/>
  <c r="X371" i="1"/>
  <c r="AA370" i="1"/>
  <c r="Z370" i="1"/>
  <c r="Y370" i="1"/>
  <c r="X370" i="1"/>
  <c r="AA369" i="1"/>
  <c r="Z369" i="1"/>
  <c r="Y369" i="1"/>
  <c r="X369" i="1"/>
  <c r="AA368" i="1"/>
  <c r="Z368" i="1"/>
  <c r="Y368" i="1"/>
  <c r="X368" i="1"/>
  <c r="AA367" i="1"/>
  <c r="Z367" i="1"/>
  <c r="Y367" i="1"/>
  <c r="X367" i="1"/>
  <c r="AA366" i="1"/>
  <c r="Z366" i="1"/>
  <c r="Y366" i="1"/>
  <c r="X366" i="1"/>
  <c r="AA365" i="1"/>
  <c r="Z365" i="1"/>
  <c r="Y365" i="1"/>
  <c r="X365" i="1"/>
  <c r="AA364" i="1"/>
  <c r="Z364" i="1"/>
  <c r="Y364" i="1"/>
  <c r="X364" i="1"/>
  <c r="AA363" i="1"/>
  <c r="Z363" i="1"/>
  <c r="Y363" i="1"/>
  <c r="X363" i="1"/>
  <c r="AA362" i="1"/>
  <c r="Z362" i="1"/>
  <c r="Y362" i="1"/>
  <c r="X362" i="1"/>
  <c r="AA361" i="1"/>
  <c r="Z361" i="1"/>
  <c r="Y361" i="1"/>
  <c r="X361" i="1"/>
  <c r="AA360" i="1"/>
  <c r="Z360" i="1"/>
  <c r="Y360" i="1"/>
  <c r="X360" i="1"/>
  <c r="AA359" i="1"/>
  <c r="Z359" i="1"/>
  <c r="Y359" i="1"/>
  <c r="X359" i="1"/>
  <c r="AA358" i="1"/>
  <c r="Z358" i="1"/>
  <c r="Y358" i="1"/>
  <c r="X358" i="1"/>
  <c r="AA357" i="1"/>
  <c r="Z357" i="1"/>
  <c r="Y357" i="1"/>
  <c r="X357" i="1"/>
  <c r="AA356" i="1"/>
  <c r="Z356" i="1"/>
  <c r="Y356" i="1"/>
  <c r="X356" i="1"/>
  <c r="AA355" i="1"/>
  <c r="Z355" i="1"/>
  <c r="Y355" i="1"/>
  <c r="X355" i="1"/>
  <c r="AA354" i="1"/>
  <c r="Z354" i="1"/>
  <c r="Y354" i="1"/>
  <c r="X354" i="1"/>
  <c r="AA353" i="1"/>
  <c r="Z353" i="1"/>
  <c r="Y353" i="1"/>
  <c r="X353" i="1"/>
  <c r="AA352" i="1"/>
  <c r="Z352" i="1"/>
  <c r="Y352" i="1"/>
  <c r="X352" i="1"/>
  <c r="AA351" i="1"/>
  <c r="Z351" i="1"/>
  <c r="Y351" i="1"/>
  <c r="X351" i="1"/>
  <c r="AA350" i="1"/>
  <c r="Z350" i="1"/>
  <c r="Y350" i="1"/>
  <c r="X350" i="1"/>
  <c r="AA349" i="1"/>
  <c r="Z349" i="1"/>
  <c r="Y349" i="1"/>
  <c r="X349" i="1"/>
  <c r="AA348" i="1"/>
  <c r="Z348" i="1"/>
  <c r="Y348" i="1"/>
  <c r="X348" i="1"/>
  <c r="AA347" i="1"/>
  <c r="Z347" i="1"/>
  <c r="Y347" i="1"/>
  <c r="X347" i="1"/>
  <c r="AA346" i="1"/>
  <c r="Z346" i="1"/>
  <c r="Y346" i="1"/>
  <c r="X346" i="1"/>
  <c r="AA345" i="1"/>
  <c r="Z345" i="1"/>
  <c r="Y345" i="1"/>
  <c r="X345" i="1"/>
  <c r="AA344" i="1"/>
  <c r="Z344" i="1"/>
  <c r="Y344" i="1"/>
  <c r="X344" i="1"/>
  <c r="AA343" i="1"/>
  <c r="Z343" i="1"/>
  <c r="Y343" i="1"/>
  <c r="X343" i="1"/>
  <c r="AA342" i="1"/>
  <c r="Z342" i="1"/>
  <c r="Y342" i="1"/>
  <c r="X342" i="1"/>
  <c r="AA341" i="1"/>
  <c r="Z341" i="1"/>
  <c r="Y341" i="1"/>
  <c r="X341" i="1"/>
  <c r="AA340" i="1"/>
  <c r="Z340" i="1"/>
  <c r="Y340" i="1"/>
  <c r="X340" i="1"/>
  <c r="AA339" i="1"/>
  <c r="Z339" i="1"/>
  <c r="Y339" i="1"/>
  <c r="X339" i="1"/>
  <c r="AA338" i="1"/>
  <c r="Z338" i="1"/>
  <c r="Y338" i="1"/>
  <c r="X338" i="1"/>
  <c r="AA337" i="1"/>
  <c r="Z337" i="1"/>
  <c r="Y337" i="1"/>
  <c r="X337" i="1"/>
  <c r="AA336" i="1"/>
  <c r="Z336" i="1"/>
  <c r="Y336" i="1"/>
  <c r="X336" i="1"/>
  <c r="AA335" i="1"/>
  <c r="Z335" i="1"/>
  <c r="Y335" i="1"/>
  <c r="X335" i="1"/>
  <c r="AA334" i="1"/>
  <c r="Z334" i="1"/>
  <c r="Y334" i="1"/>
  <c r="X334" i="1"/>
  <c r="AA333" i="1"/>
  <c r="Z333" i="1"/>
  <c r="Y333" i="1"/>
  <c r="X333" i="1"/>
  <c r="AA332" i="1"/>
  <c r="Z332" i="1"/>
  <c r="Y332" i="1"/>
  <c r="X332" i="1"/>
  <c r="AA331" i="1"/>
  <c r="Z331" i="1"/>
  <c r="Y331" i="1"/>
  <c r="X331" i="1"/>
  <c r="AA330" i="1"/>
  <c r="Z330" i="1"/>
  <c r="Y330" i="1"/>
  <c r="X330" i="1"/>
  <c r="AA329" i="1"/>
  <c r="Z329" i="1"/>
  <c r="Y329" i="1"/>
  <c r="X329" i="1"/>
  <c r="AA328" i="1"/>
  <c r="Z328" i="1"/>
  <c r="Y328" i="1"/>
  <c r="X328" i="1"/>
  <c r="AA327" i="1"/>
  <c r="Z327" i="1"/>
  <c r="Y327" i="1"/>
  <c r="X327" i="1"/>
  <c r="AA326" i="1"/>
  <c r="Z326" i="1"/>
  <c r="Y326" i="1"/>
  <c r="X326" i="1"/>
  <c r="AA325" i="1"/>
  <c r="Z325" i="1"/>
  <c r="Y325" i="1"/>
  <c r="X325" i="1"/>
  <c r="AA324" i="1"/>
  <c r="Z324" i="1"/>
  <c r="Y324" i="1"/>
  <c r="X324" i="1"/>
  <c r="AA323" i="1"/>
  <c r="Z323" i="1"/>
  <c r="Y323" i="1"/>
  <c r="X323" i="1"/>
  <c r="AA322" i="1"/>
  <c r="Z322" i="1"/>
  <c r="Y322" i="1"/>
  <c r="X322" i="1"/>
  <c r="AA321" i="1"/>
  <c r="Z321" i="1"/>
  <c r="Y321" i="1"/>
  <c r="X321" i="1"/>
  <c r="AA320" i="1"/>
  <c r="Z320" i="1"/>
  <c r="Y320" i="1"/>
  <c r="X320" i="1"/>
  <c r="AA319" i="1"/>
  <c r="Z319" i="1"/>
  <c r="Y319" i="1"/>
  <c r="X319" i="1"/>
  <c r="AA318" i="1"/>
  <c r="Z318" i="1"/>
  <c r="Y318" i="1"/>
  <c r="X318" i="1"/>
  <c r="AA317" i="1"/>
  <c r="Z317" i="1"/>
  <c r="Y317" i="1"/>
  <c r="X317" i="1"/>
  <c r="AA316" i="1"/>
  <c r="Z316" i="1"/>
  <c r="Y316" i="1"/>
  <c r="X316" i="1"/>
  <c r="AA315" i="1"/>
  <c r="Z315" i="1"/>
  <c r="Y315" i="1"/>
  <c r="X315" i="1"/>
  <c r="AA314" i="1"/>
  <c r="Z314" i="1"/>
  <c r="Y314" i="1"/>
  <c r="X314" i="1"/>
  <c r="AA313" i="1"/>
  <c r="Z313" i="1"/>
  <c r="Y313" i="1"/>
  <c r="X313" i="1"/>
  <c r="AA312" i="1"/>
  <c r="Z312" i="1"/>
  <c r="Y312" i="1"/>
  <c r="X312" i="1"/>
  <c r="AA311" i="1"/>
  <c r="Z311" i="1"/>
  <c r="Y311" i="1"/>
  <c r="X311" i="1"/>
  <c r="AA310" i="1"/>
  <c r="Z310" i="1"/>
  <c r="Y310" i="1"/>
  <c r="X310" i="1"/>
  <c r="AA309" i="1"/>
  <c r="Z309" i="1"/>
  <c r="Y309" i="1"/>
  <c r="X309" i="1"/>
  <c r="AA308" i="1"/>
  <c r="Z308" i="1"/>
  <c r="Y308" i="1"/>
  <c r="X308" i="1"/>
  <c r="AA307" i="1"/>
  <c r="Z307" i="1"/>
  <c r="Y307" i="1"/>
  <c r="X307" i="1"/>
  <c r="AA306" i="1"/>
  <c r="Z306" i="1"/>
  <c r="Y306" i="1"/>
  <c r="X306" i="1"/>
  <c r="AA305" i="1"/>
  <c r="Z305" i="1"/>
  <c r="Y305" i="1"/>
  <c r="X305" i="1"/>
  <c r="AA304" i="1"/>
  <c r="Z304" i="1"/>
  <c r="Y304" i="1"/>
  <c r="X304" i="1"/>
  <c r="AA303" i="1"/>
  <c r="Z303" i="1"/>
  <c r="Y303" i="1"/>
  <c r="X303" i="1"/>
  <c r="AA302" i="1"/>
  <c r="Z302" i="1"/>
  <c r="Y302" i="1"/>
  <c r="X302" i="1"/>
  <c r="AA301" i="1"/>
  <c r="Z301" i="1"/>
  <c r="Y301" i="1"/>
  <c r="X301" i="1"/>
  <c r="AA300" i="1"/>
  <c r="Z300" i="1"/>
  <c r="Y300" i="1"/>
  <c r="X300" i="1"/>
  <c r="AA299" i="1"/>
  <c r="Z299" i="1"/>
  <c r="Y299" i="1"/>
  <c r="X299" i="1"/>
  <c r="AA298" i="1"/>
  <c r="Z298" i="1"/>
  <c r="Y298" i="1"/>
  <c r="X298" i="1"/>
  <c r="AA297" i="1"/>
  <c r="Z297" i="1"/>
  <c r="Y297" i="1"/>
  <c r="X297" i="1"/>
  <c r="AA296" i="1"/>
  <c r="Z296" i="1"/>
  <c r="Y296" i="1"/>
  <c r="X296" i="1"/>
  <c r="AA295" i="1"/>
  <c r="Z295" i="1"/>
  <c r="Y295" i="1"/>
  <c r="X295" i="1"/>
  <c r="AA294" i="1"/>
  <c r="Z294" i="1"/>
  <c r="Y294" i="1"/>
  <c r="X294" i="1"/>
  <c r="AA293" i="1"/>
  <c r="Z293" i="1"/>
  <c r="Y293" i="1"/>
  <c r="X293" i="1"/>
  <c r="AA292" i="1"/>
  <c r="Z292" i="1"/>
  <c r="Y292" i="1"/>
  <c r="X292" i="1"/>
  <c r="AA291" i="1"/>
  <c r="Z291" i="1"/>
  <c r="Y291" i="1"/>
  <c r="X291" i="1"/>
  <c r="AA290" i="1"/>
  <c r="Z290" i="1"/>
  <c r="Y290" i="1"/>
  <c r="X290" i="1"/>
  <c r="AA289" i="1"/>
  <c r="Z289" i="1"/>
  <c r="Y289" i="1"/>
  <c r="X289" i="1"/>
  <c r="AA288" i="1"/>
  <c r="Z288" i="1"/>
  <c r="Y288" i="1"/>
  <c r="X288" i="1"/>
  <c r="AA287" i="1"/>
  <c r="Z287" i="1"/>
  <c r="Y287" i="1"/>
  <c r="X287" i="1"/>
  <c r="AA286" i="1"/>
  <c r="Z286" i="1"/>
  <c r="Y286" i="1"/>
  <c r="X286" i="1"/>
  <c r="AA285" i="1"/>
  <c r="Z285" i="1"/>
  <c r="Y285" i="1"/>
  <c r="X285" i="1"/>
  <c r="AA284" i="1"/>
  <c r="Z284" i="1"/>
  <c r="Y284" i="1"/>
  <c r="X284" i="1"/>
  <c r="AA283" i="1"/>
  <c r="Z283" i="1"/>
  <c r="Y283" i="1"/>
  <c r="X283" i="1"/>
  <c r="AA282" i="1"/>
  <c r="Z282" i="1"/>
  <c r="Y282" i="1"/>
  <c r="X282" i="1"/>
  <c r="AA281" i="1"/>
  <c r="Z281" i="1"/>
  <c r="Y281" i="1"/>
  <c r="X281" i="1"/>
  <c r="AA280" i="1"/>
  <c r="Z280" i="1"/>
  <c r="Y280" i="1"/>
  <c r="X280" i="1"/>
  <c r="AA279" i="1"/>
  <c r="Z279" i="1"/>
  <c r="Y279" i="1"/>
  <c r="X279" i="1"/>
  <c r="AA278" i="1"/>
  <c r="Z278" i="1"/>
  <c r="Y278" i="1"/>
  <c r="X278" i="1"/>
  <c r="AA277" i="1"/>
  <c r="Z277" i="1"/>
  <c r="Y277" i="1"/>
  <c r="X277" i="1"/>
  <c r="AA276" i="1"/>
  <c r="Z276" i="1"/>
  <c r="Y276" i="1"/>
  <c r="X276" i="1"/>
  <c r="AA275" i="1"/>
  <c r="Z275" i="1"/>
  <c r="Y275" i="1"/>
  <c r="X275" i="1"/>
  <c r="AA274" i="1"/>
  <c r="Z274" i="1"/>
  <c r="Y274" i="1"/>
  <c r="X274" i="1"/>
  <c r="AA273" i="1"/>
  <c r="Z273" i="1"/>
  <c r="Y273" i="1"/>
  <c r="X273" i="1"/>
  <c r="AA272" i="1"/>
  <c r="Z272" i="1"/>
  <c r="Y272" i="1"/>
  <c r="X272" i="1"/>
  <c r="AA271" i="1"/>
  <c r="Z271" i="1"/>
  <c r="Y271" i="1"/>
  <c r="X271" i="1"/>
  <c r="AA270" i="1"/>
  <c r="Z270" i="1"/>
  <c r="Y270" i="1"/>
  <c r="X270" i="1"/>
  <c r="AA269" i="1"/>
  <c r="Z269" i="1"/>
  <c r="Y269" i="1"/>
  <c r="X269" i="1"/>
  <c r="AA268" i="1"/>
  <c r="Z268" i="1"/>
  <c r="Y268" i="1"/>
  <c r="X268" i="1"/>
  <c r="AA267" i="1"/>
  <c r="Z267" i="1"/>
  <c r="Y267" i="1"/>
  <c r="X267" i="1"/>
  <c r="AA266" i="1"/>
  <c r="Z266" i="1"/>
  <c r="Y266" i="1"/>
  <c r="X266" i="1"/>
  <c r="AA265" i="1"/>
  <c r="Z265" i="1"/>
  <c r="Y265" i="1"/>
  <c r="X265" i="1"/>
  <c r="AA264" i="1"/>
  <c r="Z264" i="1"/>
  <c r="Y264" i="1"/>
  <c r="X264" i="1"/>
  <c r="AA263" i="1"/>
  <c r="Z263" i="1"/>
  <c r="Y263" i="1"/>
  <c r="X263" i="1"/>
  <c r="AA262" i="1"/>
  <c r="Z262" i="1"/>
  <c r="Y262" i="1"/>
  <c r="X262" i="1"/>
  <c r="AA261" i="1"/>
  <c r="Z261" i="1"/>
  <c r="Y261" i="1"/>
  <c r="X261" i="1"/>
  <c r="AA260" i="1"/>
  <c r="Z260" i="1"/>
  <c r="Y260" i="1"/>
  <c r="X260" i="1"/>
  <c r="AA259" i="1"/>
  <c r="Z259" i="1"/>
  <c r="Y259" i="1"/>
  <c r="X259" i="1"/>
  <c r="AA258" i="1"/>
  <c r="Z258" i="1"/>
  <c r="Y258" i="1"/>
  <c r="X258" i="1"/>
  <c r="AA257" i="1"/>
  <c r="Z257" i="1"/>
  <c r="Y257" i="1"/>
  <c r="X257" i="1"/>
  <c r="AA256" i="1"/>
  <c r="Z256" i="1"/>
  <c r="Y256" i="1"/>
  <c r="X256" i="1"/>
  <c r="AA255" i="1"/>
  <c r="Z255" i="1"/>
  <c r="Y255" i="1"/>
  <c r="X255" i="1"/>
  <c r="AA254" i="1"/>
  <c r="Z254" i="1"/>
  <c r="Y254" i="1"/>
  <c r="X254" i="1"/>
  <c r="AA253" i="1"/>
  <c r="Z253" i="1"/>
  <c r="Y253" i="1"/>
  <c r="X253" i="1"/>
  <c r="AA252" i="1"/>
  <c r="Z252" i="1"/>
  <c r="Y252" i="1"/>
  <c r="X252" i="1"/>
  <c r="AA251" i="1"/>
  <c r="Z251" i="1"/>
  <c r="Y251" i="1"/>
  <c r="X251" i="1"/>
  <c r="AA250" i="1"/>
  <c r="Z250" i="1"/>
  <c r="Y250" i="1"/>
  <c r="X250" i="1"/>
  <c r="AA249" i="1"/>
  <c r="Z249" i="1"/>
  <c r="Y249" i="1"/>
  <c r="X249" i="1"/>
  <c r="AA248" i="1"/>
  <c r="Z248" i="1"/>
  <c r="Y248" i="1"/>
  <c r="X248" i="1"/>
  <c r="AA247" i="1"/>
  <c r="Z247" i="1"/>
  <c r="Y247" i="1"/>
  <c r="X247" i="1"/>
  <c r="AA246" i="1"/>
  <c r="Z246" i="1"/>
  <c r="Y246" i="1"/>
  <c r="X246" i="1"/>
  <c r="AA245" i="1"/>
  <c r="Z245" i="1"/>
  <c r="Y245" i="1"/>
  <c r="X245" i="1"/>
  <c r="AA244" i="1"/>
  <c r="Z244" i="1"/>
  <c r="Y244" i="1"/>
  <c r="X244" i="1"/>
  <c r="AA243" i="1"/>
  <c r="Z243" i="1"/>
  <c r="Y243" i="1"/>
  <c r="X243" i="1"/>
  <c r="AA242" i="1"/>
  <c r="Z242" i="1"/>
  <c r="Y242" i="1"/>
  <c r="X242" i="1"/>
  <c r="AA241" i="1"/>
  <c r="Z241" i="1"/>
  <c r="Y241" i="1"/>
  <c r="X241" i="1"/>
  <c r="AA240" i="1"/>
  <c r="Z240" i="1"/>
  <c r="Y240" i="1"/>
  <c r="X240" i="1"/>
  <c r="AA239" i="1"/>
  <c r="Z239" i="1"/>
  <c r="Y239" i="1"/>
  <c r="X239" i="1"/>
  <c r="AA238" i="1"/>
  <c r="Z238" i="1"/>
  <c r="Y238" i="1"/>
  <c r="X238" i="1"/>
  <c r="AA237" i="1"/>
  <c r="Z237" i="1"/>
  <c r="Y237" i="1"/>
  <c r="X237" i="1"/>
  <c r="AA236" i="1"/>
  <c r="Z236" i="1"/>
  <c r="Y236" i="1"/>
  <c r="X236" i="1"/>
  <c r="AA235" i="1"/>
  <c r="Z235" i="1"/>
  <c r="Y235" i="1"/>
  <c r="X235" i="1"/>
  <c r="AA234" i="1"/>
  <c r="Z234" i="1"/>
  <c r="Y234" i="1"/>
  <c r="X234" i="1"/>
  <c r="AA233" i="1"/>
  <c r="Z233" i="1"/>
  <c r="Y233" i="1"/>
  <c r="X233" i="1"/>
  <c r="AA232" i="1"/>
  <c r="Z232" i="1"/>
  <c r="Y232" i="1"/>
  <c r="X232" i="1"/>
  <c r="AA231" i="1"/>
  <c r="Z231" i="1"/>
  <c r="Y231" i="1"/>
  <c r="X231" i="1"/>
  <c r="AA230" i="1"/>
  <c r="Z230" i="1"/>
  <c r="Y230" i="1"/>
  <c r="X230" i="1"/>
  <c r="AA229" i="1"/>
  <c r="Z229" i="1"/>
  <c r="Y229" i="1"/>
  <c r="X229" i="1"/>
  <c r="AA228" i="1"/>
  <c r="Z228" i="1"/>
  <c r="Y228" i="1"/>
  <c r="X228" i="1"/>
  <c r="AA227" i="1"/>
  <c r="Z227" i="1"/>
  <c r="Y227" i="1"/>
  <c r="X227" i="1"/>
  <c r="AA226" i="1"/>
  <c r="Z226" i="1"/>
  <c r="Y226" i="1"/>
  <c r="X226" i="1"/>
  <c r="AA225" i="1"/>
  <c r="Z225" i="1"/>
  <c r="Y225" i="1"/>
  <c r="X225" i="1"/>
  <c r="AA224" i="1"/>
  <c r="Z224" i="1"/>
  <c r="Y224" i="1"/>
  <c r="X224" i="1"/>
  <c r="AA223" i="1"/>
  <c r="Z223" i="1"/>
  <c r="Y223" i="1"/>
  <c r="X223" i="1"/>
  <c r="AA222" i="1"/>
  <c r="Z222" i="1"/>
  <c r="Y222" i="1"/>
  <c r="X222" i="1"/>
  <c r="AA221" i="1"/>
  <c r="Z221" i="1"/>
  <c r="Y221" i="1"/>
  <c r="X221" i="1"/>
  <c r="AA220" i="1"/>
  <c r="Z220" i="1"/>
  <c r="Y220" i="1"/>
  <c r="X220" i="1"/>
  <c r="AA219" i="1"/>
  <c r="Z219" i="1"/>
  <c r="Y219" i="1"/>
  <c r="X219" i="1"/>
  <c r="AA218" i="1"/>
  <c r="Z218" i="1"/>
  <c r="Y218" i="1"/>
  <c r="X218" i="1"/>
  <c r="AA217" i="1"/>
  <c r="Z217" i="1"/>
  <c r="Y217" i="1"/>
  <c r="X217" i="1"/>
  <c r="AA216" i="1"/>
  <c r="Z216" i="1"/>
  <c r="Y216" i="1"/>
  <c r="X216" i="1"/>
  <c r="AA215" i="1"/>
  <c r="Z215" i="1"/>
  <c r="Y215" i="1"/>
  <c r="X215" i="1"/>
  <c r="AA214" i="1"/>
  <c r="Z214" i="1"/>
  <c r="Y214" i="1"/>
  <c r="X214" i="1"/>
  <c r="AA213" i="1"/>
  <c r="Z213" i="1"/>
  <c r="Y213" i="1"/>
  <c r="X213" i="1"/>
  <c r="AA212" i="1"/>
  <c r="Z212" i="1"/>
  <c r="Y212" i="1"/>
  <c r="X212" i="1"/>
  <c r="AA211" i="1"/>
  <c r="Z211" i="1"/>
  <c r="Y211" i="1"/>
  <c r="X211" i="1"/>
  <c r="AA210" i="1"/>
  <c r="Z210" i="1"/>
  <c r="Y210" i="1"/>
  <c r="X210" i="1"/>
  <c r="AA209" i="1"/>
  <c r="Z209" i="1"/>
  <c r="Y209" i="1"/>
  <c r="X209" i="1"/>
  <c r="AA208" i="1"/>
  <c r="Z208" i="1"/>
  <c r="Y208" i="1"/>
  <c r="X208" i="1"/>
  <c r="AA207" i="1"/>
  <c r="Z207" i="1"/>
  <c r="Y207" i="1"/>
  <c r="X207" i="1"/>
  <c r="AA206" i="1"/>
  <c r="Z206" i="1"/>
  <c r="Y206" i="1"/>
  <c r="X206" i="1"/>
  <c r="AA205" i="1"/>
  <c r="Z205" i="1"/>
  <c r="Y205" i="1"/>
  <c r="X205" i="1"/>
  <c r="AA204" i="1"/>
  <c r="Z204" i="1"/>
  <c r="Y204" i="1"/>
  <c r="X204" i="1"/>
  <c r="AA203" i="1"/>
  <c r="Z203" i="1"/>
  <c r="Y203" i="1"/>
  <c r="X203" i="1"/>
  <c r="AA202" i="1"/>
  <c r="Z202" i="1"/>
  <c r="Y202" i="1"/>
  <c r="X202" i="1"/>
  <c r="AA201" i="1"/>
  <c r="Z201" i="1"/>
  <c r="Y201" i="1"/>
  <c r="X201" i="1"/>
  <c r="AA200" i="1"/>
  <c r="Z200" i="1"/>
  <c r="Y200" i="1"/>
  <c r="X200" i="1"/>
  <c r="AA199" i="1"/>
  <c r="Z199" i="1"/>
  <c r="Y199" i="1"/>
  <c r="X199" i="1"/>
  <c r="AA198" i="1"/>
  <c r="Z198" i="1"/>
  <c r="Y198" i="1"/>
  <c r="X198" i="1"/>
  <c r="AA197" i="1"/>
  <c r="Z197" i="1"/>
  <c r="Y197" i="1"/>
  <c r="X197" i="1"/>
  <c r="AA196" i="1"/>
  <c r="Z196" i="1"/>
  <c r="Y196" i="1"/>
  <c r="X196" i="1"/>
  <c r="AA195" i="1"/>
  <c r="Z195" i="1"/>
  <c r="Y195" i="1"/>
  <c r="X195" i="1"/>
  <c r="AA194" i="1"/>
  <c r="Z194" i="1"/>
  <c r="Y194" i="1"/>
  <c r="X194" i="1"/>
  <c r="AA193" i="1"/>
  <c r="Z193" i="1"/>
  <c r="Y193" i="1"/>
  <c r="X193" i="1"/>
  <c r="AA192" i="1"/>
  <c r="Z192" i="1"/>
  <c r="Y192" i="1"/>
  <c r="X192" i="1"/>
  <c r="AA191" i="1"/>
  <c r="Z191" i="1"/>
  <c r="Y191" i="1"/>
  <c r="X191" i="1"/>
  <c r="AA190" i="1"/>
  <c r="Z190" i="1"/>
  <c r="Y190" i="1"/>
  <c r="X190" i="1"/>
  <c r="AA189" i="1"/>
  <c r="Z189" i="1"/>
  <c r="Y189" i="1"/>
  <c r="X189" i="1"/>
  <c r="AA188" i="1"/>
  <c r="Z188" i="1"/>
  <c r="Y188" i="1"/>
  <c r="X188" i="1"/>
  <c r="AA187" i="1"/>
  <c r="Z187" i="1"/>
  <c r="Y187" i="1"/>
  <c r="X187" i="1"/>
  <c r="AA186" i="1"/>
  <c r="Z186" i="1"/>
  <c r="Y186" i="1"/>
  <c r="X186" i="1"/>
  <c r="AA185" i="1"/>
  <c r="Z185" i="1"/>
  <c r="Y185" i="1"/>
  <c r="X185" i="1"/>
  <c r="AA184" i="1"/>
  <c r="Z184" i="1"/>
  <c r="Y184" i="1"/>
  <c r="X184" i="1"/>
  <c r="AA183" i="1"/>
  <c r="Z183" i="1"/>
  <c r="Y183" i="1"/>
  <c r="X183" i="1"/>
  <c r="AA182" i="1"/>
  <c r="Z182" i="1"/>
  <c r="Y182" i="1"/>
  <c r="X182" i="1"/>
  <c r="AA181" i="1"/>
  <c r="Z181" i="1"/>
  <c r="Y181" i="1"/>
  <c r="X181" i="1"/>
  <c r="AA180" i="1"/>
  <c r="Z180" i="1"/>
  <c r="Y180" i="1"/>
  <c r="X180" i="1"/>
  <c r="AA179" i="1"/>
  <c r="Z179" i="1"/>
  <c r="Y179" i="1"/>
  <c r="X179" i="1"/>
  <c r="AA178" i="1"/>
  <c r="Z178" i="1"/>
  <c r="Y178" i="1"/>
  <c r="X178" i="1"/>
  <c r="AA177" i="1"/>
  <c r="Z177" i="1"/>
  <c r="Y177" i="1"/>
  <c r="X177" i="1"/>
  <c r="AA176" i="1"/>
  <c r="Z176" i="1"/>
  <c r="Y176" i="1"/>
  <c r="X176" i="1"/>
  <c r="AA175" i="1"/>
  <c r="Z175" i="1"/>
  <c r="Y175" i="1"/>
  <c r="X175" i="1"/>
  <c r="AA174" i="1"/>
  <c r="Z174" i="1"/>
  <c r="Y174" i="1"/>
  <c r="X174" i="1"/>
  <c r="AA173" i="1"/>
  <c r="Z173" i="1"/>
  <c r="Y173" i="1"/>
  <c r="X173" i="1"/>
  <c r="AA172" i="1"/>
  <c r="Z172" i="1"/>
  <c r="Y172" i="1"/>
  <c r="X172" i="1"/>
  <c r="AA171" i="1"/>
  <c r="Z171" i="1"/>
  <c r="Y171" i="1"/>
  <c r="X171" i="1"/>
  <c r="AA170" i="1"/>
  <c r="Z170" i="1"/>
  <c r="Y170" i="1"/>
  <c r="X170" i="1"/>
  <c r="AA169" i="1"/>
  <c r="Z169" i="1"/>
  <c r="Y169" i="1"/>
  <c r="X169" i="1"/>
  <c r="AA168" i="1"/>
  <c r="Z168" i="1"/>
  <c r="Y168" i="1"/>
  <c r="X168" i="1"/>
  <c r="AA167" i="1"/>
  <c r="Z167" i="1"/>
  <c r="Y167" i="1"/>
  <c r="X167" i="1"/>
  <c r="AA166" i="1"/>
  <c r="Z166" i="1"/>
  <c r="Y166" i="1"/>
  <c r="X166" i="1"/>
  <c r="AA165" i="1"/>
  <c r="Z165" i="1"/>
  <c r="Y165" i="1"/>
  <c r="X165" i="1"/>
  <c r="AA164" i="1"/>
  <c r="Z164" i="1"/>
  <c r="Y164" i="1"/>
  <c r="X164" i="1"/>
  <c r="AA163" i="1"/>
  <c r="Z163" i="1"/>
  <c r="Y163" i="1"/>
  <c r="X163" i="1"/>
  <c r="AA162" i="1"/>
  <c r="Z162" i="1"/>
  <c r="Y162" i="1"/>
  <c r="X162" i="1"/>
  <c r="AA161" i="1"/>
  <c r="Z161" i="1"/>
  <c r="Y161" i="1"/>
  <c r="X161" i="1"/>
  <c r="AA160" i="1"/>
  <c r="Z160" i="1"/>
  <c r="Y160" i="1"/>
  <c r="X160" i="1"/>
  <c r="AA159" i="1"/>
  <c r="Z159" i="1"/>
  <c r="Y159" i="1"/>
  <c r="X159" i="1"/>
  <c r="AA158" i="1"/>
  <c r="Z158" i="1"/>
  <c r="Y158" i="1"/>
  <c r="X158" i="1"/>
  <c r="AA157" i="1"/>
  <c r="Z157" i="1"/>
  <c r="Y157" i="1"/>
  <c r="X157" i="1"/>
  <c r="AA156" i="1"/>
  <c r="Z156" i="1"/>
  <c r="Y156" i="1"/>
  <c r="X156" i="1"/>
  <c r="AA155" i="1"/>
  <c r="Z155" i="1"/>
  <c r="Y155" i="1"/>
  <c r="X155" i="1"/>
  <c r="AA154" i="1"/>
  <c r="Z154" i="1"/>
  <c r="Y154" i="1"/>
  <c r="X154" i="1"/>
  <c r="AA153" i="1"/>
  <c r="Z153" i="1"/>
  <c r="Y153" i="1"/>
  <c r="X153" i="1"/>
  <c r="AA152" i="1"/>
  <c r="Z152" i="1"/>
  <c r="Y152" i="1"/>
  <c r="X152" i="1"/>
  <c r="AA151" i="1"/>
  <c r="Z151" i="1"/>
  <c r="Y151" i="1"/>
  <c r="X151" i="1"/>
  <c r="AA150" i="1"/>
  <c r="Z150" i="1"/>
  <c r="Y150" i="1"/>
  <c r="X150" i="1"/>
  <c r="AA149" i="1"/>
  <c r="Z149" i="1"/>
  <c r="Y149" i="1"/>
  <c r="X149" i="1"/>
  <c r="AA148" i="1"/>
  <c r="Z148" i="1"/>
  <c r="Y148" i="1"/>
  <c r="X148" i="1"/>
  <c r="AA147" i="1"/>
  <c r="Z147" i="1"/>
  <c r="Y147" i="1"/>
  <c r="X147" i="1"/>
  <c r="AA146" i="1"/>
  <c r="Z146" i="1"/>
  <c r="Y146" i="1"/>
  <c r="X146" i="1"/>
  <c r="AA145" i="1"/>
  <c r="Z145" i="1"/>
  <c r="Y145" i="1"/>
  <c r="X145" i="1"/>
  <c r="AA144" i="1"/>
  <c r="Z144" i="1"/>
  <c r="Y144" i="1"/>
  <c r="X144" i="1"/>
  <c r="AA143" i="1"/>
  <c r="Z143" i="1"/>
  <c r="Y143" i="1"/>
  <c r="X143" i="1"/>
  <c r="AA142" i="1"/>
  <c r="Z142" i="1"/>
  <c r="Y142" i="1"/>
  <c r="X142" i="1"/>
  <c r="AA141" i="1"/>
  <c r="Z141" i="1"/>
  <c r="Y141" i="1"/>
  <c r="X141" i="1"/>
  <c r="AA140" i="1"/>
  <c r="Z140" i="1"/>
  <c r="Y140" i="1"/>
  <c r="X140" i="1"/>
  <c r="AA139" i="1"/>
  <c r="Z139" i="1"/>
  <c r="Y139" i="1"/>
  <c r="X139" i="1"/>
  <c r="AA138" i="1"/>
  <c r="Z138" i="1"/>
  <c r="Y138" i="1"/>
  <c r="X138" i="1"/>
  <c r="AA137" i="1"/>
  <c r="Z137" i="1"/>
  <c r="Y137" i="1"/>
  <c r="X137" i="1"/>
  <c r="AA136" i="1"/>
  <c r="Z136" i="1"/>
  <c r="Y136" i="1"/>
  <c r="X136" i="1"/>
  <c r="AA135" i="1"/>
  <c r="Z135" i="1"/>
  <c r="Y135" i="1"/>
  <c r="X135" i="1"/>
  <c r="AA134" i="1"/>
  <c r="Z134" i="1"/>
  <c r="Y134" i="1"/>
  <c r="X134" i="1"/>
  <c r="AA133" i="1"/>
  <c r="Z133" i="1"/>
  <c r="Y133" i="1"/>
  <c r="X133" i="1"/>
  <c r="AA132" i="1"/>
  <c r="Z132" i="1"/>
  <c r="Y132" i="1"/>
  <c r="X132" i="1"/>
  <c r="AA131" i="1"/>
  <c r="Z131" i="1"/>
  <c r="Y131" i="1"/>
  <c r="X131" i="1"/>
  <c r="AA130" i="1"/>
  <c r="Z130" i="1"/>
  <c r="Y130" i="1"/>
  <c r="X130" i="1"/>
  <c r="AA129" i="1"/>
  <c r="Z129" i="1"/>
  <c r="Y129" i="1"/>
  <c r="X129" i="1"/>
  <c r="AA128" i="1"/>
  <c r="Z128" i="1"/>
  <c r="Y128" i="1"/>
  <c r="X128" i="1"/>
  <c r="AA127" i="1"/>
  <c r="Z127" i="1"/>
  <c r="Y127" i="1"/>
  <c r="X127" i="1"/>
  <c r="AA126" i="1"/>
  <c r="Z126" i="1"/>
  <c r="Y126" i="1"/>
  <c r="X126" i="1"/>
  <c r="AA125" i="1"/>
  <c r="Z125" i="1"/>
  <c r="Y125" i="1"/>
  <c r="X125" i="1"/>
  <c r="AA124" i="1"/>
  <c r="Z124" i="1"/>
  <c r="Y124" i="1"/>
  <c r="X124" i="1"/>
  <c r="AA123" i="1"/>
  <c r="Z123" i="1"/>
  <c r="Y123" i="1"/>
  <c r="X123" i="1"/>
  <c r="AA122" i="1"/>
  <c r="Z122" i="1"/>
  <c r="Y122" i="1"/>
  <c r="X122" i="1"/>
  <c r="AA121" i="1"/>
  <c r="Z121" i="1"/>
  <c r="Y121" i="1"/>
  <c r="X121" i="1"/>
  <c r="AA120" i="1"/>
  <c r="Z120" i="1"/>
  <c r="Y120" i="1"/>
  <c r="X120" i="1"/>
  <c r="AA119" i="1"/>
  <c r="Z119" i="1"/>
  <c r="Y119" i="1"/>
  <c r="X119" i="1"/>
  <c r="AA118" i="1"/>
  <c r="Z118" i="1"/>
  <c r="Y118" i="1"/>
  <c r="X118" i="1"/>
  <c r="AA117" i="1"/>
  <c r="Z117" i="1"/>
  <c r="Y117" i="1"/>
  <c r="X117" i="1"/>
  <c r="AA116" i="1"/>
  <c r="Z116" i="1"/>
  <c r="Y116" i="1"/>
  <c r="X116" i="1"/>
  <c r="AA115" i="1"/>
  <c r="Z115" i="1"/>
  <c r="Y115" i="1"/>
  <c r="X115" i="1"/>
  <c r="AA114" i="1"/>
  <c r="Z114" i="1"/>
  <c r="Y114" i="1"/>
  <c r="X114" i="1"/>
  <c r="AA113" i="1"/>
  <c r="Z113" i="1"/>
  <c r="Y113" i="1"/>
  <c r="X113" i="1"/>
  <c r="AA112" i="1"/>
  <c r="Z112" i="1"/>
  <c r="Y112" i="1"/>
  <c r="X112" i="1"/>
  <c r="AA111" i="1"/>
  <c r="Z111" i="1"/>
  <c r="Y111" i="1"/>
  <c r="X111" i="1"/>
  <c r="AA110" i="1"/>
  <c r="Z110" i="1"/>
  <c r="Y110" i="1"/>
  <c r="X110" i="1"/>
  <c r="AA109" i="1"/>
  <c r="Z109" i="1"/>
  <c r="Y109" i="1"/>
  <c r="X109" i="1"/>
  <c r="AA108" i="1"/>
  <c r="Z108" i="1"/>
  <c r="Y108" i="1"/>
  <c r="X108" i="1"/>
  <c r="AA107" i="1"/>
  <c r="Z107" i="1"/>
  <c r="Y107" i="1"/>
  <c r="X107" i="1"/>
  <c r="AA106" i="1"/>
  <c r="Z106" i="1"/>
  <c r="Y106" i="1"/>
  <c r="X106" i="1"/>
  <c r="AA105" i="1"/>
  <c r="Z105" i="1"/>
  <c r="Y105" i="1"/>
  <c r="X105" i="1"/>
  <c r="AA104" i="1"/>
  <c r="Z104" i="1"/>
  <c r="Y104" i="1"/>
  <c r="X104" i="1"/>
  <c r="AA103" i="1"/>
  <c r="Z103" i="1"/>
  <c r="Y103" i="1"/>
  <c r="X103" i="1"/>
  <c r="AA102" i="1"/>
  <c r="Z102" i="1"/>
  <c r="Y102" i="1"/>
  <c r="X102" i="1"/>
  <c r="AA101" i="1"/>
  <c r="Z101" i="1"/>
  <c r="Y101" i="1"/>
  <c r="X101" i="1"/>
  <c r="AA100" i="1"/>
  <c r="Z100" i="1"/>
  <c r="Y100" i="1"/>
  <c r="X100" i="1"/>
  <c r="AA99" i="1"/>
  <c r="Z99" i="1"/>
  <c r="Y99" i="1"/>
  <c r="X99" i="1"/>
  <c r="AA98" i="1"/>
  <c r="Z98" i="1"/>
  <c r="Y98" i="1"/>
  <c r="X98" i="1"/>
  <c r="AA97" i="1"/>
  <c r="Z97" i="1"/>
  <c r="Y97" i="1"/>
  <c r="X97" i="1"/>
  <c r="AA96" i="1"/>
  <c r="Z96" i="1"/>
  <c r="Y96" i="1"/>
  <c r="X96" i="1"/>
  <c r="AA95" i="1"/>
  <c r="Z95" i="1"/>
  <c r="Y95" i="1"/>
  <c r="X95" i="1"/>
  <c r="AA94" i="1"/>
  <c r="Z94" i="1"/>
  <c r="Y94" i="1"/>
  <c r="X94" i="1"/>
  <c r="AA93" i="1"/>
  <c r="Z93" i="1"/>
  <c r="Y93" i="1"/>
  <c r="X93" i="1"/>
  <c r="AA92" i="1"/>
  <c r="Z92" i="1"/>
  <c r="Y92" i="1"/>
  <c r="X92" i="1"/>
  <c r="AA91" i="1"/>
  <c r="Z91" i="1"/>
  <c r="Y91" i="1"/>
  <c r="X91" i="1"/>
  <c r="AA90" i="1"/>
  <c r="Z90" i="1"/>
  <c r="Y90" i="1"/>
  <c r="X90" i="1"/>
  <c r="AA89" i="1"/>
  <c r="Z89" i="1"/>
  <c r="Y89" i="1"/>
  <c r="X89" i="1"/>
  <c r="AA88" i="1"/>
  <c r="Z88" i="1"/>
  <c r="Y88" i="1"/>
  <c r="X88" i="1"/>
  <c r="AA87" i="1"/>
  <c r="Z87" i="1"/>
  <c r="Y87" i="1"/>
  <c r="X87" i="1"/>
  <c r="AA86" i="1"/>
  <c r="Z86" i="1"/>
  <c r="Y86" i="1"/>
  <c r="X86" i="1"/>
  <c r="AA85" i="1"/>
  <c r="Z85" i="1"/>
  <c r="Y85" i="1"/>
  <c r="X85" i="1"/>
  <c r="AA84" i="1"/>
  <c r="Z84" i="1"/>
  <c r="Y84" i="1"/>
  <c r="X84" i="1"/>
  <c r="AA83" i="1"/>
  <c r="Z83" i="1"/>
  <c r="Y83" i="1"/>
  <c r="X83" i="1"/>
  <c r="AA82" i="1"/>
  <c r="Z82" i="1"/>
  <c r="Y82" i="1"/>
  <c r="X82" i="1"/>
  <c r="AA81" i="1"/>
  <c r="Z81" i="1"/>
  <c r="Y81" i="1"/>
  <c r="X81" i="1"/>
  <c r="AA80" i="1"/>
  <c r="Z80" i="1"/>
  <c r="Y80" i="1"/>
  <c r="X80" i="1"/>
  <c r="AA79" i="1"/>
  <c r="Z79" i="1"/>
  <c r="Y79" i="1"/>
  <c r="X79" i="1"/>
  <c r="AA78" i="1"/>
  <c r="Z78" i="1"/>
  <c r="Y78" i="1"/>
  <c r="X78" i="1"/>
  <c r="AA77" i="1"/>
  <c r="Z77" i="1"/>
  <c r="Y77" i="1"/>
  <c r="X77" i="1"/>
  <c r="AA76" i="1"/>
  <c r="Z76" i="1"/>
  <c r="Y76" i="1"/>
  <c r="X76" i="1"/>
  <c r="AA75" i="1"/>
  <c r="Z75" i="1"/>
  <c r="Y75" i="1"/>
  <c r="X75" i="1"/>
  <c r="AA74" i="1"/>
  <c r="Z74" i="1"/>
  <c r="Y74" i="1"/>
  <c r="X74" i="1"/>
  <c r="AA73" i="1"/>
  <c r="Z73" i="1"/>
  <c r="Y73" i="1"/>
  <c r="X73" i="1"/>
  <c r="AA72" i="1"/>
  <c r="Z72" i="1"/>
  <c r="Y72" i="1"/>
  <c r="X72" i="1"/>
  <c r="AA71" i="1"/>
  <c r="Z71" i="1"/>
  <c r="Y71" i="1"/>
  <c r="X71" i="1"/>
  <c r="AA70" i="1"/>
  <c r="Z70" i="1"/>
  <c r="Y70" i="1"/>
  <c r="X70" i="1"/>
  <c r="AA69" i="1"/>
  <c r="Z69" i="1"/>
  <c r="Y69" i="1"/>
  <c r="X69" i="1"/>
  <c r="AA68" i="1"/>
  <c r="Z68" i="1"/>
  <c r="Y68" i="1"/>
  <c r="X68" i="1"/>
  <c r="AA67" i="1"/>
  <c r="Z67" i="1"/>
  <c r="Y67" i="1"/>
  <c r="X67" i="1"/>
  <c r="AA66" i="1"/>
  <c r="Z66" i="1"/>
  <c r="Y66" i="1"/>
  <c r="X66" i="1"/>
  <c r="AA65" i="1"/>
  <c r="Z65" i="1"/>
  <c r="Y65" i="1"/>
  <c r="X65" i="1"/>
  <c r="AA64" i="1"/>
  <c r="Z64" i="1"/>
  <c r="Y64" i="1"/>
  <c r="X64" i="1"/>
  <c r="AA63" i="1"/>
  <c r="Z63" i="1"/>
  <c r="Y63" i="1"/>
  <c r="X63" i="1"/>
  <c r="AA62" i="1"/>
  <c r="Z62" i="1"/>
  <c r="Y62" i="1"/>
  <c r="X62" i="1"/>
  <c r="AA61" i="1"/>
  <c r="Z61" i="1"/>
  <c r="Y61" i="1"/>
  <c r="X61" i="1"/>
  <c r="AA60" i="1"/>
  <c r="Z60" i="1"/>
  <c r="Y60" i="1"/>
  <c r="X60" i="1"/>
  <c r="AA59" i="1"/>
  <c r="Z59" i="1"/>
  <c r="Y59" i="1"/>
  <c r="X59" i="1"/>
  <c r="AA58" i="1"/>
  <c r="Z58" i="1"/>
  <c r="Y58" i="1"/>
  <c r="X58" i="1"/>
  <c r="AA57" i="1"/>
  <c r="Z57" i="1"/>
  <c r="Y57" i="1"/>
  <c r="X57" i="1"/>
  <c r="AA56" i="1"/>
  <c r="Z56" i="1"/>
  <c r="Y56" i="1"/>
  <c r="X56" i="1"/>
  <c r="AA55" i="1"/>
  <c r="Z55" i="1"/>
  <c r="Y55" i="1"/>
  <c r="X55" i="1"/>
  <c r="AA54" i="1"/>
  <c r="Z54" i="1"/>
  <c r="Y54" i="1"/>
  <c r="X54" i="1"/>
  <c r="AA53" i="1"/>
  <c r="Z53" i="1"/>
  <c r="Y53" i="1"/>
  <c r="X53" i="1"/>
  <c r="AA52" i="1"/>
  <c r="Z52" i="1"/>
  <c r="Y52" i="1"/>
  <c r="X52" i="1"/>
  <c r="AA51" i="1"/>
  <c r="Z51" i="1"/>
  <c r="Y51" i="1"/>
  <c r="X51" i="1"/>
  <c r="AA50" i="1"/>
  <c r="Z50" i="1"/>
  <c r="Y50" i="1"/>
  <c r="X50" i="1"/>
  <c r="AA49" i="1"/>
  <c r="Z49" i="1"/>
  <c r="Y49" i="1"/>
  <c r="X49" i="1"/>
  <c r="AA48" i="1"/>
  <c r="Z48" i="1"/>
  <c r="Y48" i="1"/>
  <c r="X48" i="1"/>
  <c r="AA47" i="1"/>
  <c r="Z47" i="1"/>
  <c r="Y47" i="1"/>
  <c r="X47" i="1"/>
  <c r="AA46" i="1"/>
  <c r="Z46" i="1"/>
  <c r="Y46" i="1"/>
  <c r="X46" i="1"/>
  <c r="AA45" i="1"/>
  <c r="Z45" i="1"/>
  <c r="Y45" i="1"/>
  <c r="X45" i="1"/>
  <c r="AA44" i="1"/>
  <c r="Z44" i="1"/>
  <c r="Y44" i="1"/>
  <c r="X44" i="1"/>
  <c r="AA43" i="1"/>
  <c r="Z43" i="1"/>
  <c r="Y43" i="1"/>
  <c r="X43" i="1"/>
  <c r="AA42" i="1"/>
  <c r="Z42" i="1"/>
  <c r="Y42" i="1"/>
  <c r="X42" i="1"/>
  <c r="AA41" i="1"/>
  <c r="Z41" i="1"/>
  <c r="Y41" i="1"/>
  <c r="X41" i="1"/>
  <c r="AA40" i="1"/>
  <c r="Z40" i="1"/>
  <c r="Y40" i="1"/>
  <c r="X40" i="1"/>
  <c r="AA39" i="1"/>
  <c r="Z39" i="1"/>
  <c r="Y39" i="1"/>
  <c r="X39" i="1"/>
  <c r="AA38" i="1"/>
  <c r="Z38" i="1"/>
  <c r="Y38" i="1"/>
  <c r="X38" i="1"/>
  <c r="AA37" i="1"/>
  <c r="Z37" i="1"/>
  <c r="Y37" i="1"/>
  <c r="X37" i="1"/>
  <c r="AA36" i="1"/>
  <c r="Z36" i="1"/>
  <c r="Y36" i="1"/>
  <c r="X36" i="1"/>
  <c r="AA35" i="1"/>
  <c r="Z35" i="1"/>
  <c r="Y35" i="1"/>
  <c r="X35" i="1"/>
  <c r="AA34" i="1"/>
  <c r="Z34" i="1"/>
  <c r="Y34" i="1"/>
  <c r="X34" i="1"/>
  <c r="AA33" i="1"/>
  <c r="Z33" i="1"/>
  <c r="Y33" i="1"/>
  <c r="X33" i="1"/>
  <c r="AA32" i="1"/>
  <c r="Z32" i="1"/>
  <c r="Y32" i="1"/>
  <c r="X32" i="1"/>
  <c r="AA31" i="1"/>
  <c r="Z31" i="1"/>
  <c r="Y31" i="1"/>
  <c r="X31" i="1"/>
  <c r="AA30" i="1"/>
  <c r="Z30" i="1"/>
  <c r="Y30" i="1"/>
  <c r="X30" i="1"/>
  <c r="AA29" i="1"/>
  <c r="Z29" i="1"/>
  <c r="Y29" i="1"/>
  <c r="X29" i="1"/>
  <c r="AA28" i="1"/>
  <c r="Z28" i="1"/>
  <c r="Y28" i="1"/>
  <c r="X28" i="1"/>
  <c r="AA27" i="1"/>
  <c r="Z27" i="1"/>
  <c r="Y27" i="1"/>
  <c r="X27" i="1"/>
  <c r="AA26" i="1"/>
  <c r="Z26" i="1"/>
  <c r="Y26" i="1"/>
  <c r="X26" i="1"/>
  <c r="AA25" i="1"/>
  <c r="Z25" i="1"/>
  <c r="Y25" i="1"/>
  <c r="X25" i="1"/>
  <c r="AA24" i="1"/>
  <c r="Z24" i="1"/>
  <c r="Y24" i="1"/>
  <c r="X24" i="1"/>
  <c r="AA23" i="1"/>
  <c r="Z23" i="1"/>
  <c r="Y23" i="1"/>
  <c r="X23" i="1"/>
  <c r="AA22" i="1"/>
  <c r="Z22" i="1"/>
  <c r="Y22" i="1"/>
  <c r="X22" i="1"/>
  <c r="AA21" i="1"/>
  <c r="Z21" i="1"/>
  <c r="Y21" i="1"/>
  <c r="X21" i="1"/>
  <c r="AA20" i="1"/>
  <c r="Z20" i="1"/>
  <c r="Y20" i="1"/>
  <c r="X20" i="1"/>
  <c r="AA19" i="1"/>
  <c r="Z19" i="1"/>
  <c r="Y19" i="1"/>
  <c r="X19" i="1"/>
  <c r="AA18" i="1"/>
  <c r="Z18" i="1"/>
  <c r="Y18" i="1"/>
  <c r="X18" i="1"/>
  <c r="AA17" i="1"/>
  <c r="Z17" i="1"/>
  <c r="Y17" i="1"/>
  <c r="X17" i="1"/>
  <c r="AA16" i="1"/>
  <c r="Z16" i="1"/>
  <c r="Y16" i="1"/>
  <c r="X16" i="1"/>
  <c r="AA15" i="1"/>
  <c r="Z15" i="1"/>
  <c r="Y15" i="1"/>
  <c r="X15" i="1"/>
  <c r="AA14" i="1"/>
  <c r="Z14" i="1"/>
  <c r="Y14" i="1"/>
  <c r="X14" i="1"/>
  <c r="AA13" i="1"/>
  <c r="Z13" i="1"/>
  <c r="Y13" i="1"/>
  <c r="X13" i="1"/>
  <c r="AA12" i="1"/>
  <c r="Z12" i="1"/>
  <c r="Y12" i="1"/>
  <c r="X12" i="1"/>
  <c r="AA11" i="1"/>
  <c r="Z11" i="1"/>
  <c r="Y11" i="1"/>
  <c r="X11" i="1"/>
  <c r="AA10" i="1"/>
  <c r="Z10" i="1"/>
  <c r="Y10" i="1"/>
  <c r="X10" i="1"/>
  <c r="AA9" i="1"/>
  <c r="Z9" i="1"/>
  <c r="Y9" i="1"/>
  <c r="X9" i="1"/>
  <c r="AA8" i="1"/>
  <c r="Z8" i="1"/>
  <c r="Y8" i="1"/>
  <c r="X8" i="1"/>
  <c r="AA7" i="1"/>
  <c r="Z7" i="1"/>
  <c r="Y7" i="1"/>
  <c r="X7" i="1"/>
  <c r="AA6" i="1"/>
  <c r="Z6" i="1"/>
  <c r="Y6" i="1"/>
  <c r="X6" i="1"/>
  <c r="AA5" i="1"/>
  <c r="Z5" i="1"/>
  <c r="Y5" i="1"/>
  <c r="X5" i="1"/>
  <c r="AA4" i="1"/>
  <c r="Z4" i="1"/>
  <c r="Y4" i="1"/>
  <c r="X4" i="1"/>
  <c r="AA3" i="1"/>
  <c r="Z3" i="1"/>
  <c r="Y3" i="1"/>
  <c r="X3" i="1"/>
  <c r="AA2" i="1"/>
  <c r="Z2" i="1"/>
  <c r="Y2" i="1"/>
  <c r="X2" i="1"/>
</calcChain>
</file>

<file path=xl/sharedStrings.xml><?xml version="1.0" encoding="utf-8"?>
<sst xmlns="http://schemas.openxmlformats.org/spreadsheetml/2006/main" count="11547" uniqueCount="645">
  <si>
    <t>Sucursal</t>
  </si>
  <si>
    <t>Fecha</t>
  </si>
  <si>
    <t>NumeroPedido</t>
  </si>
  <si>
    <t>SeriePedido</t>
  </si>
  <si>
    <t>ClienteCod</t>
  </si>
  <si>
    <t>ClienteNombre</t>
  </si>
  <si>
    <t>CategoriaCliente</t>
  </si>
  <si>
    <t>GrupoVenta</t>
  </si>
  <si>
    <t>Zona</t>
  </si>
  <si>
    <t>VendedorCodigo</t>
  </si>
  <si>
    <t>VendedorNombre</t>
  </si>
  <si>
    <t>EstadoFacturacion</t>
  </si>
  <si>
    <t>ProductoCod</t>
  </si>
  <si>
    <t>Producto</t>
  </si>
  <si>
    <t>Unidad</t>
  </si>
  <si>
    <t>Cantidad</t>
  </si>
  <si>
    <t>Total</t>
  </si>
  <si>
    <t>Bonificacion</t>
  </si>
  <si>
    <t>EstadoAprobacion</t>
  </si>
  <si>
    <t>ProveedorCod</t>
  </si>
  <si>
    <t>Proveedor</t>
  </si>
  <si>
    <t>ClaseN4</t>
  </si>
  <si>
    <t>ClaseN3</t>
  </si>
  <si>
    <t>ClaseN2</t>
  </si>
  <si>
    <t>CORA CORA</t>
  </si>
  <si>
    <t>PB03</t>
  </si>
  <si>
    <t>OFICIAL</t>
  </si>
  <si>
    <t>GRUPO DE VENTA PAMPA</t>
  </si>
  <si>
    <t xml:space="preserve">VB01                          </t>
  </si>
  <si>
    <t xml:space="preserve">VENDEDOR BEES, NOBLE                                                                                </t>
  </si>
  <si>
    <t>PENDIENTE</t>
  </si>
  <si>
    <t xml:space="preserve">6843                </t>
  </si>
  <si>
    <t>CUSQUEÑA TRIGO 620ML RT 12CP - TELAR</t>
  </si>
  <si>
    <t>Cjx12</t>
  </si>
  <si>
    <t/>
  </si>
  <si>
    <t>APROBADO</t>
  </si>
  <si>
    <t xml:space="preserve">20100113610                   </t>
  </si>
  <si>
    <t xml:space="preserve">UNION DE CERVECERIAS PERUANAS BACKUS Y JOHNSTON S.A.A.                                              </t>
  </si>
  <si>
    <t xml:space="preserve">CERVEZA                                           </t>
  </si>
  <si>
    <t xml:space="preserve">MERCADERIA                                        </t>
  </si>
  <si>
    <t>PUQUIO</t>
  </si>
  <si>
    <t>PB02</t>
  </si>
  <si>
    <t>PAMPA-CANGALLO</t>
  </si>
  <si>
    <t>PB01</t>
  </si>
  <si>
    <t>VILCASHUAMAN</t>
  </si>
  <si>
    <t>PEVTVH01</t>
  </si>
  <si>
    <t>GRUPO DE VENTA VILCASHUAMAN</t>
  </si>
  <si>
    <t xml:space="preserve">44753139                      </t>
  </si>
  <si>
    <t xml:space="preserve">MENDOZA GUTIERREZ, WILMER                                                                           </t>
  </si>
  <si>
    <t xml:space="preserve">2821                </t>
  </si>
  <si>
    <t>PILSEN CALLAO 630ML RT 12 CP</t>
  </si>
  <si>
    <t>CABANA</t>
  </si>
  <si>
    <t>PB04</t>
  </si>
  <si>
    <t xml:space="preserve">CHAVI                                   </t>
  </si>
  <si>
    <t xml:space="preserve">70333005                      </t>
  </si>
  <si>
    <t xml:space="preserve">MEDINA LOPEZ, KAREN LIDIA                                                                           </t>
  </si>
  <si>
    <t xml:space="preserve">42937854                      </t>
  </si>
  <si>
    <t xml:space="preserve">CARDENAS LOPEZ, NEXAR HOBER                                                                         </t>
  </si>
  <si>
    <t>PB05</t>
  </si>
  <si>
    <t xml:space="preserve">4411                </t>
  </si>
  <si>
    <t>PILSEN CALLAO 355ML AL 6PX1</t>
  </si>
  <si>
    <t>Pqx6</t>
  </si>
  <si>
    <t xml:space="preserve">28815306                      </t>
  </si>
  <si>
    <t xml:space="preserve">MEDINA ROJAS, HAYDEE YSIDORA                                                                        </t>
  </si>
  <si>
    <t xml:space="preserve">CHAVI2                                  </t>
  </si>
  <si>
    <t xml:space="preserve">HCSO2                                   </t>
  </si>
  <si>
    <t xml:space="preserve">2960                </t>
  </si>
  <si>
    <t>VIVA BACKUS 3010ML PET4X1</t>
  </si>
  <si>
    <t>Pqx4</t>
  </si>
  <si>
    <t xml:space="preserve">GASEOSA                                           </t>
  </si>
  <si>
    <t xml:space="preserve">29103032                      </t>
  </si>
  <si>
    <t xml:space="preserve">CAMANA HIYO, EDMA GUADALUPE                                                                         </t>
  </si>
  <si>
    <t xml:space="preserve">HCSO1                                   </t>
  </si>
  <si>
    <t xml:space="preserve">1564                </t>
  </si>
  <si>
    <t>CRISTAL 650ML RT 12 CP</t>
  </si>
  <si>
    <t xml:space="preserve">28815399                      </t>
  </si>
  <si>
    <t xml:space="preserve">POMA ROJAS, MIGDONIA VICTORIA                                                                       </t>
  </si>
  <si>
    <t>SI</t>
  </si>
  <si>
    <t xml:space="preserve">28814713                      </t>
  </si>
  <si>
    <t xml:space="preserve">OBREGON DE BARRAZA, JULIA                                                                           </t>
  </si>
  <si>
    <t xml:space="preserve">6842                </t>
  </si>
  <si>
    <t>CUSQUEÑA MALTA 620ML RT 12 CP - TELAR</t>
  </si>
  <si>
    <t xml:space="preserve">21637               </t>
  </si>
  <si>
    <t>Chocman Chocolate 33.5gr 12x1</t>
  </si>
  <si>
    <t>Pqx12</t>
  </si>
  <si>
    <t xml:space="preserve">MARKET PLACE                                      </t>
  </si>
  <si>
    <t xml:space="preserve">10214393676                   </t>
  </si>
  <si>
    <t xml:space="preserve">RIVERA ONTIVEROS, SERGIO SILVESTRE                                                                  </t>
  </si>
  <si>
    <t xml:space="preserve">10291023229                   </t>
  </si>
  <si>
    <t xml:space="preserve">YARCURI HUAMANI, EPIFANIA                                                                           </t>
  </si>
  <si>
    <t xml:space="preserve">9524                </t>
  </si>
  <si>
    <t>CUSQUEÑA MALTA 355ML AL 6X1</t>
  </si>
  <si>
    <t xml:space="preserve">21533               </t>
  </si>
  <si>
    <t>Mikes Fresa 355ml - Pack (6 latas)</t>
  </si>
  <si>
    <t xml:space="preserve">29103774                      </t>
  </si>
  <si>
    <t xml:space="preserve">AUCCACI ROJAS, REYNA DINA                                                                           </t>
  </si>
  <si>
    <t xml:space="preserve">21033               </t>
  </si>
  <si>
    <t>Pilsen Callao 473ml 6x1 Verano</t>
  </si>
  <si>
    <t xml:space="preserve">22786               </t>
  </si>
  <si>
    <t>PO Oreo Rollo Galleta 108gr 5x1</t>
  </si>
  <si>
    <t>Pqx5</t>
  </si>
  <si>
    <t xml:space="preserve">14663               </t>
  </si>
  <si>
    <t>Pilsen Callao 1L RT 12x1</t>
  </si>
  <si>
    <t xml:space="preserve">22787               </t>
  </si>
  <si>
    <t>PO Ritz Taco 70g 4x1</t>
  </si>
  <si>
    <t xml:space="preserve">11112               </t>
  </si>
  <si>
    <t>GUARANA 3010ML PET 4X1 RA</t>
  </si>
  <si>
    <t xml:space="preserve">9523                </t>
  </si>
  <si>
    <t>CUSQUEÑA TRIGO 355ML AL 6X1</t>
  </si>
  <si>
    <t xml:space="preserve">22971               </t>
  </si>
  <si>
    <t>PILSEN CALLAO FRESH 473ML AL 6P</t>
  </si>
  <si>
    <t xml:space="preserve">20750               </t>
  </si>
  <si>
    <t>MIKES HARD LEMONADE 355ML SLK 6P</t>
  </si>
  <si>
    <t xml:space="preserve">14203               </t>
  </si>
  <si>
    <t>CRISTALINA 500ML 15X1</t>
  </si>
  <si>
    <t>Pqx15</t>
  </si>
  <si>
    <t xml:space="preserve">AGUA                                              </t>
  </si>
  <si>
    <t xml:space="preserve">22602               </t>
  </si>
  <si>
    <t>GUARANA PIÑA 300ML PET 15X1 RA</t>
  </si>
  <si>
    <t xml:space="preserve">40735851                      </t>
  </si>
  <si>
    <t xml:space="preserve">GARCIA YARCURI, CORINA                                                                              </t>
  </si>
  <si>
    <t xml:space="preserve">10805156398                   </t>
  </si>
  <si>
    <t xml:space="preserve">CALDERON ALANYA, VILMA                                                                              </t>
  </si>
  <si>
    <t xml:space="preserve">HCSO2-Q1                                </t>
  </si>
  <si>
    <t xml:space="preserve">45458697                      </t>
  </si>
  <si>
    <t xml:space="preserve">HERRERA MISAICO, SUSAN BELISA                                                                       </t>
  </si>
  <si>
    <t xml:space="preserve">22196               </t>
  </si>
  <si>
    <t>CUSQUEÑA NEGRA 473ML AL 6P</t>
  </si>
  <si>
    <t xml:space="preserve">22647               </t>
  </si>
  <si>
    <t>GUARANA 300ML PET 15X1 PRECIO</t>
  </si>
  <si>
    <t xml:space="preserve">47696246                      </t>
  </si>
  <si>
    <t xml:space="preserve">JIMENEZ VELASQUEZ, MILUSCA MARUJA                                                                   </t>
  </si>
  <si>
    <t xml:space="preserve">PUQ2                                    </t>
  </si>
  <si>
    <t xml:space="preserve">40736351                      </t>
  </si>
  <si>
    <t xml:space="preserve">PAUCCA  TOMAYRO , RAQUEL  GIOVANA                                                                   </t>
  </si>
  <si>
    <t xml:space="preserve">20834               </t>
  </si>
  <si>
    <t>Cusqueña Trigo 473 CAN</t>
  </si>
  <si>
    <t xml:space="preserve">4407                </t>
  </si>
  <si>
    <t>CRISTAL 355ML AL 6Px1</t>
  </si>
  <si>
    <t xml:space="preserve">40046323                      </t>
  </si>
  <si>
    <t xml:space="preserve">CORDOVA  NIETO , YOLANDA                                                                            </t>
  </si>
  <si>
    <t xml:space="preserve">23335               </t>
  </si>
  <si>
    <t>GUARANA FRESA 300ML 15X1</t>
  </si>
  <si>
    <t xml:space="preserve">18167               </t>
  </si>
  <si>
    <t>Piscano  Surtido 6x1 275ml</t>
  </si>
  <si>
    <t xml:space="preserve">22628               </t>
  </si>
  <si>
    <t>GUARANA PIÑA 3010ML PET 4P</t>
  </si>
  <si>
    <t xml:space="preserve">20412               </t>
  </si>
  <si>
    <t>Corona 330ml NR 6Px4</t>
  </si>
  <si>
    <t xml:space="preserve">10077477930                   </t>
  </si>
  <si>
    <t xml:space="preserve">CHUMBILE MEZA, RUBEN EPIFANIO                                                                       </t>
  </si>
  <si>
    <t xml:space="preserve">46536610                      </t>
  </si>
  <si>
    <t xml:space="preserve">CHECCNES MENDOZA, NELIDA                                                                            </t>
  </si>
  <si>
    <t xml:space="preserve">15508               </t>
  </si>
  <si>
    <t>Vino Rosé Queirolo 750ml 1x1</t>
  </si>
  <si>
    <t>Und</t>
  </si>
  <si>
    <t xml:space="preserve">8977                </t>
  </si>
  <si>
    <t>CRISTAL 1000ML RT 12 CP-HUACHIPA</t>
  </si>
  <si>
    <t xml:space="preserve">22382               </t>
  </si>
  <si>
    <t>Banco Publix 3C Pilsen 1x1</t>
  </si>
  <si>
    <t xml:space="preserve">16172               </t>
  </si>
  <si>
    <t>Halls Extra Fuerte 25gr 12X1</t>
  </si>
  <si>
    <t xml:space="preserve">23259               </t>
  </si>
  <si>
    <t>CUSQUEÑA DORADA 473ML AL 6P NI25</t>
  </si>
  <si>
    <t xml:space="preserve">23380               </t>
  </si>
  <si>
    <t>MIKES HARD MANGO HOT 355ML SLK 6P</t>
  </si>
  <si>
    <t xml:space="preserve">15287               </t>
  </si>
  <si>
    <t>Cartavio Hit Mojito 355ML 1X1</t>
  </si>
  <si>
    <t xml:space="preserve">23089               </t>
  </si>
  <si>
    <t>CORONA EXTRA 473ML AL 6P</t>
  </si>
  <si>
    <t xml:space="preserve">21266               </t>
  </si>
  <si>
    <t>Mikes Maracuya 355ML 6x1</t>
  </si>
  <si>
    <t xml:space="preserve">11115               </t>
  </si>
  <si>
    <t>GUARANA 2000ML PET 6X1 RA</t>
  </si>
  <si>
    <t xml:space="preserve">21535890                      </t>
  </si>
  <si>
    <t xml:space="preserve">AUCCASI LOPEZ, MARCELINA                                                                            </t>
  </si>
  <si>
    <t xml:space="preserve">43074545                      </t>
  </si>
  <si>
    <t xml:space="preserve">HUAMANCULI CAMANA, NINFA DORIS                                                                      </t>
  </si>
  <si>
    <t xml:space="preserve">06789292                      </t>
  </si>
  <si>
    <t xml:space="preserve">PALOMINO ALCA, NICEFORA                                                                             </t>
  </si>
  <si>
    <t xml:space="preserve">HCSO3                                   </t>
  </si>
  <si>
    <t xml:space="preserve">21592               </t>
  </si>
  <si>
    <t>Budweiser 355 ml 6x1</t>
  </si>
  <si>
    <t xml:space="preserve">17202               </t>
  </si>
  <si>
    <t>Ron Cartavio Blanco 750ml 1x1</t>
  </si>
  <si>
    <t xml:space="preserve">15305               </t>
  </si>
  <si>
    <t>Ron Cartavio Blanco 250ml 1x1</t>
  </si>
  <si>
    <t xml:space="preserve">22576               </t>
  </si>
  <si>
    <t>CUSQUEÑA CERO TRIGO SLEEK 355ML 6P</t>
  </si>
  <si>
    <t xml:space="preserve">13113               </t>
  </si>
  <si>
    <t>GOLDEN 473ML LATA AL 6X1</t>
  </si>
  <si>
    <t xml:space="preserve">21863               </t>
  </si>
  <si>
    <t>Mikes Arandanos 355ML AL 6P</t>
  </si>
  <si>
    <t xml:space="preserve">20526               </t>
  </si>
  <si>
    <t>Nescafe Tradicion 7gr 18x1</t>
  </si>
  <si>
    <t>PqX18</t>
  </si>
  <si>
    <t xml:space="preserve">29101813                      </t>
  </si>
  <si>
    <t xml:space="preserve">AGUILAR DE LA CRUZ, DENIS                                                                           </t>
  </si>
  <si>
    <t xml:space="preserve">14581               </t>
  </si>
  <si>
    <t>CRISTAL 650ML RT 12 HUACHIPA</t>
  </si>
  <si>
    <t xml:space="preserve">15969               </t>
  </si>
  <si>
    <t>CUSQUEÑA MALTA TERMO 310ML NR 6X1</t>
  </si>
  <si>
    <t xml:space="preserve">7497                </t>
  </si>
  <si>
    <t>CUSQUEÑA TRIGO 620ML RT 12CP - SJ</t>
  </si>
  <si>
    <t xml:space="preserve">16174               </t>
  </si>
  <si>
    <t>Halls Menthol 25GR 12X1</t>
  </si>
  <si>
    <t xml:space="preserve">15286               </t>
  </si>
  <si>
    <t>BO Russkaya Wild Passion Fruit 355ml 3X1</t>
  </si>
  <si>
    <t>Pqx3</t>
  </si>
  <si>
    <t xml:space="preserve">4409                </t>
  </si>
  <si>
    <t>CRISTAL 473ML AL 6Px1</t>
  </si>
  <si>
    <t xml:space="preserve">15281               </t>
  </si>
  <si>
    <t>Ron Cartavio Black 750ml 1x1</t>
  </si>
  <si>
    <t xml:space="preserve">23384               </t>
  </si>
  <si>
    <t>PILSEN CALLAO FRESH 473ML AL 6P N</t>
  </si>
  <si>
    <t xml:space="preserve">22654               </t>
  </si>
  <si>
    <t>MIKES APPLE 355ML AL 6P</t>
  </si>
  <si>
    <t xml:space="preserve">22740               </t>
  </si>
  <si>
    <t>Flying Fish 355ml AL 6P</t>
  </si>
  <si>
    <t xml:space="preserve">22970               </t>
  </si>
  <si>
    <t>PILSEN CALLAO FRESH 355ML AL 6P</t>
  </si>
  <si>
    <t xml:space="preserve">11116               </t>
  </si>
  <si>
    <t>GUARANA 1000ML PET 6X1 RA</t>
  </si>
  <si>
    <t xml:space="preserve">16632               </t>
  </si>
  <si>
    <t>Russkaya Fresh Apple 355 ml 1x1</t>
  </si>
  <si>
    <t xml:space="preserve">15506               </t>
  </si>
  <si>
    <t>Vino Borgoña Queirolo 750ml 1x1</t>
  </si>
  <si>
    <t xml:space="preserve">21589               </t>
  </si>
  <si>
    <t>CORONA CERO 355ML 6X1 H</t>
  </si>
  <si>
    <t>CJS EQ</t>
  </si>
  <si>
    <t>PLATAFORMA</t>
  </si>
  <si>
    <t>BDR</t>
  </si>
  <si>
    <t>PB02-00046980</t>
  </si>
  <si>
    <t xml:space="preserve">09670616                      </t>
  </si>
  <si>
    <t xml:space="preserve">RIMACHE LAUPA, HIPOLITO                                                                             </t>
  </si>
  <si>
    <t>PB04-00010538</t>
  </si>
  <si>
    <t xml:space="preserve">28818710                      </t>
  </si>
  <si>
    <t xml:space="preserve">TITO  CONDORI , AGRIPINA                                                                            </t>
  </si>
  <si>
    <t xml:space="preserve">ANDCHIMA                                </t>
  </si>
  <si>
    <t>PB04-00010539</t>
  </si>
  <si>
    <t xml:space="preserve">70869235                      </t>
  </si>
  <si>
    <t xml:space="preserve">CUARESMA MIRANDA, DEMETRIA                                                                          </t>
  </si>
  <si>
    <t>PB03-00035678</t>
  </si>
  <si>
    <t xml:space="preserve">28994800                      </t>
  </si>
  <si>
    <t xml:space="preserve">LOPEZ POZO, CARMEN NIEVES                                                                           </t>
  </si>
  <si>
    <t>PB03-00035672</t>
  </si>
  <si>
    <t xml:space="preserve">70688633                      </t>
  </si>
  <si>
    <t xml:space="preserve">BALDEON CHIARA, ROXANA                                                                              </t>
  </si>
  <si>
    <t>PB03-00035674</t>
  </si>
  <si>
    <t xml:space="preserve">42937855                      </t>
  </si>
  <si>
    <t xml:space="preserve">VILLA MENDIVIL, JOEL SIXTO                                                                          </t>
  </si>
  <si>
    <t>PB02-00046989</t>
  </si>
  <si>
    <t xml:space="preserve">28802270                      </t>
  </si>
  <si>
    <t xml:space="preserve">FLORES CHAVEZ, NICOLASA ASELA                                                                       </t>
  </si>
  <si>
    <t>PB01-00074568</t>
  </si>
  <si>
    <t xml:space="preserve">28228676                      </t>
  </si>
  <si>
    <t xml:space="preserve">AVALOS PALOMINO, EPIFANIA                                                                           </t>
  </si>
  <si>
    <t>PB01-00074580</t>
  </si>
  <si>
    <t xml:space="preserve">29102379                      </t>
  </si>
  <si>
    <t xml:space="preserve">VILCHEZ CISNEROS, YONE                                                                              </t>
  </si>
  <si>
    <t>PB04-00010520</t>
  </si>
  <si>
    <t xml:space="preserve">28818685                      </t>
  </si>
  <si>
    <t xml:space="preserve">SULLCA QUISPE, CARMEN ROSA                                                                          </t>
  </si>
  <si>
    <t>PB01-00074592</t>
  </si>
  <si>
    <t>PB01-00074605</t>
  </si>
  <si>
    <t xml:space="preserve">42621551                      </t>
  </si>
  <si>
    <t xml:space="preserve">MENDEZ  FLORES, TEREZA                                                                              </t>
  </si>
  <si>
    <t xml:space="preserve">TACA                                    </t>
  </si>
  <si>
    <t>PB01-00074566</t>
  </si>
  <si>
    <t>PB02-00046962</t>
  </si>
  <si>
    <t xml:space="preserve">28807074                      </t>
  </si>
  <si>
    <t xml:space="preserve">PILLACA  GARRIAZO , LOURDES                                                                         </t>
  </si>
  <si>
    <t>PB01-00074624</t>
  </si>
  <si>
    <t xml:space="preserve">70195865                      </t>
  </si>
  <si>
    <t xml:space="preserve">CAYAMPI CHOQUEHUANCA, FLOR MARIA                                                                    </t>
  </si>
  <si>
    <t>PB01-00074569</t>
  </si>
  <si>
    <t>PB01-00074575</t>
  </si>
  <si>
    <t xml:space="preserve">10215518031                   </t>
  </si>
  <si>
    <t xml:space="preserve">CHUMBILE MEZA, ANA MARIA                                                                            </t>
  </si>
  <si>
    <t>PB02-00046976</t>
  </si>
  <si>
    <t>PB01-00074614</t>
  </si>
  <si>
    <t xml:space="preserve">71493635                      </t>
  </si>
  <si>
    <t xml:space="preserve">TUCTA ORE, ROXANA                                                                                   </t>
  </si>
  <si>
    <t>PB01-00074583</t>
  </si>
  <si>
    <t xml:space="preserve">80092846                      </t>
  </si>
  <si>
    <t xml:space="preserve">ALCA BERROCAL, SONIA                                                                                </t>
  </si>
  <si>
    <t>PB01-00074606</t>
  </si>
  <si>
    <t xml:space="preserve">45084787                      </t>
  </si>
  <si>
    <t xml:space="preserve">PARIAN JULIAN, LOURDES                                                                              </t>
  </si>
  <si>
    <t>PB02-00046977</t>
  </si>
  <si>
    <t>PB01-00074611</t>
  </si>
  <si>
    <t>PB04-00010531</t>
  </si>
  <si>
    <t xml:space="preserve">28812777                      </t>
  </si>
  <si>
    <t xml:space="preserve">FLORES  HUAMANI , PRIMITIVA                                                                         </t>
  </si>
  <si>
    <t>PB05-00015475</t>
  </si>
  <si>
    <t xml:space="preserve">70456020                      </t>
  </si>
  <si>
    <t xml:space="preserve">SULCA LINARES, EFRAÍN RICHARD                                                                       </t>
  </si>
  <si>
    <t xml:space="preserve">VLCSH4                                  </t>
  </si>
  <si>
    <t>PB02-00046967</t>
  </si>
  <si>
    <t xml:space="preserve">28850043                      </t>
  </si>
  <si>
    <t xml:space="preserve">ROJAS  FLORES , LUCIA  ANTONIA                                                                      </t>
  </si>
  <si>
    <t>PB02-00046963</t>
  </si>
  <si>
    <t xml:space="preserve">28850008                      </t>
  </si>
  <si>
    <t xml:space="preserve">ESPILCO  QUISPE , RICARDO                                                                           </t>
  </si>
  <si>
    <t>PB01-00074607</t>
  </si>
  <si>
    <t xml:space="preserve">08395671                      </t>
  </si>
  <si>
    <t xml:space="preserve">HUANCAHUARI POMA, ALBERTO WILFREDO                                                                  </t>
  </si>
  <si>
    <t>PB01-00074618</t>
  </si>
  <si>
    <t>PB03-00035660</t>
  </si>
  <si>
    <t>PB02-00046965</t>
  </si>
  <si>
    <t xml:space="preserve">28806473                      </t>
  </si>
  <si>
    <t xml:space="preserve">GALINDO VELASQUEZ, ESPERANZA SOFIA                                                                  </t>
  </si>
  <si>
    <t>PB04-00010521</t>
  </si>
  <si>
    <t xml:space="preserve">10609809                      </t>
  </si>
  <si>
    <t xml:space="preserve">CABALLA  HUARCAYA , DELIA  CLEOFE                                                                   </t>
  </si>
  <si>
    <t>PB03-00035671</t>
  </si>
  <si>
    <t>PB02-00046982</t>
  </si>
  <si>
    <t xml:space="preserve">30482049                      </t>
  </si>
  <si>
    <t xml:space="preserve">FERNANDEZ CUENCA DE CRUZ, MARINA                                                                    </t>
  </si>
  <si>
    <t>PB01-00074613</t>
  </si>
  <si>
    <t xml:space="preserve">22288977                      </t>
  </si>
  <si>
    <t xml:space="preserve">ORE QUISPE, MARINA                                                                                  </t>
  </si>
  <si>
    <t xml:space="preserve">TACA-Q1                                 </t>
  </si>
  <si>
    <t>PB01-00074617</t>
  </si>
  <si>
    <t xml:space="preserve">70173338                      </t>
  </si>
  <si>
    <t xml:space="preserve">CHUMBILE PIZARRO, JAQUELINE JENNY                                                                   </t>
  </si>
  <si>
    <t>PB04-00010540</t>
  </si>
  <si>
    <t xml:space="preserve">28854684                      </t>
  </si>
  <si>
    <t xml:space="preserve">ATIQUIPA  QUISPE , ILDA                                                                             </t>
  </si>
  <si>
    <t xml:space="preserve">ANDCHIMA-Q1                             </t>
  </si>
  <si>
    <t>PB02-00046979</t>
  </si>
  <si>
    <t xml:space="preserve">28801182                      </t>
  </si>
  <si>
    <t xml:space="preserve">ALEGRIA  LEON , MARTHA  MARINA                                                                      </t>
  </si>
  <si>
    <t>PB05-00015472</t>
  </si>
  <si>
    <t xml:space="preserve">28469163                      </t>
  </si>
  <si>
    <t xml:space="preserve">ANDRADE SULCA, ELODIA                                                                               </t>
  </si>
  <si>
    <t>PEVH01-00012272</t>
  </si>
  <si>
    <t xml:space="preserve">40505624                      </t>
  </si>
  <si>
    <t xml:space="preserve">RIVERA TORRES, YOLANDA                                                                              </t>
  </si>
  <si>
    <t>PB03-00035664</t>
  </si>
  <si>
    <t xml:space="preserve">70334653                      </t>
  </si>
  <si>
    <t xml:space="preserve">CCACCACHAHUA TAYPE, ANA NOLBERTA                                                                    </t>
  </si>
  <si>
    <t>PB01-00074594</t>
  </si>
  <si>
    <t xml:space="preserve">40216528                      </t>
  </si>
  <si>
    <t xml:space="preserve">MACHAHUA CAMANA, MARIA ELENA                                                                        </t>
  </si>
  <si>
    <t>PB02-00046991</t>
  </si>
  <si>
    <t xml:space="preserve">70758902                      </t>
  </si>
  <si>
    <t xml:space="preserve">PILLACA CCOYLLO, JHON CARLOS                                                                        </t>
  </si>
  <si>
    <t>PB01-00074615</t>
  </si>
  <si>
    <t xml:space="preserve">75472496                      </t>
  </si>
  <si>
    <t xml:space="preserve">ACHAMIZO GALINDO, CLOTILDE MARYBELL                                                                 </t>
  </si>
  <si>
    <t xml:space="preserve">HCSO2-Q2                                </t>
  </si>
  <si>
    <t>PB01-00074621</t>
  </si>
  <si>
    <t xml:space="preserve">21528700                      </t>
  </si>
  <si>
    <t xml:space="preserve">ANDRES QUISPE, NILO RIVERNOODD                                                                      </t>
  </si>
  <si>
    <t>PB05-00015470</t>
  </si>
  <si>
    <t xml:space="preserve">45747318                      </t>
  </si>
  <si>
    <t xml:space="preserve">HUAMANI  BUITRON, SAYDA                                                                             </t>
  </si>
  <si>
    <t>PB01-00074574</t>
  </si>
  <si>
    <t xml:space="preserve">29102418                      </t>
  </si>
  <si>
    <t xml:space="preserve">CUBA YARIHUAMAN, ESPERANZA                                                                          </t>
  </si>
  <si>
    <t>PB01-00074567</t>
  </si>
  <si>
    <t xml:space="preserve">70172372                      </t>
  </si>
  <si>
    <t xml:space="preserve">TACAS HUANCAHUARI, ESPERANZA                                                                        </t>
  </si>
  <si>
    <t>PB02-00046964</t>
  </si>
  <si>
    <t xml:space="preserve">28849868                      </t>
  </si>
  <si>
    <t xml:space="preserve">RIVERA  HUAMAN , LIDIA                                                                              </t>
  </si>
  <si>
    <t>PB02-00046966</t>
  </si>
  <si>
    <t xml:space="preserve">28851026                      </t>
  </si>
  <si>
    <t xml:space="preserve">INTUSCCA QUISPE, ELSA                                                                               </t>
  </si>
  <si>
    <t>PB05-00015469</t>
  </si>
  <si>
    <t xml:space="preserve">29160340                      </t>
  </si>
  <si>
    <t xml:space="preserve">FUENTES CHAVEZ, ADA LUZMILA                                                                         </t>
  </si>
  <si>
    <t>PB02-00046970</t>
  </si>
  <si>
    <t xml:space="preserve">10273636                      </t>
  </si>
  <si>
    <t xml:space="preserve">ROJAS  FLORES , HAYDEE                                                                              </t>
  </si>
  <si>
    <t>PB01-00074610</t>
  </si>
  <si>
    <t>PB02-00046988</t>
  </si>
  <si>
    <t xml:space="preserve">10421798520                   </t>
  </si>
  <si>
    <t xml:space="preserve">FLORES QUISPE, ZORY SOLINA                                                                          </t>
  </si>
  <si>
    <t>PB05-00015473</t>
  </si>
  <si>
    <t xml:space="preserve">70455388                      </t>
  </si>
  <si>
    <t xml:space="preserve">GUTIÉRREZ MENDOZA, ELIZABET                                                                         </t>
  </si>
  <si>
    <t>PB04-00010526</t>
  </si>
  <si>
    <t xml:space="preserve">28818779                      </t>
  </si>
  <si>
    <t xml:space="preserve">INCA FLORES, MARISA                                                                                 </t>
  </si>
  <si>
    <t>PB03-00035666</t>
  </si>
  <si>
    <t xml:space="preserve">28994429                      </t>
  </si>
  <si>
    <t xml:space="preserve">CRUCES  BACA, EDDY YOLY                                                                             </t>
  </si>
  <si>
    <t>PB02-00046971</t>
  </si>
  <si>
    <t xml:space="preserve">28850066                      </t>
  </si>
  <si>
    <t xml:space="preserve">TOMAYRO  APARICIO , ELIZABETH                                                                       </t>
  </si>
  <si>
    <t>PB03-00035668</t>
  </si>
  <si>
    <t xml:space="preserve">40818424                      </t>
  </si>
  <si>
    <t xml:space="preserve">SAAVEDRA  ROJAS, YOVANNA                                                                            </t>
  </si>
  <si>
    <t>PB03-00035663</t>
  </si>
  <si>
    <t xml:space="preserve">44364753                      </t>
  </si>
  <si>
    <t xml:space="preserve">ATOCCZA ASTO, PRUDENCIA                                                                             </t>
  </si>
  <si>
    <t>PB01-00074579</t>
  </si>
  <si>
    <t xml:space="preserve">29102386                      </t>
  </si>
  <si>
    <t xml:space="preserve">INFANZON CHECCNES, IGNACIA                                                                          </t>
  </si>
  <si>
    <t>PB03-00035669</t>
  </si>
  <si>
    <t xml:space="preserve">42618208                      </t>
  </si>
  <si>
    <t xml:space="preserve">MOCHCCO CUADROS, LUZ                                                                                </t>
  </si>
  <si>
    <t>PB05-00015476</t>
  </si>
  <si>
    <t xml:space="preserve">16177199                      </t>
  </si>
  <si>
    <t xml:space="preserve">TABOADA HUAMANI, CARMEN ROSA                                                                        </t>
  </si>
  <si>
    <t>PB01-00074588</t>
  </si>
  <si>
    <t xml:space="preserve">29101810                      </t>
  </si>
  <si>
    <t xml:space="preserve">QUISPE GONZALES, AYDEE                                                                              </t>
  </si>
  <si>
    <t>PB01-00074604</t>
  </si>
  <si>
    <t xml:space="preserve">29087200                      </t>
  </si>
  <si>
    <t xml:space="preserve">MENDEZ CONDE, BERNARDO                                                                              </t>
  </si>
  <si>
    <t>PB01-00074601</t>
  </si>
  <si>
    <t xml:space="preserve">47324597                      </t>
  </si>
  <si>
    <t xml:space="preserve">GUTIERREZ ORE, EDILCHE                                                                              </t>
  </si>
  <si>
    <t>PB03-00035675</t>
  </si>
  <si>
    <t xml:space="preserve">46634968                      </t>
  </si>
  <si>
    <t xml:space="preserve">RIOS MELCHOR, JULIA ROSA                                                                            </t>
  </si>
  <si>
    <t>PB02-00046975</t>
  </si>
  <si>
    <t xml:space="preserve">28849216                      </t>
  </si>
  <si>
    <t xml:space="preserve">QUISPE LEDESMA, ANTONIA                                                                             </t>
  </si>
  <si>
    <t xml:space="preserve">PUQ2-Q1                                 </t>
  </si>
  <si>
    <t>PB01-00074576</t>
  </si>
  <si>
    <t>PB02-00046972</t>
  </si>
  <si>
    <t xml:space="preserve">28809271                      </t>
  </si>
  <si>
    <t xml:space="preserve">POMA POMA, NATIVIDAD                                                                                </t>
  </si>
  <si>
    <t>PB01-00074577</t>
  </si>
  <si>
    <t xml:space="preserve">29102311                      </t>
  </si>
  <si>
    <t xml:space="preserve">VILCHEZ AGUILAR, EDELMIRA                                                                           </t>
  </si>
  <si>
    <t>PB01-00074591</t>
  </si>
  <si>
    <t xml:space="preserve">42800153                      </t>
  </si>
  <si>
    <t xml:space="preserve">VILCHEZ CISNEROS, MODESTA                                                                           </t>
  </si>
  <si>
    <t>PB04-00010536</t>
  </si>
  <si>
    <t xml:space="preserve">41152246                      </t>
  </si>
  <si>
    <t xml:space="preserve">GARCIA HUASHUAYO, GEOVANA                                                                           </t>
  </si>
  <si>
    <t>PB03-00035670</t>
  </si>
  <si>
    <t>PB04-00010532</t>
  </si>
  <si>
    <t xml:space="preserve">10714450803                   </t>
  </si>
  <si>
    <t xml:space="preserve">ORTIZ CUARESMA, VANESSA                                                                             </t>
  </si>
  <si>
    <t>PB01-00074584</t>
  </si>
  <si>
    <t xml:space="preserve">47196414                      </t>
  </si>
  <si>
    <t xml:space="preserve">SUMARI YARIHUAMAN, KELY                                                                             </t>
  </si>
  <si>
    <t>PB01-00074619</t>
  </si>
  <si>
    <t xml:space="preserve">43852801                      </t>
  </si>
  <si>
    <t xml:space="preserve">CONDE MENDEZ, MARISOL                                                                               </t>
  </si>
  <si>
    <t>PB02-00046990</t>
  </si>
  <si>
    <t xml:space="preserve">41972653                      </t>
  </si>
  <si>
    <t xml:space="preserve">LUCANA HUAMANI, VANESSA JUANA                                                                       </t>
  </si>
  <si>
    <t>PB03-00035679</t>
  </si>
  <si>
    <t xml:space="preserve">28815510                      </t>
  </si>
  <si>
    <t xml:space="preserve">CRUCES LAPA, MARIA DOLORES                                                                          </t>
  </si>
  <si>
    <t>PB03-00035681</t>
  </si>
  <si>
    <t xml:space="preserve">46634966                      </t>
  </si>
  <si>
    <t xml:space="preserve">MELCHOR PUMACHAHUA, AGUSTINA                                                                        </t>
  </si>
  <si>
    <t>PB04-00010519</t>
  </si>
  <si>
    <t xml:space="preserve">71465151                      </t>
  </si>
  <si>
    <t xml:space="preserve">TAIPE RAMOS, YOSELYN                                                                                </t>
  </si>
  <si>
    <t>PB02-00046981</t>
  </si>
  <si>
    <t xml:space="preserve">7886877                       </t>
  </si>
  <si>
    <t xml:space="preserve">OLARTE  BARRIENTOS , GUADALUPE                                                                      </t>
  </si>
  <si>
    <t>PB01-00074587</t>
  </si>
  <si>
    <t xml:space="preserve">29103035                      </t>
  </si>
  <si>
    <t xml:space="preserve">HUAMANCULI INFANSON, EDWIN MARCELINO                                                                </t>
  </si>
  <si>
    <t>PEVH01-00012271</t>
  </si>
  <si>
    <t xml:space="preserve">28455204                      </t>
  </si>
  <si>
    <t xml:space="preserve">DIAZ RAMREZ, ALEJANDRO                                                                              </t>
  </si>
  <si>
    <t>PB02-00046969</t>
  </si>
  <si>
    <t>PB02-00046983</t>
  </si>
  <si>
    <t xml:space="preserve">28802206                      </t>
  </si>
  <si>
    <t xml:space="preserve">RAMOS REYES, DIONICIA                                                                               </t>
  </si>
  <si>
    <t>PB01-00074616</t>
  </si>
  <si>
    <t xml:space="preserve">41452730                      </t>
  </si>
  <si>
    <t xml:space="preserve">MENDEZ  RAYMUNDO, LIDIA  NORMA                                                                      </t>
  </si>
  <si>
    <t>PEVH01-00012273</t>
  </si>
  <si>
    <t xml:space="preserve">70205885                      </t>
  </si>
  <si>
    <t xml:space="preserve">SULCA MARTINEZ, YENI                                                                                </t>
  </si>
  <si>
    <t>PB01-00074571</t>
  </si>
  <si>
    <t xml:space="preserve">42996354                      </t>
  </si>
  <si>
    <t xml:space="preserve">GARCIA MISAICO, NANCY                                                                               </t>
  </si>
  <si>
    <t>PB04-00010537</t>
  </si>
  <si>
    <t xml:space="preserve">80593581                      </t>
  </si>
  <si>
    <t xml:space="preserve">JALISTO PAUCAR, LUZ MARINA                                                                          </t>
  </si>
  <si>
    <t>PB04-00010529</t>
  </si>
  <si>
    <t xml:space="preserve">28818212                      </t>
  </si>
  <si>
    <t xml:space="preserve">GUZMAN DE MASCCO, SILVIA                                                                            </t>
  </si>
  <si>
    <t>PB02-00046986</t>
  </si>
  <si>
    <t xml:space="preserve">28848501                      </t>
  </si>
  <si>
    <t xml:space="preserve">QUISPE LEDESMA, VIRGINIA                                                                            </t>
  </si>
  <si>
    <t>PB01-00074625</t>
  </si>
  <si>
    <t xml:space="preserve">29088377                      </t>
  </si>
  <si>
    <t xml:space="preserve">CUENCA QUISPE, ALICIA                                                                               </t>
  </si>
  <si>
    <t>PB01-00074595</t>
  </si>
  <si>
    <t>PB01-00074570</t>
  </si>
  <si>
    <t xml:space="preserve">21458383                      </t>
  </si>
  <si>
    <t xml:space="preserve">MANTARI MENESES, SILVIA                                                                             </t>
  </si>
  <si>
    <t>PB01-00074573</t>
  </si>
  <si>
    <t xml:space="preserve">10068286                      </t>
  </si>
  <si>
    <t xml:space="preserve">MENDOZA TACAS, CANDELARIA                                                                           </t>
  </si>
  <si>
    <t>PB05-00015471</t>
  </si>
  <si>
    <t xml:space="preserve">28466513                      </t>
  </si>
  <si>
    <t xml:space="preserve">MARTINEZ GOMEZ, ISABEL                                                                              </t>
  </si>
  <si>
    <t>PB01-00074590</t>
  </si>
  <si>
    <t xml:space="preserve">40946967                      </t>
  </si>
  <si>
    <t xml:space="preserve">CALLE CUBA, MARICELA                                                                                </t>
  </si>
  <si>
    <t>PB01-00074599</t>
  </si>
  <si>
    <t xml:space="preserve">29101857                      </t>
  </si>
  <si>
    <t xml:space="preserve">QUISPE QUISPE, REYNALDA                                                                             </t>
  </si>
  <si>
    <t>PB01-00074593</t>
  </si>
  <si>
    <t>PB01-00074586</t>
  </si>
  <si>
    <t>PEVH01-00012270</t>
  </si>
  <si>
    <t xml:space="preserve">44918426                      </t>
  </si>
  <si>
    <t xml:space="preserve">OCHOA ESTRADA, NILSA SOLINA                                                                         </t>
  </si>
  <si>
    <t>PB01-00074623</t>
  </si>
  <si>
    <t xml:space="preserve">29087059                      </t>
  </si>
  <si>
    <t xml:space="preserve">MENDEZ  QUISPE, FLORA ERNESTINA                                                                     </t>
  </si>
  <si>
    <t>PB03-00035667</t>
  </si>
  <si>
    <t xml:space="preserve">70384263                      </t>
  </si>
  <si>
    <t xml:space="preserve">MOCHCCO CUADROS, KATIOBA NATALY                                                                     </t>
  </si>
  <si>
    <t>PB01-00074597</t>
  </si>
  <si>
    <t xml:space="preserve">29103859                      </t>
  </si>
  <si>
    <t xml:space="preserve">SUMARI ALANYA, JULIA CELIA                                                                          </t>
  </si>
  <si>
    <t>PB02-00046974</t>
  </si>
  <si>
    <t xml:space="preserve">28851206                      </t>
  </si>
  <si>
    <t xml:space="preserve">LOBO  RAMOS , DELIA                                                                                 </t>
  </si>
  <si>
    <t>PB01-00074578</t>
  </si>
  <si>
    <t xml:space="preserve">21575753                      </t>
  </si>
  <si>
    <t xml:space="preserve">LLANTOY TAQUIRI, ZONIA                                                                              </t>
  </si>
  <si>
    <t>PB01-00074585</t>
  </si>
  <si>
    <t>PB01-00074598</t>
  </si>
  <si>
    <t>PB03-00035665</t>
  </si>
  <si>
    <t xml:space="preserve">08589745                      </t>
  </si>
  <si>
    <t xml:space="preserve">SANDOVAL BARRAZA DE SILVERA, VICTORIA                                                               </t>
  </si>
  <si>
    <t>PB02-00046984</t>
  </si>
  <si>
    <t xml:space="preserve">10093950                      </t>
  </si>
  <si>
    <t xml:space="preserve">FERNANDEZ JACINTO, RUFINO                                                                           </t>
  </si>
  <si>
    <t>PB02-00046968</t>
  </si>
  <si>
    <t xml:space="preserve">28854931                      </t>
  </si>
  <si>
    <t xml:space="preserve">ARRIAGA YUCRA, CLEMENTINA                                                                           </t>
  </si>
  <si>
    <t xml:space="preserve">PUQ2-Q2                                 </t>
  </si>
  <si>
    <t>PB01-00074572</t>
  </si>
  <si>
    <t xml:space="preserve">00487585                      </t>
  </si>
  <si>
    <t xml:space="preserve">LINO MEZA, YOLINDA MARIA                                                                            </t>
  </si>
  <si>
    <t>PB01-00074602</t>
  </si>
  <si>
    <t xml:space="preserve">70124935                      </t>
  </si>
  <si>
    <t xml:space="preserve">CHANCAS ALCA, FANNY                                                                                 </t>
  </si>
  <si>
    <t>PB01-00074612</t>
  </si>
  <si>
    <t>PB01-00074582</t>
  </si>
  <si>
    <t xml:space="preserve">70192895                      </t>
  </si>
  <si>
    <t xml:space="preserve">GARCIA JAUREGUI, ERICA                                                                              </t>
  </si>
  <si>
    <t>PB03-00035673</t>
  </si>
  <si>
    <t>PB03-00035680</t>
  </si>
  <si>
    <t xml:space="preserve">28814850                      </t>
  </si>
  <si>
    <t xml:space="preserve">LLAMOCA MELENDEZ, LIDUVINA LUCIA                                                                    </t>
  </si>
  <si>
    <t>PB02-00046978</t>
  </si>
  <si>
    <t xml:space="preserve">28802766                      </t>
  </si>
  <si>
    <t xml:space="preserve">MORALES  CARRASCO , ALVINA                                                                          </t>
  </si>
  <si>
    <t>PB01-00074596</t>
  </si>
  <si>
    <t xml:space="preserve">48408483                      </t>
  </si>
  <si>
    <t xml:space="preserve">RAYMUNDO LLAMCCAYA, CONCEPCION EMELDINA                                                             </t>
  </si>
  <si>
    <t>PB01-00074609</t>
  </si>
  <si>
    <t xml:space="preserve">29102289                      </t>
  </si>
  <si>
    <t xml:space="preserve">CHUMBILE SALCEDO, NANCY                                                                             </t>
  </si>
  <si>
    <t>PB01-00074603</t>
  </si>
  <si>
    <t xml:space="preserve">10291027208                   </t>
  </si>
  <si>
    <t xml:space="preserve">BARRIENTOS MARTINEZ, LUZMILA                                                                        </t>
  </si>
  <si>
    <t>PB01-00074620</t>
  </si>
  <si>
    <t xml:space="preserve">29102892                      </t>
  </si>
  <si>
    <t xml:space="preserve">MEZA ALCA, MARCIANA                                                                                 </t>
  </si>
  <si>
    <t>PB02-00046973</t>
  </si>
  <si>
    <t xml:space="preserve">28849369                      </t>
  </si>
  <si>
    <t xml:space="preserve">ALDERETE SAIRE, EULALIA JULIA                                                                       </t>
  </si>
  <si>
    <t>PB04-00010533</t>
  </si>
  <si>
    <t xml:space="preserve">9720965                       </t>
  </si>
  <si>
    <t xml:space="preserve">MOLINA RIOS, ANDY DAYAN                                                                             </t>
  </si>
  <si>
    <t>PB04-00010528</t>
  </si>
  <si>
    <t xml:space="preserve">28818379                      </t>
  </si>
  <si>
    <t xml:space="preserve">CUARESMA TOMAYQUISPE, BISENCIA                                                                      </t>
  </si>
  <si>
    <t>PB01-00074589</t>
  </si>
  <si>
    <t xml:space="preserve">41016195                      </t>
  </si>
  <si>
    <t xml:space="preserve">YARIHUAMAN MARQUINA, MARILIN                                                                        </t>
  </si>
  <si>
    <t>PB04-00010527</t>
  </si>
  <si>
    <t xml:space="preserve">46697218                      </t>
  </si>
  <si>
    <t xml:space="preserve">ROJAS  HUAMANI , AIDA  FELICITAS                                                                    </t>
  </si>
  <si>
    <t>PB01-00074600</t>
  </si>
  <si>
    <t xml:space="preserve">47769622                      </t>
  </si>
  <si>
    <t xml:space="preserve">MENDEZ FLORES, JHANETH                                                                              </t>
  </si>
  <si>
    <t xml:space="preserve">TACA-Q2                                 </t>
  </si>
  <si>
    <t>PB04-00010530</t>
  </si>
  <si>
    <t xml:space="preserve">46377059                      </t>
  </si>
  <si>
    <t xml:space="preserve">TOMAYQUISPE CHIPANA, VILMA                                                                          </t>
  </si>
  <si>
    <t>PB02-00046987</t>
  </si>
  <si>
    <t xml:space="preserve">46089328                      </t>
  </si>
  <si>
    <t xml:space="preserve">FERNANDEZ ACHULLA, ZENAIDA                                                                          </t>
  </si>
  <si>
    <t>PB03-00035662</t>
  </si>
  <si>
    <t>PB05-00015474</t>
  </si>
  <si>
    <t>PB03-00035676</t>
  </si>
  <si>
    <t>PB03-00035661</t>
  </si>
  <si>
    <t xml:space="preserve">23478               </t>
  </si>
  <si>
    <t>Electrolight Tropical 475ml 12x1</t>
  </si>
  <si>
    <t>PB04-00010534</t>
  </si>
  <si>
    <t xml:space="preserve">41286881                      </t>
  </si>
  <si>
    <t xml:space="preserve">ORTIZ  TITO , GEOVANA                                                                               </t>
  </si>
  <si>
    <t>PB04-00010535</t>
  </si>
  <si>
    <t xml:space="preserve">40539373                      </t>
  </si>
  <si>
    <t xml:space="preserve">TAYPE RAMOS, CATALINA                                                                               </t>
  </si>
  <si>
    <t>PB04-00010525</t>
  </si>
  <si>
    <t xml:space="preserve">28818419                      </t>
  </si>
  <si>
    <t xml:space="preserve">GUTIERREZ RODRIGUEZ, CONSTANTINA                                                                    </t>
  </si>
  <si>
    <t>PB04-00010523</t>
  </si>
  <si>
    <t xml:space="preserve">28817925                      </t>
  </si>
  <si>
    <t xml:space="preserve">FLORES  DE INCA, ANTONIETA                                                                          </t>
  </si>
  <si>
    <t xml:space="preserve">22949               </t>
  </si>
  <si>
    <t>Electrolight Fresa 475ml 12x1</t>
  </si>
  <si>
    <t>PB01-00074608</t>
  </si>
  <si>
    <t xml:space="preserve">29103834                      </t>
  </si>
  <si>
    <t xml:space="preserve">MEZA DE ALANYA, MARINA                                                                              </t>
  </si>
  <si>
    <t>PB01-00074581</t>
  </si>
  <si>
    <t>PB03-00035677</t>
  </si>
  <si>
    <t xml:space="preserve">72270445                      </t>
  </si>
  <si>
    <t xml:space="preserve">CHOCHOCA AMAO, EMERSON YOEL                                                                         </t>
  </si>
  <si>
    <t xml:space="preserve">17502               </t>
  </si>
  <si>
    <t>Club Social Regular 24gr 6x1</t>
  </si>
  <si>
    <t xml:space="preserve">16171               </t>
  </si>
  <si>
    <t>Trident Sandia 8.5gr 18X1</t>
  </si>
  <si>
    <t xml:space="preserve">16170               </t>
  </si>
  <si>
    <t>Trident Menta 8.5gr 18X1</t>
  </si>
  <si>
    <t>PB01-00074622</t>
  </si>
  <si>
    <t xml:space="preserve">43979527                      </t>
  </si>
  <si>
    <t xml:space="preserve">HUAYANAY PULIDO, LUCIA                                                                              </t>
  </si>
  <si>
    <t>PB04-00010524</t>
  </si>
  <si>
    <t xml:space="preserve">42993015                      </t>
  </si>
  <si>
    <t xml:space="preserve">SANTARIA  LOPEZ , MIGUEL  ANGEL                                                                     </t>
  </si>
  <si>
    <t xml:space="preserve">16630               </t>
  </si>
  <si>
    <t>BO Russkaya Wild Tropical Orange 355ml 3x1</t>
  </si>
  <si>
    <t xml:space="preserve">15504               </t>
  </si>
  <si>
    <t>Pisco Queirolo Acholado 750ml 1x1</t>
  </si>
  <si>
    <t xml:space="preserve">15505               </t>
  </si>
  <si>
    <t>Pisco Queirolo Quebranta 750ml 1x1</t>
  </si>
  <si>
    <t>PB04-00010522</t>
  </si>
  <si>
    <t xml:space="preserve">28818211                      </t>
  </si>
  <si>
    <t xml:space="preserve">HUARCAYA VDA DE COTAQUISPE, IRMA IRIS                                                               </t>
  </si>
  <si>
    <t>PB02-00046985</t>
  </si>
  <si>
    <t xml:space="preserve">16013               </t>
  </si>
  <si>
    <t>Pisco Sour Tabernero Maracuya 700ml 1x1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</si>
</sst>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.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14" fontId="1" fillId="0" borderId="0" xfId="0" applyNumberFormat="1" applyFont="1"/>
    <xf numFmtId="164" fontId="1" fillId="0" borderId="0" xfId="0" applyNumberFormat="1" applyFon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9bccc988e7464836/Escritorio/REPORTE_PREVENTA%20v19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KU"/>
      <sheetName val="Hoja1"/>
      <sheetName val="MP"/>
      <sheetName val="Mix"/>
      <sheetName val="CR Pura"/>
      <sheetName val="TD"/>
      <sheetName val="CC"/>
      <sheetName val="Detalle_x_Cli"/>
      <sheetName val="vista1"/>
      <sheetName val="Duplicados"/>
      <sheetName val="PAMPA"/>
      <sheetName val="PUQUIO"/>
      <sheetName val="FOCO"/>
    </sheetNames>
    <sheetDataSet>
      <sheetData sheetId="0">
        <row r="2">
          <cell r="H2" t="str">
            <v xml:space="preserve">ALCA                                    </v>
          </cell>
          <cell r="I2" t="str">
            <v>PE07003</v>
          </cell>
        </row>
        <row r="3">
          <cell r="B3" t="str">
            <v xml:space="preserve">20412               </v>
          </cell>
          <cell r="C3" t="str">
            <v>Corona 330ml NR 6Px4</v>
          </cell>
          <cell r="D3" t="str">
            <v>Corona Extra</v>
          </cell>
          <cell r="E3" t="str">
            <v>CORONA</v>
          </cell>
          <cell r="H3" t="str">
            <v xml:space="preserve">ANDCHIMA                                </v>
          </cell>
          <cell r="I3" t="str">
            <v>PE07011</v>
          </cell>
        </row>
        <row r="4">
          <cell r="B4" t="str">
            <v xml:space="preserve">16329               </v>
          </cell>
          <cell r="C4" t="str">
            <v>CORONA EXTRA SLEEKCAN 355 ML 6X1</v>
          </cell>
          <cell r="D4" t="str">
            <v>Corona Extra</v>
          </cell>
          <cell r="E4" t="str">
            <v>LATAS</v>
          </cell>
          <cell r="H4" t="str">
            <v xml:space="preserve">ANDCHIMA-Q1                             </v>
          </cell>
          <cell r="I4" t="str">
            <v>PE07011</v>
          </cell>
        </row>
        <row r="5">
          <cell r="B5" t="str">
            <v xml:space="preserve">5037                </v>
          </cell>
          <cell r="C5" t="str">
            <v>CRISTAL 1000ML RT 12 CP</v>
          </cell>
          <cell r="D5" t="str">
            <v>Cristal (Peru)</v>
          </cell>
          <cell r="E5" t="str">
            <v>REGULAR</v>
          </cell>
          <cell r="H5" t="str">
            <v xml:space="preserve">ANDCHIMA-Q2                             </v>
          </cell>
          <cell r="I5" t="str">
            <v>PE07011</v>
          </cell>
        </row>
        <row r="6">
          <cell r="B6" t="str">
            <v xml:space="preserve">14522               </v>
          </cell>
          <cell r="C6" t="str">
            <v>CRISTAL 330ML NR 6X4 BC</v>
          </cell>
          <cell r="D6" t="str">
            <v>Cristal (Peru)</v>
          </cell>
          <cell r="E6" t="str">
            <v>REGULAR</v>
          </cell>
          <cell r="H6" t="str">
            <v xml:space="preserve">AUCABANA                                </v>
          </cell>
          <cell r="I6" t="str">
            <v>PE07011</v>
          </cell>
        </row>
        <row r="7">
          <cell r="B7" t="str">
            <v xml:space="preserve">1564                </v>
          </cell>
          <cell r="C7" t="str">
            <v>CRISTAL 650ML RT 12 CP</v>
          </cell>
          <cell r="D7" t="str">
            <v>Cristal (Peru)</v>
          </cell>
          <cell r="E7" t="str">
            <v>REGULAR</v>
          </cell>
          <cell r="H7" t="str">
            <v xml:space="preserve">CANGL1                                  </v>
          </cell>
          <cell r="I7" t="str">
            <v>PE07001</v>
          </cell>
        </row>
        <row r="8">
          <cell r="B8" t="str">
            <v xml:space="preserve">12421               </v>
          </cell>
          <cell r="C8" t="str">
            <v>Cristal Bicolor 650ml 12x1 RT</v>
          </cell>
          <cell r="D8" t="str">
            <v>Cristal (Peru)</v>
          </cell>
          <cell r="E8" t="str">
            <v>REGULAR</v>
          </cell>
          <cell r="H8" t="str">
            <v xml:space="preserve">CANGL2                                  </v>
          </cell>
          <cell r="I8" t="str">
            <v>PE07003</v>
          </cell>
        </row>
        <row r="9">
          <cell r="B9" t="str">
            <v xml:space="preserve">15805               </v>
          </cell>
          <cell r="C9" t="str">
            <v>CUSQUEÑA DOBLE MALTA 310 NR 6</v>
          </cell>
          <cell r="D9" t="str">
            <v>Cusqueña</v>
          </cell>
          <cell r="E9" t="str">
            <v>REGULAR</v>
          </cell>
          <cell r="H9" t="str">
            <v xml:space="preserve">CANGL3                                  </v>
          </cell>
          <cell r="I9" t="str">
            <v>PE07002</v>
          </cell>
        </row>
        <row r="10">
          <cell r="B10" t="str">
            <v xml:space="preserve">15098               </v>
          </cell>
          <cell r="C10" t="str">
            <v>CUSQUEÑA DOBLE MALTA RT 620 12X1</v>
          </cell>
          <cell r="D10" t="str">
            <v>Cusqueña</v>
          </cell>
          <cell r="E10" t="str">
            <v>REGULAR</v>
          </cell>
          <cell r="H10" t="str">
            <v xml:space="preserve">CANGL4                                  </v>
          </cell>
          <cell r="I10" t="str">
            <v>PE07001</v>
          </cell>
        </row>
        <row r="11">
          <cell r="B11" t="str">
            <v xml:space="preserve">6842                </v>
          </cell>
          <cell r="C11" t="str">
            <v>CUSQUEÑA MALTA 620ML RT12</v>
          </cell>
          <cell r="D11" t="str">
            <v>Cusqueña</v>
          </cell>
          <cell r="E11" t="str">
            <v>REGULAR</v>
          </cell>
          <cell r="H11" t="str">
            <v xml:space="preserve">CANGL5                                  </v>
          </cell>
          <cell r="I11" t="str">
            <v>PE07002</v>
          </cell>
        </row>
        <row r="12">
          <cell r="B12" t="str">
            <v xml:space="preserve">15969               </v>
          </cell>
          <cell r="C12" t="str">
            <v>CUSQUEÑA MALTA TERMO 310ML NR 6X1</v>
          </cell>
          <cell r="D12" t="str">
            <v>Cusqueña</v>
          </cell>
          <cell r="E12" t="str">
            <v>REGULAR</v>
          </cell>
          <cell r="H12" t="str">
            <v xml:space="preserve">CAR-IND                                 </v>
          </cell>
          <cell r="I12" t="str">
            <v>PE07004</v>
          </cell>
        </row>
        <row r="13">
          <cell r="B13" t="str">
            <v xml:space="preserve">15513               </v>
          </cell>
          <cell r="C13" t="str">
            <v>CUSQUEÑA TRIGO 310ML NR 6X1</v>
          </cell>
          <cell r="D13" t="str">
            <v>Cusqueña</v>
          </cell>
          <cell r="E13" t="str">
            <v>REGULAR</v>
          </cell>
          <cell r="H13" t="str">
            <v xml:space="preserve">CARH-PONGO                              </v>
          </cell>
          <cell r="I13" t="str">
            <v>PE07004</v>
          </cell>
        </row>
        <row r="14">
          <cell r="B14" t="str">
            <v xml:space="preserve">6843                </v>
          </cell>
          <cell r="C14" t="str">
            <v>CUSQUEÑA TRIGO 620MLRT12</v>
          </cell>
          <cell r="D14" t="str">
            <v>Cusqueña</v>
          </cell>
          <cell r="E14" t="str">
            <v>REGULAR</v>
          </cell>
          <cell r="H14" t="str">
            <v xml:space="preserve">CAYA1                                   </v>
          </cell>
          <cell r="I14" t="str">
            <v>PE07006</v>
          </cell>
        </row>
        <row r="15">
          <cell r="B15" t="str">
            <v xml:space="preserve">13113               </v>
          </cell>
          <cell r="C15" t="str">
            <v>GOLDEN 473ML LATA AL 6X1</v>
          </cell>
          <cell r="D15" t="str">
            <v>Golden</v>
          </cell>
          <cell r="E15" t="str">
            <v>LATAS</v>
          </cell>
          <cell r="H15" t="str">
            <v xml:space="preserve">CAYA1-Q2                                </v>
          </cell>
          <cell r="I15" t="str">
            <v>PE07006</v>
          </cell>
        </row>
        <row r="16">
          <cell r="B16" t="str">
            <v xml:space="preserve">12401               </v>
          </cell>
          <cell r="C16" t="str">
            <v>GOLDEN 620 RT 12PX1.</v>
          </cell>
          <cell r="D16" t="str">
            <v>Golden</v>
          </cell>
          <cell r="E16" t="str">
            <v>REGULAR</v>
          </cell>
          <cell r="H16" t="str">
            <v xml:space="preserve">CAYA1-Q1                                </v>
          </cell>
          <cell r="I16" t="str">
            <v>PE07006</v>
          </cell>
        </row>
        <row r="17">
          <cell r="B17" t="str">
            <v xml:space="preserve">12408               </v>
          </cell>
          <cell r="C17" t="str">
            <v>GOLDEN LATA 355 6X1.</v>
          </cell>
          <cell r="D17" t="str">
            <v>Golden</v>
          </cell>
          <cell r="E17" t="str">
            <v>LATAS</v>
          </cell>
          <cell r="H17" t="str">
            <v xml:space="preserve">CAYA2                                   </v>
          </cell>
          <cell r="I17" t="str">
            <v>PE07006</v>
          </cell>
        </row>
        <row r="18">
          <cell r="B18" t="str">
            <v xml:space="preserve">14974               </v>
          </cell>
          <cell r="C18" t="str">
            <v>GOLDEN NRB 330 6X1</v>
          </cell>
          <cell r="D18" t="str">
            <v>Golden</v>
          </cell>
          <cell r="E18" t="str">
            <v>REGULAR</v>
          </cell>
          <cell r="H18" t="str">
            <v xml:space="preserve">CAYA2-Q1                                </v>
          </cell>
          <cell r="I18" t="str">
            <v>PE07006</v>
          </cell>
        </row>
        <row r="19">
          <cell r="B19" t="str">
            <v xml:space="preserve">12472               </v>
          </cell>
          <cell r="C19" t="str">
            <v>MIKES 350ML LATAL 4X1</v>
          </cell>
          <cell r="D19" t="str">
            <v>Mikes</v>
          </cell>
          <cell r="E19" t="str">
            <v>MIKES</v>
          </cell>
          <cell r="H19" t="str">
            <v xml:space="preserve">CAYA2-Q2                                </v>
          </cell>
          <cell r="I19" t="str">
            <v>PE07006</v>
          </cell>
        </row>
        <row r="20">
          <cell r="B20" t="str">
            <v xml:space="preserve">16036               </v>
          </cell>
          <cell r="C20" t="str">
            <v>MIKES HARD LEMONADE BRA 350 4X1 HIJO</v>
          </cell>
          <cell r="D20" t="str">
            <v>Mikes</v>
          </cell>
          <cell r="E20" t="str">
            <v>MIKES</v>
          </cell>
          <cell r="H20" t="str">
            <v xml:space="preserve">CHAL-MAN                                </v>
          </cell>
          <cell r="I20" t="str">
            <v>PE07002</v>
          </cell>
        </row>
        <row r="21">
          <cell r="B21" t="str">
            <v xml:space="preserve">15463               </v>
          </cell>
          <cell r="C21" t="str">
            <v>MIKES HARD STRAWBERRY LEMONAD 355 4x1 LTA</v>
          </cell>
          <cell r="D21" t="str">
            <v>Mikes</v>
          </cell>
          <cell r="E21" t="str">
            <v>MIKES</v>
          </cell>
          <cell r="H21" t="str">
            <v xml:space="preserve">CHAVI2                                  </v>
          </cell>
          <cell r="I21" t="str">
            <v>PE07012</v>
          </cell>
        </row>
        <row r="22">
          <cell r="B22" t="str">
            <v xml:space="preserve">19460               </v>
          </cell>
          <cell r="C22" t="str">
            <v>MIKES HARD LEMONADE 355ML 4P R</v>
          </cell>
          <cell r="D22" t="str">
            <v>Mikes</v>
          </cell>
          <cell r="E22" t="str">
            <v>MIKES</v>
          </cell>
          <cell r="H22" t="str">
            <v xml:space="preserve">CHAVI                                   </v>
          </cell>
          <cell r="I22" t="str">
            <v>PE07010</v>
          </cell>
        </row>
        <row r="23">
          <cell r="B23" t="str">
            <v xml:space="preserve">3536                </v>
          </cell>
          <cell r="C23" t="str">
            <v>PILSEN CALLAO 1L RT 12 UV.</v>
          </cell>
          <cell r="D23" t="str">
            <v>Pilsen Callao</v>
          </cell>
          <cell r="E23" t="str">
            <v>REGULAR</v>
          </cell>
          <cell r="H23" t="str">
            <v xml:space="preserve">CHUM                                    </v>
          </cell>
          <cell r="I23" t="str">
            <v>PE07010</v>
          </cell>
        </row>
        <row r="24">
          <cell r="B24" t="str">
            <v xml:space="preserve">4411                </v>
          </cell>
          <cell r="C24" t="str">
            <v>PILSEN CALLAO 355ML AL 6PX1</v>
          </cell>
          <cell r="D24" t="str">
            <v>Pilsen Callao</v>
          </cell>
          <cell r="E24" t="str">
            <v>LATAS</v>
          </cell>
          <cell r="H24" t="str">
            <v xml:space="preserve">CHSCH                                   </v>
          </cell>
          <cell r="I24" t="str">
            <v>PE07001</v>
          </cell>
        </row>
        <row r="25">
          <cell r="B25" t="str">
            <v xml:space="preserve">2821                </v>
          </cell>
          <cell r="C25" t="str">
            <v>PILSEN CALLAO 630ML RT 12 CP</v>
          </cell>
          <cell r="D25" t="str">
            <v>Pilsen Callao</v>
          </cell>
          <cell r="E25" t="str">
            <v>REGULAR</v>
          </cell>
          <cell r="H25" t="str">
            <v xml:space="preserve">COLCA                                   </v>
          </cell>
          <cell r="I25" t="str">
            <v>PE07003</v>
          </cell>
        </row>
        <row r="26">
          <cell r="B26" t="str">
            <v xml:space="preserve">14259               </v>
          </cell>
          <cell r="C26" t="str">
            <v>PILSEN CALLAO LATA 473 6X1.</v>
          </cell>
          <cell r="D26" t="str">
            <v>Pilsen Callao</v>
          </cell>
          <cell r="E26" t="str">
            <v>LATAS</v>
          </cell>
          <cell r="H26" t="str">
            <v xml:space="preserve">CONC                                    </v>
          </cell>
          <cell r="I26" t="str">
            <v>PE07004</v>
          </cell>
        </row>
        <row r="27">
          <cell r="B27" t="str">
            <v xml:space="preserve">15972               </v>
          </cell>
          <cell r="C27" t="str">
            <v>Pilsen Callao Termo 305ML NR 6X1</v>
          </cell>
          <cell r="D27" t="str">
            <v>Pilsen Callao</v>
          </cell>
          <cell r="E27" t="str">
            <v>REGULAR</v>
          </cell>
          <cell r="H27" t="str">
            <v xml:space="preserve">CORA6                                   </v>
          </cell>
          <cell r="I27" t="str">
            <v>PE07012</v>
          </cell>
        </row>
        <row r="28">
          <cell r="B28" t="str">
            <v xml:space="preserve">5454                </v>
          </cell>
          <cell r="C28" t="str">
            <v>SAN MATEO SG 2500 PET 6X1 MONT</v>
          </cell>
          <cell r="D28" t="str">
            <v>San Mateo</v>
          </cell>
          <cell r="E28" t="str">
            <v>REGULAR</v>
          </cell>
          <cell r="H28" t="str">
            <v xml:space="preserve">CORA7                                   </v>
          </cell>
          <cell r="I28" t="str">
            <v>PE07012</v>
          </cell>
        </row>
        <row r="29">
          <cell r="B29" t="str">
            <v xml:space="preserve">4961                </v>
          </cell>
          <cell r="C29" t="str">
            <v>SAN MATEO SG 600ML PET 15PX1 MONT</v>
          </cell>
          <cell r="D29" t="str">
            <v>San Mateo</v>
          </cell>
          <cell r="E29" t="str">
            <v>REGULAR</v>
          </cell>
          <cell r="H29" t="str">
            <v xml:space="preserve">CORA8                                   </v>
          </cell>
          <cell r="I29" t="str">
            <v>PE07012</v>
          </cell>
        </row>
        <row r="30">
          <cell r="B30" t="str">
            <v xml:space="preserve">11115               </v>
          </cell>
          <cell r="C30" t="str">
            <v>GUARANA 2000ML PET6X1-VIT</v>
          </cell>
          <cell r="D30" t="str">
            <v>Guaraná</v>
          </cell>
          <cell r="E30" t="str">
            <v>REGULAR</v>
          </cell>
          <cell r="H30" t="str">
            <v xml:space="preserve">CORA9                                   </v>
          </cell>
          <cell r="I30" t="str">
            <v>PE07012</v>
          </cell>
        </row>
        <row r="31">
          <cell r="B31" t="str">
            <v xml:space="preserve">11114               </v>
          </cell>
          <cell r="C31" t="str">
            <v>GUARANA 300ML PET 15X1</v>
          </cell>
          <cell r="D31" t="str">
            <v>Guaraná</v>
          </cell>
          <cell r="E31" t="str">
            <v>REGULAR</v>
          </cell>
          <cell r="H31" t="str">
            <v xml:space="preserve">CORA1                                   </v>
          </cell>
          <cell r="I31" t="str">
            <v>PE07010</v>
          </cell>
        </row>
        <row r="32">
          <cell r="B32" t="str">
            <v xml:space="preserve">11112               </v>
          </cell>
          <cell r="C32" t="str">
            <v>GUARANA 3010ML PET4X1-VIT</v>
          </cell>
          <cell r="D32" t="str">
            <v>Guaraná</v>
          </cell>
          <cell r="E32" t="str">
            <v>REGULAR</v>
          </cell>
          <cell r="H32" t="str">
            <v xml:space="preserve">CORA2                                   </v>
          </cell>
          <cell r="I32" t="str">
            <v>PE07010</v>
          </cell>
        </row>
        <row r="33">
          <cell r="B33" t="str">
            <v xml:space="preserve">11118               </v>
          </cell>
          <cell r="C33" t="str">
            <v>GUARANA 450ML PET 15X1</v>
          </cell>
          <cell r="D33" t="str">
            <v>Guaraná</v>
          </cell>
          <cell r="E33" t="str">
            <v>REGULAR</v>
          </cell>
          <cell r="H33" t="str">
            <v xml:space="preserve">CORA3                                   </v>
          </cell>
          <cell r="I33" t="str">
            <v>PE07010</v>
          </cell>
        </row>
        <row r="34">
          <cell r="B34" t="str">
            <v xml:space="preserve">2960                </v>
          </cell>
          <cell r="C34" t="str">
            <v>VIVA BACKUS 3010ML PET4X1</v>
          </cell>
          <cell r="D34" t="str">
            <v>Viva Backus</v>
          </cell>
          <cell r="E34" t="str">
            <v>REGULAR</v>
          </cell>
          <cell r="H34" t="str">
            <v xml:space="preserve">CORA4                                   </v>
          </cell>
          <cell r="I34" t="str">
            <v>PE07010</v>
          </cell>
        </row>
        <row r="35">
          <cell r="B35" t="str">
            <v xml:space="preserve">8758                </v>
          </cell>
          <cell r="C35" t="str">
            <v>VIVA BACKUS 450ML PET 15X1</v>
          </cell>
          <cell r="D35" t="str">
            <v>Viva Backus</v>
          </cell>
          <cell r="E35" t="str">
            <v>REGULAR</v>
          </cell>
          <cell r="H35" t="str">
            <v xml:space="preserve">HCÑA                                    </v>
          </cell>
          <cell r="I35" t="str">
            <v>PE07011</v>
          </cell>
        </row>
        <row r="36">
          <cell r="B36" t="str">
            <v xml:space="preserve">9314                </v>
          </cell>
          <cell r="C36" t="str">
            <v>MALTIN POWER 330 PET 12X1 - L9</v>
          </cell>
          <cell r="D36" t="str">
            <v>Maltin Power</v>
          </cell>
          <cell r="E36" t="str">
            <v>REGULAR</v>
          </cell>
          <cell r="H36" t="str">
            <v xml:space="preserve">HUAMB                                   </v>
          </cell>
          <cell r="I36" t="str">
            <v>PE07004</v>
          </cell>
        </row>
        <row r="37">
          <cell r="B37" t="str">
            <v xml:space="preserve">3472                </v>
          </cell>
          <cell r="C37" t="str">
            <v>GUARANA 2000ML PET6X1-VIT</v>
          </cell>
          <cell r="D37" t="str">
            <v>Guaraná</v>
          </cell>
          <cell r="E37" t="str">
            <v>REGULAR</v>
          </cell>
          <cell r="H37" t="str">
            <v xml:space="preserve">HNCAP1                                  </v>
          </cell>
          <cell r="I37" t="str">
            <v>PE07001</v>
          </cell>
        </row>
        <row r="38">
          <cell r="B38" t="str">
            <v xml:space="preserve">7961                </v>
          </cell>
          <cell r="C38" t="str">
            <v>GUARANA 300ML PET 15X1</v>
          </cell>
          <cell r="D38" t="str">
            <v>Guaraná</v>
          </cell>
          <cell r="E38" t="str">
            <v>REGULAR</v>
          </cell>
          <cell r="H38" t="str">
            <v xml:space="preserve">HNCAP1-Q2                               </v>
          </cell>
          <cell r="I38" t="str">
            <v>PE07001</v>
          </cell>
        </row>
        <row r="39">
          <cell r="B39" t="str">
            <v xml:space="preserve">3473                </v>
          </cell>
          <cell r="C39" t="str">
            <v>GUARANA 3010ML PET4X1-VIT</v>
          </cell>
          <cell r="D39" t="str">
            <v>Guaraná</v>
          </cell>
          <cell r="E39" t="str">
            <v>REGULAR</v>
          </cell>
          <cell r="H39" t="str">
            <v xml:space="preserve">HNCAP1-Q1                               </v>
          </cell>
          <cell r="I39" t="str">
            <v>PE07001</v>
          </cell>
        </row>
        <row r="40">
          <cell r="B40" t="str">
            <v xml:space="preserve">8757                </v>
          </cell>
          <cell r="C40" t="str">
            <v>GUARANA 450ML PET 15X1</v>
          </cell>
          <cell r="D40" t="str">
            <v>Guaraná</v>
          </cell>
          <cell r="E40" t="str">
            <v>REGULAR</v>
          </cell>
          <cell r="H40" t="str">
            <v xml:space="preserve">HNCAP1-Q1-34                            </v>
          </cell>
          <cell r="I40" t="str">
            <v>PE07001</v>
          </cell>
        </row>
        <row r="41">
          <cell r="B41" t="str">
            <v xml:space="preserve">2853                </v>
          </cell>
          <cell r="C41" t="str">
            <v>CUSQUEÑA TRIGO 620MLRT12</v>
          </cell>
          <cell r="D41" t="str">
            <v>Cusqueña</v>
          </cell>
          <cell r="E41" t="str">
            <v>REGULAR</v>
          </cell>
          <cell r="H41" t="str">
            <v xml:space="preserve">HNCAP1-Q2-34                            </v>
          </cell>
          <cell r="I41" t="str">
            <v>PE07001</v>
          </cell>
        </row>
        <row r="42">
          <cell r="B42" t="str">
            <v xml:space="preserve">1608                </v>
          </cell>
          <cell r="C42" t="str">
            <v>CUSQUEÑA MALTA 620ML RT12</v>
          </cell>
          <cell r="D42" t="str">
            <v>Cusqueña</v>
          </cell>
          <cell r="E42" t="str">
            <v>REGULAR</v>
          </cell>
          <cell r="H42" t="str">
            <v xml:space="preserve">HCSO1                                   </v>
          </cell>
          <cell r="I42" t="str">
            <v>PE07001</v>
          </cell>
        </row>
        <row r="43">
          <cell r="B43" t="str">
            <v xml:space="preserve">1773                </v>
          </cell>
          <cell r="C43" t="str">
            <v>CRISTAL 330ML NR 6X4 BC</v>
          </cell>
          <cell r="D43" t="str">
            <v>Cristal (Peru)</v>
          </cell>
          <cell r="E43" t="str">
            <v>REGULAR</v>
          </cell>
          <cell r="H43" t="str">
            <v xml:space="preserve">HCSO2                                   </v>
          </cell>
          <cell r="I43" t="str">
            <v>PE07003</v>
          </cell>
        </row>
        <row r="44">
          <cell r="B44" t="str">
            <v xml:space="preserve">5706                </v>
          </cell>
          <cell r="C44" t="str">
            <v>MALTIN POWER 330 PET 12X1 - L9</v>
          </cell>
          <cell r="D44" t="str">
            <v>Maltin Power</v>
          </cell>
          <cell r="E44" t="str">
            <v>REGULAR</v>
          </cell>
          <cell r="H44" t="str">
            <v xml:space="preserve">HCSO2-Q1                                </v>
          </cell>
          <cell r="I44" t="str">
            <v>PE07003</v>
          </cell>
        </row>
        <row r="45">
          <cell r="B45" t="str">
            <v xml:space="preserve">14203               </v>
          </cell>
          <cell r="C45" t="str">
            <v>CRISTALINA 500ML 15X1</v>
          </cell>
          <cell r="D45" t="str">
            <v>Cristalina</v>
          </cell>
          <cell r="E45" t="str">
            <v>REGULAR</v>
          </cell>
          <cell r="H45" t="str">
            <v xml:space="preserve">HCSO2-Q2                                </v>
          </cell>
          <cell r="I45" t="str">
            <v>PE07003</v>
          </cell>
        </row>
        <row r="46">
          <cell r="B46" t="str">
            <v xml:space="preserve">4407                </v>
          </cell>
          <cell r="C46" t="str">
            <v>CRISTAL 355ML AL 6Px1</v>
          </cell>
          <cell r="D46" t="str">
            <v>Cristal (Peru)</v>
          </cell>
          <cell r="E46" t="str">
            <v>LATAS</v>
          </cell>
          <cell r="H46" t="str">
            <v xml:space="preserve">HCSO3                                   </v>
          </cell>
          <cell r="I46" t="str">
            <v>PE07002</v>
          </cell>
        </row>
        <row r="47">
          <cell r="B47" t="str">
            <v xml:space="preserve">15970               </v>
          </cell>
          <cell r="C47" t="str">
            <v>CUSQUEÑA TRIGO TERMO 310ML NR 6X1</v>
          </cell>
          <cell r="D47" t="str">
            <v>Cusqueña</v>
          </cell>
          <cell r="E47" t="str">
            <v>REGULAR</v>
          </cell>
          <cell r="H47" t="str">
            <v xml:space="preserve">HCSO-ANEX                               </v>
          </cell>
          <cell r="I47" t="str">
            <v>PE07003</v>
          </cell>
        </row>
        <row r="48">
          <cell r="B48" t="str">
            <v xml:space="preserve">15421               </v>
          </cell>
          <cell r="C48" t="str">
            <v>Pilsen Callao 305 x24</v>
          </cell>
          <cell r="D48" t="str">
            <v>Pilsen Callao</v>
          </cell>
          <cell r="E48" t="str">
            <v>RTx24</v>
          </cell>
          <cell r="H48" t="str">
            <v xml:space="preserve">ISHUA-HUACHO                            </v>
          </cell>
          <cell r="I48" t="str">
            <v>PE07011</v>
          </cell>
        </row>
        <row r="49">
          <cell r="B49" t="str">
            <v xml:space="preserve">16109               </v>
          </cell>
          <cell r="C49" t="str">
            <v>CRISTAL BICOLOR 330ml NR 6X1</v>
          </cell>
          <cell r="D49" t="str">
            <v>Cristal (Peru)</v>
          </cell>
          <cell r="E49" t="str">
            <v>REGULAR</v>
          </cell>
          <cell r="H49" t="str">
            <v xml:space="preserve">LUSANVA                                 </v>
          </cell>
          <cell r="I49" t="str">
            <v>PE07009</v>
          </cell>
        </row>
        <row r="50">
          <cell r="B50" t="str">
            <v xml:space="preserve">13098               </v>
          </cell>
          <cell r="C50" t="str">
            <v>CRISTAL BICOLOR 355ML 6X1</v>
          </cell>
          <cell r="D50" t="str">
            <v>Cristal (Peru)</v>
          </cell>
          <cell r="E50" t="str">
            <v>LATAS</v>
          </cell>
          <cell r="H50" t="str">
            <v xml:space="preserve">LUSANVA-Q1                              </v>
          </cell>
          <cell r="I50" t="str">
            <v>PE07009</v>
          </cell>
        </row>
        <row r="51">
          <cell r="B51" t="str">
            <v xml:space="preserve">15419               </v>
          </cell>
          <cell r="C51" t="str">
            <v>CUSQUEÑA TRIGO 310ML RT 24X1</v>
          </cell>
          <cell r="D51" t="str">
            <v>Cusqueña</v>
          </cell>
          <cell r="E51" t="str">
            <v>RTx24</v>
          </cell>
          <cell r="H51" t="str">
            <v xml:space="preserve">LUSANVA-Q2                              </v>
          </cell>
          <cell r="I51" t="str">
            <v>PE07009</v>
          </cell>
        </row>
        <row r="52">
          <cell r="B52" t="str">
            <v xml:space="preserve">16639               </v>
          </cell>
          <cell r="C52" t="str">
            <v>MALTIN POWER RA 330 12X1</v>
          </cell>
          <cell r="D52" t="str">
            <v>Maltin Power</v>
          </cell>
          <cell r="E52" t="str">
            <v>REGULAR</v>
          </cell>
          <cell r="H52" t="str">
            <v xml:space="preserve">OCRS-CH                                 </v>
          </cell>
          <cell r="I52" t="str">
            <v>PE07001</v>
          </cell>
        </row>
        <row r="53">
          <cell r="B53" t="str">
            <v xml:space="preserve">17000               </v>
          </cell>
          <cell r="C53" t="str">
            <v>MIKES HARD MARACUYA LTA 355ML AL 4X1</v>
          </cell>
          <cell r="D53" t="str">
            <v>Mikes</v>
          </cell>
          <cell r="E53" t="str">
            <v>MIKES</v>
          </cell>
          <cell r="H53" t="str">
            <v xml:space="preserve">PCA-ANX                                 </v>
          </cell>
          <cell r="I53" t="str">
            <v>PE07003</v>
          </cell>
        </row>
        <row r="54">
          <cell r="B54" t="str">
            <v xml:space="preserve">15365               </v>
          </cell>
          <cell r="C54" t="str">
            <v>PACIFICO CLARA NR 300 6X1</v>
          </cell>
          <cell r="D54" t="str">
            <v>Pacífico</v>
          </cell>
          <cell r="E54" t="str">
            <v>REGULAR</v>
          </cell>
          <cell r="H54" t="str">
            <v xml:space="preserve">PAMCAN 1                                </v>
          </cell>
          <cell r="I54" t="str">
            <v>PE07001</v>
          </cell>
        </row>
        <row r="55">
          <cell r="B55" t="str">
            <v xml:space="preserve">8977                </v>
          </cell>
          <cell r="C55" t="str">
            <v>CRISTAL 1000ML RT 12 CP-HUACHIPA</v>
          </cell>
          <cell r="D55" t="str">
            <v>Cristal (Peru)</v>
          </cell>
          <cell r="E55" t="str">
            <v>REGULAR</v>
          </cell>
          <cell r="H55" t="str">
            <v xml:space="preserve">PAMCAN2                                 </v>
          </cell>
          <cell r="I55" t="str">
            <v>PE07002</v>
          </cell>
        </row>
        <row r="56">
          <cell r="B56" t="str">
            <v xml:space="preserve">14663               </v>
          </cell>
          <cell r="C56" t="str">
            <v>Pilsen Callao 1L RT 12x1</v>
          </cell>
          <cell r="D56" t="str">
            <v>Pilsen Callao</v>
          </cell>
          <cell r="E56" t="str">
            <v>REGULAR</v>
          </cell>
          <cell r="H56" t="str">
            <v xml:space="preserve">PAMCAN 3                                </v>
          </cell>
          <cell r="I56" t="str">
            <v>PE07003</v>
          </cell>
        </row>
        <row r="57">
          <cell r="B57" t="str">
            <v xml:space="preserve">14684               </v>
          </cell>
          <cell r="C57" t="str">
            <v>Pacífico 355 ml Lata 6x1</v>
          </cell>
          <cell r="D57" t="str">
            <v>Pacífico</v>
          </cell>
          <cell r="E57" t="str">
            <v>LATAS</v>
          </cell>
          <cell r="H57" t="str">
            <v xml:space="preserve">POMA                                    </v>
          </cell>
          <cell r="I57" t="str">
            <v>PE07007</v>
          </cell>
        </row>
        <row r="58">
          <cell r="B58" t="str">
            <v xml:space="preserve">9524                </v>
          </cell>
          <cell r="C58" t="str">
            <v>CUSQUEÑA MALTA 355ML AL 6X1</v>
          </cell>
          <cell r="D58" t="str">
            <v>Cusqueña</v>
          </cell>
          <cell r="E58" t="str">
            <v>LATAS</v>
          </cell>
          <cell r="H58" t="str">
            <v xml:space="preserve">PUCCAB1                                 </v>
          </cell>
          <cell r="I58" t="str">
            <v>PE07008</v>
          </cell>
        </row>
        <row r="59">
          <cell r="B59" t="str">
            <v xml:space="preserve">15094               </v>
          </cell>
          <cell r="C59" t="str">
            <v>CUSQUEÑA DOBLE MALTA 269 LATA 6X1</v>
          </cell>
          <cell r="D59" t="str">
            <v>Cusqueña</v>
          </cell>
          <cell r="E59" t="str">
            <v>LATAS</v>
          </cell>
          <cell r="H59" t="str">
            <v xml:space="preserve">PUCCAB1-Q1                              </v>
          </cell>
          <cell r="I59" t="str">
            <v>PE07008</v>
          </cell>
        </row>
        <row r="60">
          <cell r="B60" t="str">
            <v xml:space="preserve">15514               </v>
          </cell>
          <cell r="C60" t="str">
            <v>CUSQUEÑA MALTA 310ML NR 6X1</v>
          </cell>
          <cell r="D60" t="str">
            <v>Cusqueña</v>
          </cell>
          <cell r="E60" t="str">
            <v>REGULAR</v>
          </cell>
          <cell r="H60" t="str">
            <v xml:space="preserve">PUCCAB1-Q2                              </v>
          </cell>
          <cell r="I60" t="str">
            <v>PE07008</v>
          </cell>
        </row>
        <row r="61">
          <cell r="B61" t="str">
            <v xml:space="preserve">9523                </v>
          </cell>
          <cell r="C61" t="str">
            <v>CUSQUEÑA TRIGO 355ML AL 6X1</v>
          </cell>
          <cell r="D61" t="str">
            <v>Cusqueña</v>
          </cell>
          <cell r="E61" t="str">
            <v>LATAS</v>
          </cell>
          <cell r="H61" t="str">
            <v xml:space="preserve">PUCCAB2                                 </v>
          </cell>
          <cell r="I61" t="str">
            <v>PE07008</v>
          </cell>
        </row>
        <row r="62">
          <cell r="B62" t="str">
            <v xml:space="preserve">15512               </v>
          </cell>
          <cell r="C62" t="str">
            <v>PILSEN CALLAO 305ML 6X1</v>
          </cell>
          <cell r="D62" t="str">
            <v>Pilsen Callao</v>
          </cell>
          <cell r="E62" t="str">
            <v>REGULAR</v>
          </cell>
          <cell r="H62" t="str">
            <v xml:space="preserve">PUCCAB2-Q1                              </v>
          </cell>
          <cell r="I62" t="str">
            <v>PE07008</v>
          </cell>
        </row>
        <row r="63">
          <cell r="B63" t="str">
            <v xml:space="preserve">15418               </v>
          </cell>
          <cell r="C63" t="str">
            <v>CUSQUEÑA MALTA 310ML RT 24x1</v>
          </cell>
          <cell r="D63" t="str">
            <v>Cusqueña</v>
          </cell>
          <cell r="E63" t="str">
            <v>RTx24</v>
          </cell>
          <cell r="H63" t="str">
            <v xml:space="preserve">PUCCAB2-Q2                              </v>
          </cell>
          <cell r="I63" t="str">
            <v>PE07008</v>
          </cell>
        </row>
        <row r="64">
          <cell r="B64" t="str">
            <v xml:space="preserve">17356               </v>
          </cell>
          <cell r="C64" t="str">
            <v>CORONA LIMA LIMON 355ML AL 4P</v>
          </cell>
          <cell r="D64" t="str">
            <v>Corona Extra</v>
          </cell>
          <cell r="E64" t="str">
            <v>TROPIC</v>
          </cell>
          <cell r="H64" t="str">
            <v xml:space="preserve">PUQ9                                    </v>
          </cell>
          <cell r="I64" t="str">
            <v>PE07009</v>
          </cell>
        </row>
        <row r="65">
          <cell r="B65" t="str">
            <v xml:space="preserve">17353               </v>
          </cell>
          <cell r="C65" t="str">
            <v>CORONA TORONJA 355ML AL 4P</v>
          </cell>
          <cell r="D65" t="str">
            <v>Corona Extra</v>
          </cell>
          <cell r="E65" t="str">
            <v>TROPIC</v>
          </cell>
          <cell r="H65" t="str">
            <v xml:space="preserve">PUQ9-Q1                                 </v>
          </cell>
          <cell r="I65" t="str">
            <v>PE07009</v>
          </cell>
        </row>
        <row r="66">
          <cell r="B66" t="str">
            <v xml:space="preserve">17355               </v>
          </cell>
          <cell r="C66" t="str">
            <v>CORONA FRUTOS ROJOS 355ML AL 4P</v>
          </cell>
          <cell r="D66" t="str">
            <v>Corona Extra</v>
          </cell>
          <cell r="E66" t="str">
            <v>TROPIC</v>
          </cell>
          <cell r="H66" t="str">
            <v xml:space="preserve">PUQ9-Q2                                 </v>
          </cell>
          <cell r="I66" t="str">
            <v>PE07009</v>
          </cell>
        </row>
        <row r="67">
          <cell r="B67" t="str">
            <v xml:space="preserve">19718               </v>
          </cell>
          <cell r="C67" t="str">
            <v>CRISTAL 305ML RT 24X1</v>
          </cell>
          <cell r="D67" t="str">
            <v>Cristal (Peru)</v>
          </cell>
          <cell r="E67" t="str">
            <v>RTx24</v>
          </cell>
          <cell r="H67" t="str">
            <v xml:space="preserve">PUQ1                                    </v>
          </cell>
          <cell r="I67" t="str">
            <v>PE07009</v>
          </cell>
        </row>
        <row r="68">
          <cell r="B68" t="str">
            <v xml:space="preserve">12217               </v>
          </cell>
          <cell r="C68" t="str">
            <v>BARBARIAN LA NENA HOPPY WHEAT NRB 330X4</v>
          </cell>
          <cell r="D68" t="str">
            <v>Barbarian</v>
          </cell>
          <cell r="E68" t="str">
            <v>REGULAR</v>
          </cell>
          <cell r="H68" t="str">
            <v xml:space="preserve">PUQ1-Q1                                 </v>
          </cell>
          <cell r="I68" t="str">
            <v>PE07009</v>
          </cell>
        </row>
        <row r="69">
          <cell r="B69" t="str">
            <v xml:space="preserve">12219               </v>
          </cell>
          <cell r="C69" t="str">
            <v>BARBARIAN MAGIC QUINUA PILS NR</v>
          </cell>
          <cell r="D69" t="str">
            <v>Barbarian</v>
          </cell>
          <cell r="E69" t="str">
            <v>REGULAR</v>
          </cell>
          <cell r="H69" t="str">
            <v xml:space="preserve">PUQ1-Q2                                 </v>
          </cell>
          <cell r="I69" t="str">
            <v>PE07009</v>
          </cell>
        </row>
        <row r="70">
          <cell r="B70" t="str">
            <v xml:space="preserve">12214               </v>
          </cell>
          <cell r="C70" t="str">
            <v>BARBARIAN 174 IPA NRB 330 X4</v>
          </cell>
          <cell r="D70" t="str">
            <v>Barbarian</v>
          </cell>
          <cell r="E70" t="str">
            <v>REGULAR</v>
          </cell>
          <cell r="H70" t="str">
            <v xml:space="preserve">PUQ2                                    </v>
          </cell>
          <cell r="I70" t="str">
            <v>PE07009</v>
          </cell>
        </row>
        <row r="71">
          <cell r="B71" t="str">
            <v xml:space="preserve">12216               </v>
          </cell>
          <cell r="C71" t="str">
            <v>BARBARIAN L.I.M.A PALE ALE NRB 330X4</v>
          </cell>
          <cell r="D71" t="str">
            <v>Barbarian</v>
          </cell>
          <cell r="E71" t="str">
            <v>REGULAR</v>
          </cell>
          <cell r="H71" t="str">
            <v xml:space="preserve">PUQ2-Q1                                 </v>
          </cell>
          <cell r="I71" t="str">
            <v>PE07009</v>
          </cell>
        </row>
        <row r="72">
          <cell r="B72" t="str">
            <v xml:space="preserve">20086               </v>
          </cell>
          <cell r="C72" t="str">
            <v>Golden 473 AL 4+2</v>
          </cell>
          <cell r="D72" t="str">
            <v>Golden</v>
          </cell>
          <cell r="E72" t="str">
            <v>LATAS</v>
          </cell>
          <cell r="H72" t="str">
            <v xml:space="preserve">PUQ2-Q2                                 </v>
          </cell>
          <cell r="I72" t="str">
            <v>PE07009</v>
          </cell>
        </row>
        <row r="73">
          <cell r="B73" t="str">
            <v xml:space="preserve">20541               </v>
          </cell>
          <cell r="C73" t="str">
            <v>Cristal 355 5+1 CAN</v>
          </cell>
          <cell r="D73" t="str">
            <v>Cristal (Peru)</v>
          </cell>
          <cell r="E73" t="str">
            <v>LATAS</v>
          </cell>
          <cell r="H73" t="str">
            <v xml:space="preserve">PUQ3                                    </v>
          </cell>
          <cell r="I73" t="str">
            <v>PE07009</v>
          </cell>
        </row>
        <row r="74">
          <cell r="B74" t="str">
            <v xml:space="preserve">21032               </v>
          </cell>
          <cell r="C74" t="str">
            <v>Cusqueña trigo 355ml 6x1 verano</v>
          </cell>
          <cell r="D74" t="str">
            <v>Cusqueña</v>
          </cell>
          <cell r="E74" t="str">
            <v>LATAS</v>
          </cell>
          <cell r="H74" t="str">
            <v xml:space="preserve">PUQ3-Q1                                 </v>
          </cell>
          <cell r="I74" t="str">
            <v>PE07009</v>
          </cell>
        </row>
        <row r="75">
          <cell r="B75" t="str">
            <v xml:space="preserve">20834               </v>
          </cell>
          <cell r="C75" t="str">
            <v>Cusqueña Trigo 473 CAN</v>
          </cell>
          <cell r="D75" t="str">
            <v>Cusqueña</v>
          </cell>
          <cell r="E75" t="str">
            <v>LATAS</v>
          </cell>
          <cell r="H75" t="str">
            <v xml:space="preserve">PUQ3-Q2                                 </v>
          </cell>
          <cell r="I75" t="str">
            <v>PE07009</v>
          </cell>
        </row>
        <row r="76">
          <cell r="B76" t="str">
            <v xml:space="preserve">21037               </v>
          </cell>
          <cell r="C76" t="str">
            <v>Cristal 355ml 6x1 Verano</v>
          </cell>
          <cell r="D76" t="str">
            <v>Cristal (Peru)</v>
          </cell>
          <cell r="E76" t="str">
            <v>LATAS</v>
          </cell>
          <cell r="H76" t="str">
            <v xml:space="preserve">PUQ4                                    </v>
          </cell>
          <cell r="I76" t="str">
            <v>PE07009</v>
          </cell>
        </row>
        <row r="77">
          <cell r="B77" t="str">
            <v xml:space="preserve">15066               </v>
          </cell>
          <cell r="C77" t="str">
            <v>STELLA ARTOIS 330ML 6X1 MEX HIJO</v>
          </cell>
          <cell r="D77" t="str">
            <v>Stella Artois</v>
          </cell>
          <cell r="E77" t="str">
            <v>SINGLE</v>
          </cell>
          <cell r="H77" t="str">
            <v xml:space="preserve">PUQ4-Q1                                 </v>
          </cell>
          <cell r="I77" t="str">
            <v>PE07009</v>
          </cell>
        </row>
        <row r="78">
          <cell r="B78" t="str">
            <v xml:space="preserve">21425               </v>
          </cell>
          <cell r="C78" t="str">
            <v>Cristal 473ml 6x1 Copa America</v>
          </cell>
          <cell r="D78" t="str">
            <v>Cristal (Peru)</v>
          </cell>
          <cell r="E78" t="str">
            <v>LATAS</v>
          </cell>
          <cell r="H78" t="str">
            <v xml:space="preserve">PUQ4-Q2                                 </v>
          </cell>
          <cell r="I78" t="str">
            <v>PE07009</v>
          </cell>
        </row>
        <row r="79">
          <cell r="B79" t="str">
            <v xml:space="preserve">21264               </v>
          </cell>
          <cell r="C79" t="str">
            <v>Golden PTC CAN 473x6</v>
          </cell>
          <cell r="D79" t="str">
            <v>Golden</v>
          </cell>
          <cell r="E79" t="str">
            <v>LATAS</v>
          </cell>
          <cell r="H79" t="str">
            <v xml:space="preserve">SANPE                                   </v>
          </cell>
          <cell r="I79" t="str">
            <v>PE07008</v>
          </cell>
        </row>
        <row r="80">
          <cell r="B80" t="str">
            <v xml:space="preserve">21543               </v>
          </cell>
          <cell r="C80" t="str">
            <v>Pilsen Callao 473ml 6x1 Aniversario</v>
          </cell>
          <cell r="D80" t="str">
            <v>Pilsen Callao</v>
          </cell>
          <cell r="E80" t="str">
            <v>LATAS</v>
          </cell>
          <cell r="H80" t="str">
            <v xml:space="preserve">SA/LU                                   </v>
          </cell>
          <cell r="I80" t="str">
            <v>PE07002</v>
          </cell>
        </row>
        <row r="81">
          <cell r="B81" t="str">
            <v xml:space="preserve">4409                </v>
          </cell>
          <cell r="C81" t="str">
            <v>CRISTAL 473ML AL 6Px1</v>
          </cell>
          <cell r="D81" t="str">
            <v>Cristal (Peru)</v>
          </cell>
          <cell r="E81" t="str">
            <v>LATAS</v>
          </cell>
          <cell r="H81" t="str">
            <v xml:space="preserve">SAT-ALL                                 </v>
          </cell>
          <cell r="I81" t="str">
            <v>PE07003</v>
          </cell>
        </row>
        <row r="82">
          <cell r="H82" t="str">
            <v xml:space="preserve">SAUR                                    </v>
          </cell>
          <cell r="I82" t="str">
            <v>PE07004</v>
          </cell>
        </row>
        <row r="83">
          <cell r="H83" t="str">
            <v xml:space="preserve">QUERB                                   </v>
          </cell>
          <cell r="I83" t="str">
            <v>PE07005</v>
          </cell>
        </row>
        <row r="84">
          <cell r="H84" t="str">
            <v xml:space="preserve">QUERB-Q1                                </v>
          </cell>
          <cell r="I84" t="str">
            <v>PE07005</v>
          </cell>
        </row>
        <row r="85">
          <cell r="H85" t="str">
            <v xml:space="preserve">QUERB-Q2                                </v>
          </cell>
          <cell r="I85" t="str">
            <v>PE07005</v>
          </cell>
        </row>
        <row r="86">
          <cell r="H86" t="str">
            <v xml:space="preserve">QUERB2                                  </v>
          </cell>
          <cell r="I86" t="str">
            <v>PE07005</v>
          </cell>
        </row>
        <row r="87">
          <cell r="H87" t="str">
            <v xml:space="preserve">TACA                                    </v>
          </cell>
          <cell r="I87" t="str">
            <v>PE07006</v>
          </cell>
        </row>
        <row r="88">
          <cell r="H88" t="str">
            <v xml:space="preserve">TACA-Q1                                 </v>
          </cell>
          <cell r="I88" t="str">
            <v>PE07006</v>
          </cell>
        </row>
        <row r="89">
          <cell r="H89" t="str">
            <v xml:space="preserve">TACA-Q2                                 </v>
          </cell>
          <cell r="I89" t="str">
            <v>PE07006</v>
          </cell>
        </row>
        <row r="90">
          <cell r="H90" t="str">
            <v xml:space="preserve">TOTOS                                   </v>
          </cell>
          <cell r="I90" t="str">
            <v>PE07002</v>
          </cell>
        </row>
        <row r="91">
          <cell r="H91" t="str">
            <v xml:space="preserve">VLLE-SDO                                </v>
          </cell>
          <cell r="I91" t="str">
            <v>PE07011</v>
          </cell>
        </row>
        <row r="92">
          <cell r="H92" t="str">
            <v xml:space="preserve">VLLE-SDO-Q1                             </v>
          </cell>
          <cell r="I92" t="str">
            <v>PE07011</v>
          </cell>
        </row>
        <row r="93">
          <cell r="H93" t="str">
            <v xml:space="preserve">VLLE-SDO-Q2                             </v>
          </cell>
          <cell r="I93" t="str">
            <v>PE07011</v>
          </cell>
        </row>
        <row r="94">
          <cell r="H94" t="str">
            <v xml:space="preserve">VLCSH1                                  </v>
          </cell>
          <cell r="I94" t="str">
            <v>PE07004</v>
          </cell>
        </row>
        <row r="95">
          <cell r="H95" t="str">
            <v xml:space="preserve">VLCSH2                                  </v>
          </cell>
          <cell r="I95" t="str">
            <v>PE07004</v>
          </cell>
        </row>
        <row r="96">
          <cell r="H96" t="str">
            <v xml:space="preserve">VLCSH4                                  </v>
          </cell>
          <cell r="I96" t="str">
            <v>PE07004</v>
          </cell>
        </row>
        <row r="97">
          <cell r="H97" t="str">
            <v xml:space="preserve">VISCH                                   </v>
          </cell>
          <cell r="I97" t="str">
            <v>PE07004</v>
          </cell>
        </row>
      </sheetData>
      <sheetData sheetId="1">
        <row r="2">
          <cell r="B2" t="str">
            <v>BUDWEISER 343ML NR 6PX1</v>
          </cell>
          <cell r="C2">
            <v>6</v>
          </cell>
          <cell r="D2">
            <v>343</v>
          </cell>
          <cell r="E2">
            <v>0.27661290322580645</v>
          </cell>
        </row>
        <row r="3">
          <cell r="B3" t="str">
            <v>CUSQUEÑA MALTA 620ML RT 12 CP - TELAR</v>
          </cell>
          <cell r="C3">
            <v>12</v>
          </cell>
          <cell r="D3">
            <v>620</v>
          </cell>
          <cell r="E3">
            <v>1</v>
          </cell>
        </row>
        <row r="4">
          <cell r="B4" t="str">
            <v>CUSQUEÑA TRIGO 620ML RT 12CP - TELAR</v>
          </cell>
          <cell r="C4">
            <v>12</v>
          </cell>
          <cell r="D4">
            <v>620</v>
          </cell>
          <cell r="E4">
            <v>1</v>
          </cell>
        </row>
        <row r="5">
          <cell r="B5" t="str">
            <v>CUSQUEÑA MALTA 355ML AL 6X1</v>
          </cell>
          <cell r="C5">
            <v>6</v>
          </cell>
          <cell r="D5">
            <v>355</v>
          </cell>
          <cell r="E5">
            <v>0.28629032258064518</v>
          </cell>
        </row>
        <row r="6">
          <cell r="B6" t="str">
            <v>CUSQUEÑA TRIGO 310ML RT 24X1</v>
          </cell>
          <cell r="C6">
            <v>24</v>
          </cell>
          <cell r="D6">
            <v>310</v>
          </cell>
          <cell r="E6">
            <v>1</v>
          </cell>
        </row>
        <row r="7">
          <cell r="B7" t="str">
            <v>CUSQUEÑA MALTA 310ML RT 24x1</v>
          </cell>
          <cell r="C7">
            <v>24</v>
          </cell>
          <cell r="D7">
            <v>310</v>
          </cell>
          <cell r="E7">
            <v>1</v>
          </cell>
        </row>
        <row r="8">
          <cell r="B8" t="str">
            <v>Cusqueña trigo 355ml 6x1 verano</v>
          </cell>
          <cell r="C8">
            <v>6</v>
          </cell>
          <cell r="D8">
            <v>355</v>
          </cell>
          <cell r="E8">
            <v>0.28629032258064518</v>
          </cell>
        </row>
        <row r="9">
          <cell r="B9" t="str">
            <v>CUSQUEÑA TRIGO 355ML AL 6X1</v>
          </cell>
          <cell r="C9">
            <v>6</v>
          </cell>
          <cell r="D9">
            <v>355</v>
          </cell>
          <cell r="E9">
            <v>0.28629032258064518</v>
          </cell>
        </row>
        <row r="10">
          <cell r="B10" t="str">
            <v>Cusqueña Trigo 473 CAN</v>
          </cell>
          <cell r="C10">
            <v>6</v>
          </cell>
          <cell r="D10">
            <v>473</v>
          </cell>
          <cell r="E10">
            <v>0.38145161290322577</v>
          </cell>
        </row>
        <row r="11">
          <cell r="B11" t="str">
            <v>CUSQUEÑA MALTA TERMO 310ML NR 6X1</v>
          </cell>
          <cell r="C11">
            <v>6</v>
          </cell>
          <cell r="D11">
            <v>310</v>
          </cell>
          <cell r="E11">
            <v>0.25</v>
          </cell>
        </row>
        <row r="12">
          <cell r="B12" t="str">
            <v>Cusqueña Quinua 473ML - Pack [6 Latas]</v>
          </cell>
          <cell r="C12">
            <v>6</v>
          </cell>
          <cell r="D12">
            <v>473</v>
          </cell>
          <cell r="E12">
            <v>0.38145161290322577</v>
          </cell>
        </row>
        <row r="13">
          <cell r="B13" t="str">
            <v>GOLDEN 620 RT 12PX1.</v>
          </cell>
          <cell r="C13">
            <v>12</v>
          </cell>
          <cell r="D13">
            <v>620</v>
          </cell>
          <cell r="E13">
            <v>1</v>
          </cell>
        </row>
        <row r="14">
          <cell r="B14" t="str">
            <v>GOLDEN LATA 355 6X1.</v>
          </cell>
          <cell r="C14">
            <v>6</v>
          </cell>
          <cell r="D14">
            <v>355</v>
          </cell>
          <cell r="E14">
            <v>0.28629032258064518</v>
          </cell>
        </row>
        <row r="15">
          <cell r="B15" t="str">
            <v>Golden 473 AL 4+2</v>
          </cell>
          <cell r="C15">
            <v>6</v>
          </cell>
          <cell r="D15">
            <v>473</v>
          </cell>
          <cell r="E15">
            <v>0.38145161290322577</v>
          </cell>
        </row>
        <row r="16">
          <cell r="B16" t="str">
            <v>Pilsen Callao Termo 305ML NR 6X1</v>
          </cell>
          <cell r="C16">
            <v>6</v>
          </cell>
          <cell r="D16">
            <v>305</v>
          </cell>
          <cell r="E16">
            <v>0.24596774193548387</v>
          </cell>
        </row>
        <row r="17">
          <cell r="B17" t="str">
            <v>Pilsen Callao 1L RT 12x1</v>
          </cell>
          <cell r="C17">
            <v>12</v>
          </cell>
          <cell r="D17">
            <v>1000</v>
          </cell>
          <cell r="E17">
            <v>1.6129032258064517</v>
          </cell>
        </row>
        <row r="18">
          <cell r="B18" t="str">
            <v>Pilsen Callao 305 x24</v>
          </cell>
          <cell r="C18">
            <v>24</v>
          </cell>
          <cell r="D18">
            <v>305</v>
          </cell>
          <cell r="E18">
            <v>0.9838709677419355</v>
          </cell>
        </row>
        <row r="19">
          <cell r="B19" t="str">
            <v>PILSEN CALLAO 630ML RT 12 CP</v>
          </cell>
          <cell r="C19">
            <v>12</v>
          </cell>
          <cell r="D19">
            <v>630</v>
          </cell>
          <cell r="E19">
            <v>1.0161290322580645</v>
          </cell>
          <cell r="F19">
            <v>2016</v>
          </cell>
        </row>
        <row r="20">
          <cell r="B20" t="str">
            <v>PILSEN CALLAO 355ML AL 6PX1</v>
          </cell>
          <cell r="C20">
            <v>6</v>
          </cell>
          <cell r="D20">
            <v>355</v>
          </cell>
          <cell r="E20">
            <v>0.28629032258064518</v>
          </cell>
        </row>
        <row r="21">
          <cell r="B21" t="str">
            <v>PILSEN CALLAO LATA 473 6X1.</v>
          </cell>
          <cell r="C21">
            <v>6</v>
          </cell>
          <cell r="D21">
            <v>473</v>
          </cell>
          <cell r="E21">
            <v>0.38145161290322577</v>
          </cell>
        </row>
        <row r="22">
          <cell r="B22" t="str">
            <v>Pilsen Callao 473ml 6x1 Verano</v>
          </cell>
          <cell r="C22">
            <v>6</v>
          </cell>
          <cell r="D22">
            <v>473</v>
          </cell>
          <cell r="E22">
            <v>0.38145161290322577</v>
          </cell>
        </row>
        <row r="23">
          <cell r="B23" t="str">
            <v>Pilsen Callao 355ml 6x1 Verano</v>
          </cell>
          <cell r="C23">
            <v>6</v>
          </cell>
          <cell r="D23">
            <v>355</v>
          </cell>
          <cell r="E23">
            <v>0.28629032258064518</v>
          </cell>
        </row>
        <row r="24">
          <cell r="B24" t="str">
            <v>STELLA ARTOIS 330ML 6X1 MEX HIJO</v>
          </cell>
          <cell r="C24">
            <v>6</v>
          </cell>
          <cell r="D24">
            <v>330</v>
          </cell>
          <cell r="E24">
            <v>0.2661290322580645</v>
          </cell>
        </row>
        <row r="25">
          <cell r="B25" t="str">
            <v>CRISTAL 650ML RT 12 CP</v>
          </cell>
          <cell r="C25">
            <v>12</v>
          </cell>
          <cell r="D25">
            <v>650</v>
          </cell>
          <cell r="E25">
            <v>1.0483870967741935</v>
          </cell>
          <cell r="F25">
            <v>1008</v>
          </cell>
        </row>
        <row r="26">
          <cell r="B26" t="str">
            <v>CRISTAL 355ML AL 6Px1</v>
          </cell>
          <cell r="C26">
            <v>6</v>
          </cell>
          <cell r="D26">
            <v>355</v>
          </cell>
          <cell r="E26">
            <v>0.28629032258064518</v>
          </cell>
        </row>
        <row r="27">
          <cell r="B27" t="str">
            <v>CRISTAL 473ML AL 6Px1</v>
          </cell>
          <cell r="C27">
            <v>6</v>
          </cell>
          <cell r="D27">
            <v>473</v>
          </cell>
          <cell r="E27">
            <v>0.38145161290322577</v>
          </cell>
        </row>
        <row r="28">
          <cell r="B28" t="str">
            <v>CRISTAL 1000ML RT 12 CP-HUACHIPA</v>
          </cell>
          <cell r="C28">
            <v>12</v>
          </cell>
          <cell r="D28">
            <v>1000</v>
          </cell>
          <cell r="E28">
            <v>1.6129032258064517</v>
          </cell>
        </row>
        <row r="29">
          <cell r="B29" t="str">
            <v>CRISTAL 305ML RT 24X1</v>
          </cell>
          <cell r="C29">
            <v>24</v>
          </cell>
          <cell r="D29">
            <v>305</v>
          </cell>
          <cell r="E29">
            <v>0.9838709677419355</v>
          </cell>
        </row>
        <row r="30">
          <cell r="B30" t="str">
            <v>CORONA TORONJA 355ML AL 4P</v>
          </cell>
          <cell r="C30">
            <v>4</v>
          </cell>
          <cell r="D30">
            <v>355</v>
          </cell>
          <cell r="E30">
            <v>0.19086021505376347</v>
          </cell>
        </row>
        <row r="31">
          <cell r="B31" t="str">
            <v>CORONA FRUTOS ROJOS 355ML AL 4P</v>
          </cell>
          <cell r="C31">
            <v>4</v>
          </cell>
          <cell r="D31">
            <v>355</v>
          </cell>
          <cell r="E31">
            <v>0.19086021505376347</v>
          </cell>
        </row>
        <row r="32">
          <cell r="B32" t="str">
            <v>Corona 330ml NR 6Px4</v>
          </cell>
          <cell r="C32">
            <v>6</v>
          </cell>
          <cell r="D32">
            <v>330</v>
          </cell>
          <cell r="E32">
            <v>0.2661290322580645</v>
          </cell>
        </row>
        <row r="33">
          <cell r="B33" t="str">
            <v>MIKES HARD MARACUYA LTA 355ML AL 4X1</v>
          </cell>
          <cell r="C33">
            <v>4</v>
          </cell>
          <cell r="D33">
            <v>355</v>
          </cell>
          <cell r="E33">
            <v>0.19086021505376347</v>
          </cell>
        </row>
        <row r="34">
          <cell r="B34" t="str">
            <v>MIKES HARD STRAWBERRY LEMONAD 355 4x1 LTA</v>
          </cell>
          <cell r="C34">
            <v>4</v>
          </cell>
          <cell r="D34">
            <v>355</v>
          </cell>
          <cell r="E34">
            <v>0.19086021505376347</v>
          </cell>
        </row>
        <row r="35">
          <cell r="B35" t="str">
            <v>MIKES HARD LEMONADE 355ML SLK 6P</v>
          </cell>
          <cell r="C35">
            <v>6</v>
          </cell>
          <cell r="D35">
            <v>355</v>
          </cell>
          <cell r="E35">
            <v>0.28629032258064518</v>
          </cell>
        </row>
        <row r="36">
          <cell r="B36" t="str">
            <v>Mikes Maracuya 355ML 6x1</v>
          </cell>
          <cell r="C36">
            <v>6</v>
          </cell>
          <cell r="D36">
            <v>355</v>
          </cell>
          <cell r="E36">
            <v>0.28629032258064518</v>
          </cell>
        </row>
        <row r="37">
          <cell r="B37" t="str">
            <v>Mikes Arandanos 355ML AL 6P</v>
          </cell>
          <cell r="C37">
            <v>6</v>
          </cell>
          <cell r="D37">
            <v>355</v>
          </cell>
          <cell r="E37">
            <v>0.28629032258064518</v>
          </cell>
        </row>
        <row r="38">
          <cell r="B38" t="str">
            <v>Mikes Fresa 355ml - Pack (6 latas)</v>
          </cell>
          <cell r="C38">
            <v>6</v>
          </cell>
          <cell r="D38">
            <v>355</v>
          </cell>
          <cell r="E38">
            <v>0.28629032258064518</v>
          </cell>
        </row>
        <row r="39">
          <cell r="B39" t="str">
            <v>Mikes Limonada 473 ML AL 6P</v>
          </cell>
          <cell r="C39">
            <v>6</v>
          </cell>
          <cell r="D39">
            <v>355</v>
          </cell>
          <cell r="E39">
            <v>0.28629032258064518</v>
          </cell>
        </row>
        <row r="40">
          <cell r="B40" t="str">
            <v>SAN MATEO SG 600ML PET 15PX1 MONT</v>
          </cell>
          <cell r="C40">
            <v>15</v>
          </cell>
          <cell r="D40">
            <v>600</v>
          </cell>
          <cell r="E40">
            <v>1.2096774193548387</v>
          </cell>
        </row>
        <row r="41">
          <cell r="B41" t="str">
            <v>SAN MATEO SG 2500 PET 6X1 MONT</v>
          </cell>
          <cell r="C41">
            <v>6</v>
          </cell>
          <cell r="D41">
            <v>2500</v>
          </cell>
          <cell r="E41">
            <v>2.0161290322580645</v>
          </cell>
        </row>
        <row r="42">
          <cell r="B42" t="str">
            <v>Golden PTC CAN 473x6</v>
          </cell>
          <cell r="C42">
            <v>6</v>
          </cell>
          <cell r="D42">
            <v>473</v>
          </cell>
          <cell r="E42">
            <v>0.38145161290322577</v>
          </cell>
        </row>
        <row r="43">
          <cell r="B43" t="str">
            <v>GOLDEN 473ML LATA AL 6X1</v>
          </cell>
          <cell r="C43">
            <v>6</v>
          </cell>
          <cell r="D43">
            <v>473</v>
          </cell>
          <cell r="E43">
            <v>0.38145161290322577</v>
          </cell>
        </row>
        <row r="44">
          <cell r="B44" t="str">
            <v>Cristal 473ml 6x1 Copa America</v>
          </cell>
          <cell r="C44">
            <v>6</v>
          </cell>
          <cell r="D44">
            <v>473</v>
          </cell>
          <cell r="E44">
            <v>0.38145161290322577</v>
          </cell>
        </row>
        <row r="45">
          <cell r="B45" t="str">
            <v>CRISTALINA 500ML 15X1</v>
          </cell>
          <cell r="C45">
            <v>15</v>
          </cell>
          <cell r="D45">
            <v>500</v>
          </cell>
          <cell r="E45">
            <v>1.0080645161290323</v>
          </cell>
        </row>
        <row r="46">
          <cell r="B46" t="str">
            <v>GUARANA 450ML PET 15X1 RA.</v>
          </cell>
          <cell r="C46">
            <v>15</v>
          </cell>
          <cell r="D46">
            <v>450</v>
          </cell>
          <cell r="E46">
            <v>0.907258064516129</v>
          </cell>
        </row>
        <row r="47">
          <cell r="B47" t="str">
            <v>GUARANA 2000ML PET 6X1 RA</v>
          </cell>
          <cell r="C47">
            <v>6</v>
          </cell>
          <cell r="D47">
            <v>2000</v>
          </cell>
          <cell r="E47">
            <v>1.6129032258064517</v>
          </cell>
        </row>
        <row r="48">
          <cell r="B48" t="str">
            <v>GUARANA 300ML PET 15X1 RA</v>
          </cell>
          <cell r="C48">
            <v>15</v>
          </cell>
          <cell r="D48">
            <v>300</v>
          </cell>
          <cell r="E48">
            <v>0.60483870967741937</v>
          </cell>
        </row>
        <row r="49">
          <cell r="B49" t="str">
            <v>GUARANA 3010ML PET 4X1 RA</v>
          </cell>
          <cell r="C49">
            <v>4</v>
          </cell>
          <cell r="D49">
            <v>3010</v>
          </cell>
          <cell r="E49">
            <v>1.618279569892473</v>
          </cell>
        </row>
        <row r="50">
          <cell r="B50" t="str">
            <v>VIVA BACKUS 3010ML PET4X1</v>
          </cell>
          <cell r="C50">
            <v>4</v>
          </cell>
          <cell r="D50">
            <v>3010</v>
          </cell>
          <cell r="E50">
            <v>1.618279569892473</v>
          </cell>
        </row>
        <row r="51">
          <cell r="B51" t="str">
            <v>VIVA BACKUS 450ML PET 15X1</v>
          </cell>
          <cell r="C51">
            <v>15</v>
          </cell>
          <cell r="D51">
            <v>450</v>
          </cell>
          <cell r="E51">
            <v>0.907258064516129</v>
          </cell>
        </row>
        <row r="52">
          <cell r="B52" t="str">
            <v>MALTIN POWER RA 330 12X1</v>
          </cell>
          <cell r="C52">
            <v>12</v>
          </cell>
          <cell r="D52">
            <v>330</v>
          </cell>
          <cell r="E52">
            <v>0.532258064516129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D19B2-4D2E-4A31-9DA4-A5469FEA924D}">
  <dimension ref="A1:AA4300"/>
  <sheetViews>
    <sheetView tabSelected="1" topLeftCell="M1" workbookViewId="0">
      <selection activeCell="AA1" sqref="AA1"/>
    </sheetView>
  </sheetViews>
  <sheetFormatPr baseColWidth="10" defaultRowHeight="13.8"/>
  <cols>
    <col min="1" max="1" width="11.59765625" style="1"/>
    <col min="2" max="2" width="11.59765625" style="2"/>
    <col min="3" max="15" width="11.59765625" style="1"/>
    <col min="16" max="17" width="11.59765625" style="3"/>
    <col min="18" max="23" width="11.59765625" style="1"/>
    <col min="24" max="24" width="10.796875" style="1" bestFit="1" customWidth="1"/>
    <col min="25" max="25" width="12.796875" style="1" bestFit="1" customWidth="1"/>
    <col min="26" max="26" width="12.796875" style="1" customWidth="1"/>
    <col min="27" max="27" width="11.19921875" style="1"/>
  </cols>
  <sheetData>
    <row r="1" spans="1:27" s="7" customForma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229</v>
      </c>
      <c r="Y1" s="4" t="s">
        <v>23</v>
      </c>
      <c r="Z1" s="4" t="s">
        <v>230</v>
      </c>
      <c r="AA1" s="4" t="s">
        <v>231</v>
      </c>
    </row>
    <row r="2" spans="1:27">
      <c r="A2" s="1" t="s">
        <v>40</v>
      </c>
      <c r="B2" s="2">
        <v>46295</v>
      </c>
      <c r="C2" s="1" t="s">
        <v>232</v>
      </c>
      <c r="D2" s="1" t="s">
        <v>41</v>
      </c>
      <c r="E2" s="1" t="s">
        <v>233</v>
      </c>
      <c r="F2" s="1" t="s">
        <v>234</v>
      </c>
      <c r="G2" s="1" t="s">
        <v>26</v>
      </c>
      <c r="H2" s="1" t="s">
        <v>27</v>
      </c>
      <c r="I2" s="1" t="s">
        <v>132</v>
      </c>
      <c r="J2" s="1" t="s">
        <v>28</v>
      </c>
      <c r="K2" s="1" t="s">
        <v>29</v>
      </c>
      <c r="L2" s="1" t="s">
        <v>30</v>
      </c>
      <c r="M2" s="1" t="s">
        <v>49</v>
      </c>
      <c r="N2" s="1" t="s">
        <v>50</v>
      </c>
      <c r="O2" s="1" t="s">
        <v>33</v>
      </c>
      <c r="P2" s="3">
        <v>6</v>
      </c>
      <c r="Q2" s="3">
        <v>437.04</v>
      </c>
      <c r="R2" s="1" t="s">
        <v>34</v>
      </c>
      <c r="S2" s="1" t="s">
        <v>35</v>
      </c>
      <c r="T2" s="1" t="s">
        <v>36</v>
      </c>
      <c r="U2" s="1" t="s">
        <v>37</v>
      </c>
      <c r="V2" s="1" t="s">
        <v>38</v>
      </c>
      <c r="W2" s="1" t="s">
        <v>39</v>
      </c>
      <c r="X2" s="8">
        <f>+IFERROR(VLOOKUP(N2,[1]Hoja1!$B$2:$F$52,4,0)*P2,"")</f>
        <v>6.096774193548387</v>
      </c>
      <c r="Y2" s="8" t="str">
        <f>+VLOOKUP(M2,[1]SKU!$B$3:$E$81,4,0)</f>
        <v>REGULAR</v>
      </c>
      <c r="Z2" s="8" t="str">
        <f>+IF(J2="VB01                          ","BEES","FLEX")</f>
        <v>BEES</v>
      </c>
      <c r="AA2" s="8" t="str">
        <f>+VLOOKUP(I2,[1]SKU!$H$2:$I$97,2,0)</f>
        <v>PE07009</v>
      </c>
    </row>
    <row r="3" spans="1:27">
      <c r="A3" s="1" t="s">
        <v>51</v>
      </c>
      <c r="B3" s="2">
        <v>46295</v>
      </c>
      <c r="C3" s="1" t="s">
        <v>235</v>
      </c>
      <c r="D3" s="1" t="s">
        <v>52</v>
      </c>
      <c r="E3" s="1" t="s">
        <v>236</v>
      </c>
      <c r="F3" s="1" t="s">
        <v>237</v>
      </c>
      <c r="G3" s="1" t="s">
        <v>26</v>
      </c>
      <c r="H3" s="1" t="s">
        <v>27</v>
      </c>
      <c r="I3" s="1" t="s">
        <v>238</v>
      </c>
      <c r="J3" s="1" t="s">
        <v>28</v>
      </c>
      <c r="K3" s="1" t="s">
        <v>29</v>
      </c>
      <c r="L3" s="1" t="s">
        <v>30</v>
      </c>
      <c r="M3" s="1" t="s">
        <v>49</v>
      </c>
      <c r="N3" s="1" t="s">
        <v>50</v>
      </c>
      <c r="O3" s="1" t="s">
        <v>33</v>
      </c>
      <c r="P3" s="3">
        <v>24</v>
      </c>
      <c r="Q3" s="3">
        <v>1748.16</v>
      </c>
      <c r="R3" s="1" t="s">
        <v>34</v>
      </c>
      <c r="S3" s="1" t="s">
        <v>35</v>
      </c>
      <c r="T3" s="1" t="s">
        <v>36</v>
      </c>
      <c r="U3" s="1" t="s">
        <v>37</v>
      </c>
      <c r="V3" s="1" t="s">
        <v>38</v>
      </c>
      <c r="W3" s="1" t="s">
        <v>39</v>
      </c>
      <c r="X3" s="8">
        <f>+IFERROR(VLOOKUP(N3,[1]Hoja1!$B$2:$F$52,4,0)*P3,"")</f>
        <v>24.387096774193548</v>
      </c>
      <c r="Y3" s="8" t="str">
        <f>+VLOOKUP(M3,[1]SKU!$B$3:$E$81,4,0)</f>
        <v>REGULAR</v>
      </c>
      <c r="Z3" s="8" t="str">
        <f t="shared" ref="Z3:Z66" si="0">+IF(J3="VB01                          ","BEES","FLEX")</f>
        <v>BEES</v>
      </c>
      <c r="AA3" s="8" t="str">
        <f>+VLOOKUP(I3,[1]SKU!$H$2:$I$97,2,0)</f>
        <v>PE07011</v>
      </c>
    </row>
    <row r="4" spans="1:27">
      <c r="A4" s="1" t="s">
        <v>51</v>
      </c>
      <c r="B4" s="2">
        <v>46295</v>
      </c>
      <c r="C4" s="1" t="s">
        <v>239</v>
      </c>
      <c r="D4" s="1" t="s">
        <v>52</v>
      </c>
      <c r="E4" s="1" t="s">
        <v>240</v>
      </c>
      <c r="F4" s="1" t="s">
        <v>241</v>
      </c>
      <c r="G4" s="1" t="s">
        <v>26</v>
      </c>
      <c r="H4" s="1" t="s">
        <v>27</v>
      </c>
      <c r="I4" s="1" t="s">
        <v>238</v>
      </c>
      <c r="J4" s="1" t="s">
        <v>28</v>
      </c>
      <c r="K4" s="1" t="s">
        <v>29</v>
      </c>
      <c r="L4" s="1" t="s">
        <v>30</v>
      </c>
      <c r="M4" s="1" t="s">
        <v>49</v>
      </c>
      <c r="N4" s="1" t="s">
        <v>50</v>
      </c>
      <c r="O4" s="1" t="s">
        <v>33</v>
      </c>
      <c r="P4" s="3">
        <v>10</v>
      </c>
      <c r="Q4" s="3">
        <v>728.4</v>
      </c>
      <c r="R4" s="1" t="s">
        <v>34</v>
      </c>
      <c r="S4" s="1" t="s">
        <v>35</v>
      </c>
      <c r="T4" s="1" t="s">
        <v>36</v>
      </c>
      <c r="U4" s="1" t="s">
        <v>37</v>
      </c>
      <c r="V4" s="1" t="s">
        <v>38</v>
      </c>
      <c r="W4" s="1" t="s">
        <v>39</v>
      </c>
      <c r="X4" s="8">
        <f>+IFERROR(VLOOKUP(N4,[1]Hoja1!$B$2:$F$52,4,0)*P4,"")</f>
        <v>10.161290322580644</v>
      </c>
      <c r="Y4" s="8" t="str">
        <f>+VLOOKUP(M4,[1]SKU!$B$3:$E$81,4,0)</f>
        <v>REGULAR</v>
      </c>
      <c r="Z4" s="8" t="str">
        <f t="shared" si="0"/>
        <v>BEES</v>
      </c>
      <c r="AA4" s="8" t="str">
        <f>+VLOOKUP(I4,[1]SKU!$H$2:$I$97,2,0)</f>
        <v>PE07011</v>
      </c>
    </row>
    <row r="5" spans="1:27">
      <c r="A5" s="1" t="s">
        <v>24</v>
      </c>
      <c r="B5" s="2">
        <v>46295</v>
      </c>
      <c r="C5" s="1" t="s">
        <v>242</v>
      </c>
      <c r="D5" s="1" t="s">
        <v>25</v>
      </c>
      <c r="E5" s="1" t="s">
        <v>243</v>
      </c>
      <c r="F5" s="1" t="s">
        <v>244</v>
      </c>
      <c r="G5" s="1" t="s">
        <v>26</v>
      </c>
      <c r="H5" s="1" t="s">
        <v>27</v>
      </c>
      <c r="I5" s="1" t="s">
        <v>53</v>
      </c>
      <c r="J5" s="1" t="s">
        <v>28</v>
      </c>
      <c r="K5" s="1" t="s">
        <v>29</v>
      </c>
      <c r="L5" s="1" t="s">
        <v>30</v>
      </c>
      <c r="M5" s="1" t="s">
        <v>49</v>
      </c>
      <c r="N5" s="1" t="s">
        <v>50</v>
      </c>
      <c r="O5" s="1" t="s">
        <v>33</v>
      </c>
      <c r="P5" s="3">
        <v>1</v>
      </c>
      <c r="Q5" s="3">
        <v>70.843136999999999</v>
      </c>
      <c r="R5" s="1" t="s">
        <v>34</v>
      </c>
      <c r="S5" s="1" t="s">
        <v>35</v>
      </c>
      <c r="T5" s="1" t="s">
        <v>36</v>
      </c>
      <c r="U5" s="1" t="s">
        <v>37</v>
      </c>
      <c r="V5" s="1" t="s">
        <v>38</v>
      </c>
      <c r="W5" s="1" t="s">
        <v>39</v>
      </c>
      <c r="X5" s="8">
        <f>+IFERROR(VLOOKUP(N5,[1]Hoja1!$B$2:$F$52,4,0)*P5,"")</f>
        <v>1.0161290322580645</v>
      </c>
      <c r="Y5" s="8" t="str">
        <f>+VLOOKUP(M5,[1]SKU!$B$3:$E$81,4,0)</f>
        <v>REGULAR</v>
      </c>
      <c r="Z5" s="8" t="str">
        <f t="shared" si="0"/>
        <v>BEES</v>
      </c>
      <c r="AA5" s="8" t="str">
        <f>+VLOOKUP(I5,[1]SKU!$H$2:$I$97,2,0)</f>
        <v>PE07010</v>
      </c>
    </row>
    <row r="6" spans="1:27">
      <c r="A6" s="1" t="s">
        <v>24</v>
      </c>
      <c r="B6" s="2">
        <v>46295</v>
      </c>
      <c r="C6" s="1" t="s">
        <v>245</v>
      </c>
      <c r="D6" s="1" t="s">
        <v>25</v>
      </c>
      <c r="E6" s="1" t="s">
        <v>246</v>
      </c>
      <c r="F6" s="1" t="s">
        <v>247</v>
      </c>
      <c r="G6" s="1" t="s">
        <v>26</v>
      </c>
      <c r="H6" s="1" t="s">
        <v>27</v>
      </c>
      <c r="I6" s="1" t="s">
        <v>53</v>
      </c>
      <c r="J6" s="1" t="s">
        <v>28</v>
      </c>
      <c r="K6" s="1" t="s">
        <v>29</v>
      </c>
      <c r="L6" s="1" t="s">
        <v>30</v>
      </c>
      <c r="M6" s="1" t="s">
        <v>49</v>
      </c>
      <c r="N6" s="1" t="s">
        <v>50</v>
      </c>
      <c r="O6" s="1" t="s">
        <v>33</v>
      </c>
      <c r="P6" s="3">
        <v>7</v>
      </c>
      <c r="Q6" s="3">
        <v>509.88</v>
      </c>
      <c r="R6" s="1" t="s">
        <v>34</v>
      </c>
      <c r="S6" s="1" t="s">
        <v>35</v>
      </c>
      <c r="T6" s="1" t="s">
        <v>36</v>
      </c>
      <c r="U6" s="1" t="s">
        <v>37</v>
      </c>
      <c r="V6" s="1" t="s">
        <v>38</v>
      </c>
      <c r="W6" s="1" t="s">
        <v>39</v>
      </c>
      <c r="X6" s="8">
        <f>+IFERROR(VLOOKUP(N6,[1]Hoja1!$B$2:$F$52,4,0)*P6,"")</f>
        <v>7.112903225806452</v>
      </c>
      <c r="Y6" s="8" t="str">
        <f>+VLOOKUP(M6,[1]SKU!$B$3:$E$81,4,0)</f>
        <v>REGULAR</v>
      </c>
      <c r="Z6" s="8" t="str">
        <f t="shared" si="0"/>
        <v>BEES</v>
      </c>
      <c r="AA6" s="8" t="str">
        <f>+VLOOKUP(I6,[1]SKU!$H$2:$I$97,2,0)</f>
        <v>PE07010</v>
      </c>
    </row>
    <row r="7" spans="1:27">
      <c r="A7" s="1" t="s">
        <v>24</v>
      </c>
      <c r="B7" s="2">
        <v>46295</v>
      </c>
      <c r="C7" s="1" t="s">
        <v>248</v>
      </c>
      <c r="D7" s="1" t="s">
        <v>25</v>
      </c>
      <c r="E7" s="1" t="s">
        <v>249</v>
      </c>
      <c r="F7" s="1" t="s">
        <v>250</v>
      </c>
      <c r="G7" s="1" t="s">
        <v>26</v>
      </c>
      <c r="H7" s="1" t="s">
        <v>27</v>
      </c>
      <c r="I7" s="1" t="s">
        <v>53</v>
      </c>
      <c r="J7" s="1" t="s">
        <v>28</v>
      </c>
      <c r="K7" s="1" t="s">
        <v>29</v>
      </c>
      <c r="L7" s="1" t="s">
        <v>30</v>
      </c>
      <c r="M7" s="1" t="s">
        <v>49</v>
      </c>
      <c r="N7" s="1" t="s">
        <v>50</v>
      </c>
      <c r="O7" s="1" t="s">
        <v>33</v>
      </c>
      <c r="P7" s="3">
        <v>10</v>
      </c>
      <c r="Q7" s="3">
        <v>728.4</v>
      </c>
      <c r="R7" s="1" t="s">
        <v>34</v>
      </c>
      <c r="S7" s="1" t="s">
        <v>35</v>
      </c>
      <c r="T7" s="1" t="s">
        <v>36</v>
      </c>
      <c r="U7" s="1" t="s">
        <v>37</v>
      </c>
      <c r="V7" s="1" t="s">
        <v>38</v>
      </c>
      <c r="W7" s="1" t="s">
        <v>39</v>
      </c>
      <c r="X7" s="8">
        <f>+IFERROR(VLOOKUP(N7,[1]Hoja1!$B$2:$F$52,4,0)*P7,"")</f>
        <v>10.161290322580644</v>
      </c>
      <c r="Y7" s="8" t="str">
        <f>+VLOOKUP(M7,[1]SKU!$B$3:$E$81,4,0)</f>
        <v>REGULAR</v>
      </c>
      <c r="Z7" s="8" t="str">
        <f t="shared" si="0"/>
        <v>BEES</v>
      </c>
      <c r="AA7" s="8" t="str">
        <f>+VLOOKUP(I7,[1]SKU!$H$2:$I$97,2,0)</f>
        <v>PE07010</v>
      </c>
    </row>
    <row r="8" spans="1:27">
      <c r="A8" s="1" t="s">
        <v>40</v>
      </c>
      <c r="B8" s="2">
        <v>46295</v>
      </c>
      <c r="C8" s="1" t="s">
        <v>251</v>
      </c>
      <c r="D8" s="1" t="s">
        <v>41</v>
      </c>
      <c r="E8" s="1" t="s">
        <v>252</v>
      </c>
      <c r="F8" s="1" t="s">
        <v>253</v>
      </c>
      <c r="G8" s="1" t="s">
        <v>26</v>
      </c>
      <c r="H8" s="1" t="s">
        <v>27</v>
      </c>
      <c r="I8" s="1" t="s">
        <v>132</v>
      </c>
      <c r="J8" s="1" t="s">
        <v>28</v>
      </c>
      <c r="K8" s="1" t="s">
        <v>29</v>
      </c>
      <c r="L8" s="1" t="s">
        <v>30</v>
      </c>
      <c r="M8" s="1" t="s">
        <v>49</v>
      </c>
      <c r="N8" s="1" t="s">
        <v>50</v>
      </c>
      <c r="O8" s="1" t="s">
        <v>33</v>
      </c>
      <c r="P8" s="3">
        <v>2</v>
      </c>
      <c r="Q8" s="3">
        <v>145.68</v>
      </c>
      <c r="R8" s="1" t="s">
        <v>34</v>
      </c>
      <c r="S8" s="1" t="s">
        <v>35</v>
      </c>
      <c r="T8" s="1" t="s">
        <v>36</v>
      </c>
      <c r="U8" s="1" t="s">
        <v>37</v>
      </c>
      <c r="V8" s="1" t="s">
        <v>38</v>
      </c>
      <c r="W8" s="1" t="s">
        <v>39</v>
      </c>
      <c r="X8" s="8">
        <f>+IFERROR(VLOOKUP(N8,[1]Hoja1!$B$2:$F$52,4,0)*P8,"")</f>
        <v>2.032258064516129</v>
      </c>
      <c r="Y8" s="8" t="str">
        <f>+VLOOKUP(M8,[1]SKU!$B$3:$E$81,4,0)</f>
        <v>REGULAR</v>
      </c>
      <c r="Z8" s="8" t="str">
        <f t="shared" si="0"/>
        <v>BEES</v>
      </c>
      <c r="AA8" s="8" t="str">
        <f>+VLOOKUP(I8,[1]SKU!$H$2:$I$97,2,0)</f>
        <v>PE07009</v>
      </c>
    </row>
    <row r="9" spans="1:27">
      <c r="A9" s="1" t="s">
        <v>42</v>
      </c>
      <c r="B9" s="2">
        <v>46295</v>
      </c>
      <c r="C9" s="1" t="s">
        <v>254</v>
      </c>
      <c r="D9" s="1" t="s">
        <v>43</v>
      </c>
      <c r="E9" s="1" t="s">
        <v>255</v>
      </c>
      <c r="F9" s="1" t="s">
        <v>256</v>
      </c>
      <c r="G9" s="1" t="s">
        <v>26</v>
      </c>
      <c r="H9" s="1" t="s">
        <v>27</v>
      </c>
      <c r="I9" s="1" t="s">
        <v>65</v>
      </c>
      <c r="J9" s="1" t="s">
        <v>28</v>
      </c>
      <c r="K9" s="1" t="s">
        <v>29</v>
      </c>
      <c r="L9" s="1" t="s">
        <v>30</v>
      </c>
      <c r="M9" s="1" t="s">
        <v>49</v>
      </c>
      <c r="N9" s="1" t="s">
        <v>50</v>
      </c>
      <c r="O9" s="1" t="s">
        <v>33</v>
      </c>
      <c r="P9" s="3">
        <v>2</v>
      </c>
      <c r="Q9" s="3">
        <v>145.68</v>
      </c>
      <c r="R9" s="1" t="s">
        <v>34</v>
      </c>
      <c r="S9" s="1" t="s">
        <v>35</v>
      </c>
      <c r="T9" s="1" t="s">
        <v>36</v>
      </c>
      <c r="U9" s="1" t="s">
        <v>37</v>
      </c>
      <c r="V9" s="1" t="s">
        <v>38</v>
      </c>
      <c r="W9" s="1" t="s">
        <v>39</v>
      </c>
      <c r="X9" s="8">
        <f>+IFERROR(VLOOKUP(N9,[1]Hoja1!$B$2:$F$52,4,0)*P9,"")</f>
        <v>2.032258064516129</v>
      </c>
      <c r="Y9" s="8" t="str">
        <f>+VLOOKUP(M9,[1]SKU!$B$3:$E$81,4,0)</f>
        <v>REGULAR</v>
      </c>
      <c r="Z9" s="8" t="str">
        <f t="shared" si="0"/>
        <v>BEES</v>
      </c>
      <c r="AA9" s="8" t="str">
        <f>+VLOOKUP(I9,[1]SKU!$H$2:$I$97,2,0)</f>
        <v>PE07003</v>
      </c>
    </row>
    <row r="10" spans="1:27">
      <c r="A10" s="1" t="s">
        <v>42</v>
      </c>
      <c r="B10" s="2">
        <v>46295</v>
      </c>
      <c r="C10" s="1" t="s">
        <v>257</v>
      </c>
      <c r="D10" s="1" t="s">
        <v>43</v>
      </c>
      <c r="E10" s="1" t="s">
        <v>258</v>
      </c>
      <c r="F10" s="1" t="s">
        <v>259</v>
      </c>
      <c r="G10" s="1" t="s">
        <v>26</v>
      </c>
      <c r="H10" s="1" t="s">
        <v>27</v>
      </c>
      <c r="I10" s="1" t="s">
        <v>180</v>
      </c>
      <c r="J10" s="1" t="s">
        <v>28</v>
      </c>
      <c r="K10" s="1" t="s">
        <v>29</v>
      </c>
      <c r="L10" s="1" t="s">
        <v>30</v>
      </c>
      <c r="M10" s="1" t="s">
        <v>49</v>
      </c>
      <c r="N10" s="1" t="s">
        <v>50</v>
      </c>
      <c r="O10" s="1" t="s">
        <v>33</v>
      </c>
      <c r="P10" s="3">
        <v>3</v>
      </c>
      <c r="Q10" s="3">
        <v>218.52</v>
      </c>
      <c r="R10" s="1" t="s">
        <v>34</v>
      </c>
      <c r="S10" s="1" t="s">
        <v>35</v>
      </c>
      <c r="T10" s="1" t="s">
        <v>36</v>
      </c>
      <c r="U10" s="1" t="s">
        <v>37</v>
      </c>
      <c r="V10" s="1" t="s">
        <v>38</v>
      </c>
      <c r="W10" s="1" t="s">
        <v>39</v>
      </c>
      <c r="X10" s="8">
        <f>+IFERROR(VLOOKUP(N10,[1]Hoja1!$B$2:$F$52,4,0)*P10,"")</f>
        <v>3.0483870967741935</v>
      </c>
      <c r="Y10" s="8" t="str">
        <f>+VLOOKUP(M10,[1]SKU!$B$3:$E$81,4,0)</f>
        <v>REGULAR</v>
      </c>
      <c r="Z10" s="8" t="str">
        <f t="shared" si="0"/>
        <v>BEES</v>
      </c>
      <c r="AA10" s="8" t="str">
        <f>+VLOOKUP(I10,[1]SKU!$H$2:$I$97,2,0)</f>
        <v>PE07002</v>
      </c>
    </row>
    <row r="11" spans="1:27">
      <c r="A11" s="1" t="s">
        <v>51</v>
      </c>
      <c r="B11" s="2">
        <v>46295</v>
      </c>
      <c r="C11" s="1" t="s">
        <v>260</v>
      </c>
      <c r="D11" s="1" t="s">
        <v>52</v>
      </c>
      <c r="E11" s="1" t="s">
        <v>261</v>
      </c>
      <c r="F11" s="1" t="s">
        <v>262</v>
      </c>
      <c r="G11" s="1" t="s">
        <v>26</v>
      </c>
      <c r="H11" s="1" t="s">
        <v>27</v>
      </c>
      <c r="I11" s="1" t="s">
        <v>238</v>
      </c>
      <c r="J11" s="1" t="s">
        <v>28</v>
      </c>
      <c r="K11" s="1" t="s">
        <v>29</v>
      </c>
      <c r="L11" s="1" t="s">
        <v>30</v>
      </c>
      <c r="M11" s="1" t="s">
        <v>49</v>
      </c>
      <c r="N11" s="1" t="s">
        <v>50</v>
      </c>
      <c r="O11" s="1" t="s">
        <v>33</v>
      </c>
      <c r="P11" s="3">
        <v>36</v>
      </c>
      <c r="Q11" s="3">
        <v>2622.24</v>
      </c>
      <c r="R11" s="1" t="s">
        <v>34</v>
      </c>
      <c r="S11" s="1" t="s">
        <v>35</v>
      </c>
      <c r="T11" s="1" t="s">
        <v>36</v>
      </c>
      <c r="U11" s="1" t="s">
        <v>37</v>
      </c>
      <c r="V11" s="1" t="s">
        <v>38</v>
      </c>
      <c r="W11" s="1" t="s">
        <v>39</v>
      </c>
      <c r="X11" s="8">
        <f>+IFERROR(VLOOKUP(N11,[1]Hoja1!$B$2:$F$52,4,0)*P11,"")</f>
        <v>36.58064516129032</v>
      </c>
      <c r="Y11" s="8" t="str">
        <f>+VLOOKUP(M11,[1]SKU!$B$3:$E$81,4,0)</f>
        <v>REGULAR</v>
      </c>
      <c r="Z11" s="8" t="str">
        <f t="shared" si="0"/>
        <v>BEES</v>
      </c>
      <c r="AA11" s="8" t="str">
        <f>+VLOOKUP(I11,[1]SKU!$H$2:$I$97,2,0)</f>
        <v>PE07011</v>
      </c>
    </row>
    <row r="12" spans="1:27">
      <c r="A12" s="1" t="s">
        <v>42</v>
      </c>
      <c r="B12" s="2">
        <v>46295</v>
      </c>
      <c r="C12" s="1" t="s">
        <v>263</v>
      </c>
      <c r="D12" s="1" t="s">
        <v>43</v>
      </c>
      <c r="E12" s="1" t="s">
        <v>121</v>
      </c>
      <c r="F12" s="1" t="s">
        <v>122</v>
      </c>
      <c r="G12" s="1" t="s">
        <v>26</v>
      </c>
      <c r="H12" s="1" t="s">
        <v>27</v>
      </c>
      <c r="I12" s="1" t="s">
        <v>72</v>
      </c>
      <c r="J12" s="1" t="s">
        <v>28</v>
      </c>
      <c r="K12" s="1" t="s">
        <v>29</v>
      </c>
      <c r="L12" s="1" t="s">
        <v>30</v>
      </c>
      <c r="M12" s="1" t="s">
        <v>49</v>
      </c>
      <c r="N12" s="1" t="s">
        <v>50</v>
      </c>
      <c r="O12" s="1" t="s">
        <v>33</v>
      </c>
      <c r="P12" s="3">
        <v>10</v>
      </c>
      <c r="Q12" s="3">
        <v>728.4</v>
      </c>
      <c r="R12" s="1" t="s">
        <v>34</v>
      </c>
      <c r="S12" s="1" t="s">
        <v>35</v>
      </c>
      <c r="T12" s="1" t="s">
        <v>36</v>
      </c>
      <c r="U12" s="1" t="s">
        <v>37</v>
      </c>
      <c r="V12" s="1" t="s">
        <v>38</v>
      </c>
      <c r="W12" s="1" t="s">
        <v>39</v>
      </c>
      <c r="X12" s="8">
        <f>+IFERROR(VLOOKUP(N12,[1]Hoja1!$B$2:$F$52,4,0)*P12,"")</f>
        <v>10.161290322580644</v>
      </c>
      <c r="Y12" s="8" t="str">
        <f>+VLOOKUP(M12,[1]SKU!$B$3:$E$81,4,0)</f>
        <v>REGULAR</v>
      </c>
      <c r="Z12" s="8" t="str">
        <f t="shared" si="0"/>
        <v>BEES</v>
      </c>
      <c r="AA12" s="8" t="str">
        <f>+VLOOKUP(I12,[1]SKU!$H$2:$I$97,2,0)</f>
        <v>PE07001</v>
      </c>
    </row>
    <row r="13" spans="1:27">
      <c r="A13" s="1" t="s">
        <v>42</v>
      </c>
      <c r="B13" s="2">
        <v>46295</v>
      </c>
      <c r="C13" s="1" t="s">
        <v>264</v>
      </c>
      <c r="D13" s="1" t="s">
        <v>43</v>
      </c>
      <c r="E13" s="1" t="s">
        <v>265</v>
      </c>
      <c r="F13" s="1" t="s">
        <v>266</v>
      </c>
      <c r="G13" s="1" t="s">
        <v>26</v>
      </c>
      <c r="H13" s="1" t="s">
        <v>27</v>
      </c>
      <c r="I13" s="1" t="s">
        <v>267</v>
      </c>
      <c r="J13" s="1" t="s">
        <v>28</v>
      </c>
      <c r="K13" s="1" t="s">
        <v>29</v>
      </c>
      <c r="L13" s="1" t="s">
        <v>30</v>
      </c>
      <c r="M13" s="1" t="s">
        <v>49</v>
      </c>
      <c r="N13" s="1" t="s">
        <v>50</v>
      </c>
      <c r="O13" s="1" t="s">
        <v>33</v>
      </c>
      <c r="P13" s="3">
        <v>10</v>
      </c>
      <c r="Q13" s="3">
        <v>728.4</v>
      </c>
      <c r="R13" s="1" t="s">
        <v>34</v>
      </c>
      <c r="S13" s="1" t="s">
        <v>35</v>
      </c>
      <c r="T13" s="1" t="s">
        <v>36</v>
      </c>
      <c r="U13" s="1" t="s">
        <v>37</v>
      </c>
      <c r="V13" s="1" t="s">
        <v>38</v>
      </c>
      <c r="W13" s="1" t="s">
        <v>39</v>
      </c>
      <c r="X13" s="8">
        <f>+IFERROR(VLOOKUP(N13,[1]Hoja1!$B$2:$F$52,4,0)*P13,"")</f>
        <v>10.161290322580644</v>
      </c>
      <c r="Y13" s="8" t="str">
        <f>+VLOOKUP(M13,[1]SKU!$B$3:$E$81,4,0)</f>
        <v>REGULAR</v>
      </c>
      <c r="Z13" s="8" t="str">
        <f t="shared" si="0"/>
        <v>BEES</v>
      </c>
      <c r="AA13" s="8" t="str">
        <f>+VLOOKUP(I13,[1]SKU!$H$2:$I$97,2,0)</f>
        <v>PE07006</v>
      </c>
    </row>
    <row r="14" spans="1:27">
      <c r="A14" s="1" t="s">
        <v>42</v>
      </c>
      <c r="B14" s="2">
        <v>46295</v>
      </c>
      <c r="C14" s="1" t="s">
        <v>268</v>
      </c>
      <c r="D14" s="1" t="s">
        <v>43</v>
      </c>
      <c r="E14" s="1" t="s">
        <v>174</v>
      </c>
      <c r="F14" s="1" t="s">
        <v>175</v>
      </c>
      <c r="G14" s="1" t="s">
        <v>26</v>
      </c>
      <c r="H14" s="1" t="s">
        <v>27</v>
      </c>
      <c r="I14" s="1" t="s">
        <v>65</v>
      </c>
      <c r="J14" s="1" t="s">
        <v>28</v>
      </c>
      <c r="K14" s="1" t="s">
        <v>29</v>
      </c>
      <c r="L14" s="1" t="s">
        <v>30</v>
      </c>
      <c r="M14" s="1" t="s">
        <v>49</v>
      </c>
      <c r="N14" s="1" t="s">
        <v>50</v>
      </c>
      <c r="O14" s="1" t="s">
        <v>33</v>
      </c>
      <c r="P14" s="3">
        <v>1</v>
      </c>
      <c r="Q14" s="3">
        <v>72.840001000000001</v>
      </c>
      <c r="R14" s="1" t="s">
        <v>34</v>
      </c>
      <c r="S14" s="1" t="s">
        <v>35</v>
      </c>
      <c r="T14" s="1" t="s">
        <v>36</v>
      </c>
      <c r="U14" s="1" t="s">
        <v>37</v>
      </c>
      <c r="V14" s="1" t="s">
        <v>38</v>
      </c>
      <c r="W14" s="1" t="s">
        <v>39</v>
      </c>
      <c r="X14" s="8">
        <f>+IFERROR(VLOOKUP(N14,[1]Hoja1!$B$2:$F$52,4,0)*P14,"")</f>
        <v>1.0161290322580645</v>
      </c>
      <c r="Y14" s="8" t="str">
        <f>+VLOOKUP(M14,[1]SKU!$B$3:$E$81,4,0)</f>
        <v>REGULAR</v>
      </c>
      <c r="Z14" s="8" t="str">
        <f t="shared" si="0"/>
        <v>BEES</v>
      </c>
      <c r="AA14" s="8" t="str">
        <f>+VLOOKUP(I14,[1]SKU!$H$2:$I$97,2,0)</f>
        <v>PE07003</v>
      </c>
    </row>
    <row r="15" spans="1:27">
      <c r="A15" s="1" t="s">
        <v>40</v>
      </c>
      <c r="B15" s="2">
        <v>46295</v>
      </c>
      <c r="C15" s="1" t="s">
        <v>269</v>
      </c>
      <c r="D15" s="1" t="s">
        <v>41</v>
      </c>
      <c r="E15" s="1" t="s">
        <v>270</v>
      </c>
      <c r="F15" s="1" t="s">
        <v>271</v>
      </c>
      <c r="G15" s="1" t="s">
        <v>26</v>
      </c>
      <c r="H15" s="1" t="s">
        <v>27</v>
      </c>
      <c r="I15" s="1" t="s">
        <v>132</v>
      </c>
      <c r="J15" s="1" t="s">
        <v>28</v>
      </c>
      <c r="K15" s="1" t="s">
        <v>29</v>
      </c>
      <c r="L15" s="1" t="s">
        <v>30</v>
      </c>
      <c r="M15" s="1" t="s">
        <v>49</v>
      </c>
      <c r="N15" s="1" t="s">
        <v>50</v>
      </c>
      <c r="O15" s="1" t="s">
        <v>33</v>
      </c>
      <c r="P15" s="3">
        <v>35</v>
      </c>
      <c r="Q15" s="3">
        <v>2549.400001</v>
      </c>
      <c r="R15" s="1" t="s">
        <v>34</v>
      </c>
      <c r="S15" s="1" t="s">
        <v>35</v>
      </c>
      <c r="T15" s="1" t="s">
        <v>36</v>
      </c>
      <c r="U15" s="1" t="s">
        <v>37</v>
      </c>
      <c r="V15" s="1" t="s">
        <v>38</v>
      </c>
      <c r="W15" s="1" t="s">
        <v>39</v>
      </c>
      <c r="X15" s="8">
        <f>+IFERROR(VLOOKUP(N15,[1]Hoja1!$B$2:$F$52,4,0)*P15,"")</f>
        <v>35.564516129032256</v>
      </c>
      <c r="Y15" s="8" t="str">
        <f>+VLOOKUP(M15,[1]SKU!$B$3:$E$81,4,0)</f>
        <v>REGULAR</v>
      </c>
      <c r="Z15" s="8" t="str">
        <f t="shared" si="0"/>
        <v>BEES</v>
      </c>
      <c r="AA15" s="8" t="str">
        <f>+VLOOKUP(I15,[1]SKU!$H$2:$I$97,2,0)</f>
        <v>PE07009</v>
      </c>
    </row>
    <row r="16" spans="1:27">
      <c r="A16" s="1" t="s">
        <v>42</v>
      </c>
      <c r="B16" s="2">
        <v>46295</v>
      </c>
      <c r="C16" s="1" t="s">
        <v>272</v>
      </c>
      <c r="D16" s="1" t="s">
        <v>43</v>
      </c>
      <c r="E16" s="1" t="s">
        <v>273</v>
      </c>
      <c r="F16" s="1" t="s">
        <v>274</v>
      </c>
      <c r="G16" s="1" t="s">
        <v>26</v>
      </c>
      <c r="H16" s="1" t="s">
        <v>27</v>
      </c>
      <c r="I16" s="1" t="s">
        <v>65</v>
      </c>
      <c r="J16" s="1" t="s">
        <v>28</v>
      </c>
      <c r="K16" s="1" t="s">
        <v>29</v>
      </c>
      <c r="L16" s="1" t="s">
        <v>30</v>
      </c>
      <c r="M16" s="1" t="s">
        <v>31</v>
      </c>
      <c r="N16" s="1" t="s">
        <v>32</v>
      </c>
      <c r="O16" s="1" t="s">
        <v>33</v>
      </c>
      <c r="P16" s="3">
        <v>5</v>
      </c>
      <c r="Q16" s="3">
        <v>368.27474999999998</v>
      </c>
      <c r="R16" s="1" t="s">
        <v>34</v>
      </c>
      <c r="S16" s="1" t="s">
        <v>35</v>
      </c>
      <c r="T16" s="1" t="s">
        <v>36</v>
      </c>
      <c r="U16" s="1" t="s">
        <v>37</v>
      </c>
      <c r="V16" s="1" t="s">
        <v>38</v>
      </c>
      <c r="W16" s="1" t="s">
        <v>39</v>
      </c>
      <c r="X16" s="8">
        <f>+IFERROR(VLOOKUP(N16,[1]Hoja1!$B$2:$F$52,4,0)*P16,"")</f>
        <v>5</v>
      </c>
      <c r="Y16" s="8" t="str">
        <f>+VLOOKUP(M16,[1]SKU!$B$3:$E$81,4,0)</f>
        <v>REGULAR</v>
      </c>
      <c r="Z16" s="8" t="str">
        <f t="shared" si="0"/>
        <v>BEES</v>
      </c>
      <c r="AA16" s="8" t="str">
        <f>+VLOOKUP(I16,[1]SKU!$H$2:$I$97,2,0)</f>
        <v>PE07003</v>
      </c>
    </row>
    <row r="17" spans="1:27">
      <c r="A17" s="1" t="s">
        <v>42</v>
      </c>
      <c r="B17" s="2">
        <v>46295</v>
      </c>
      <c r="C17" s="1" t="s">
        <v>275</v>
      </c>
      <c r="D17" s="1" t="s">
        <v>43</v>
      </c>
      <c r="E17" s="1" t="s">
        <v>178</v>
      </c>
      <c r="F17" s="1" t="s">
        <v>179</v>
      </c>
      <c r="G17" s="1" t="s">
        <v>26</v>
      </c>
      <c r="H17" s="1" t="s">
        <v>27</v>
      </c>
      <c r="I17" s="1" t="s">
        <v>180</v>
      </c>
      <c r="J17" s="1" t="s">
        <v>28</v>
      </c>
      <c r="K17" s="1" t="s">
        <v>29</v>
      </c>
      <c r="L17" s="1" t="s">
        <v>30</v>
      </c>
      <c r="M17" s="1" t="s">
        <v>31</v>
      </c>
      <c r="N17" s="1" t="s">
        <v>32</v>
      </c>
      <c r="O17" s="1" t="s">
        <v>33</v>
      </c>
      <c r="P17" s="3">
        <v>4</v>
      </c>
      <c r="Q17" s="3">
        <v>309.8</v>
      </c>
      <c r="R17" s="1" t="s">
        <v>34</v>
      </c>
      <c r="S17" s="1" t="s">
        <v>35</v>
      </c>
      <c r="T17" s="1" t="s">
        <v>36</v>
      </c>
      <c r="U17" s="1" t="s">
        <v>37</v>
      </c>
      <c r="V17" s="1" t="s">
        <v>38</v>
      </c>
      <c r="W17" s="1" t="s">
        <v>39</v>
      </c>
      <c r="X17" s="8">
        <f>+IFERROR(VLOOKUP(N17,[1]Hoja1!$B$2:$F$52,4,0)*P17,"")</f>
        <v>4</v>
      </c>
      <c r="Y17" s="8" t="str">
        <f>+VLOOKUP(M17,[1]SKU!$B$3:$E$81,4,0)</f>
        <v>REGULAR</v>
      </c>
      <c r="Z17" s="8" t="str">
        <f t="shared" si="0"/>
        <v>BEES</v>
      </c>
      <c r="AA17" s="8" t="str">
        <f>+VLOOKUP(I17,[1]SKU!$H$2:$I$97,2,0)</f>
        <v>PE07002</v>
      </c>
    </row>
    <row r="18" spans="1:27">
      <c r="A18" s="1" t="s">
        <v>42</v>
      </c>
      <c r="B18" s="2">
        <v>46295</v>
      </c>
      <c r="C18" s="1" t="s">
        <v>276</v>
      </c>
      <c r="D18" s="1" t="s">
        <v>43</v>
      </c>
      <c r="E18" s="1" t="s">
        <v>277</v>
      </c>
      <c r="F18" s="1" t="s">
        <v>278</v>
      </c>
      <c r="G18" s="1" t="s">
        <v>26</v>
      </c>
      <c r="H18" s="1" t="s">
        <v>27</v>
      </c>
      <c r="I18" s="1" t="s">
        <v>180</v>
      </c>
      <c r="J18" s="1" t="s">
        <v>28</v>
      </c>
      <c r="K18" s="1" t="s">
        <v>29</v>
      </c>
      <c r="L18" s="1" t="s">
        <v>30</v>
      </c>
      <c r="M18" s="1" t="s">
        <v>31</v>
      </c>
      <c r="N18" s="1" t="s">
        <v>32</v>
      </c>
      <c r="O18" s="1" t="s">
        <v>33</v>
      </c>
      <c r="P18" s="3">
        <v>1</v>
      </c>
      <c r="Q18" s="3">
        <v>76.210800000000006</v>
      </c>
      <c r="R18" s="1" t="s">
        <v>34</v>
      </c>
      <c r="S18" s="1" t="s">
        <v>35</v>
      </c>
      <c r="T18" s="1" t="s">
        <v>36</v>
      </c>
      <c r="U18" s="1" t="s">
        <v>37</v>
      </c>
      <c r="V18" s="1" t="s">
        <v>38</v>
      </c>
      <c r="W18" s="1" t="s">
        <v>39</v>
      </c>
      <c r="X18" s="8">
        <f>+IFERROR(VLOOKUP(N18,[1]Hoja1!$B$2:$F$52,4,0)*P18,"")</f>
        <v>1</v>
      </c>
      <c r="Y18" s="8" t="str">
        <f>+VLOOKUP(M18,[1]SKU!$B$3:$E$81,4,0)</f>
        <v>REGULAR</v>
      </c>
      <c r="Z18" s="8" t="str">
        <f t="shared" si="0"/>
        <v>BEES</v>
      </c>
      <c r="AA18" s="8" t="str">
        <f>+VLOOKUP(I18,[1]SKU!$H$2:$I$97,2,0)</f>
        <v>PE07002</v>
      </c>
    </row>
    <row r="19" spans="1:27">
      <c r="A19" s="1" t="s">
        <v>40</v>
      </c>
      <c r="B19" s="2">
        <v>46295</v>
      </c>
      <c r="C19" s="1" t="s">
        <v>279</v>
      </c>
      <c r="D19" s="1" t="s">
        <v>41</v>
      </c>
      <c r="E19" s="1" t="s">
        <v>139</v>
      </c>
      <c r="F19" s="1" t="s">
        <v>140</v>
      </c>
      <c r="G19" s="1" t="s">
        <v>26</v>
      </c>
      <c r="H19" s="1" t="s">
        <v>27</v>
      </c>
      <c r="I19" s="1" t="s">
        <v>132</v>
      </c>
      <c r="J19" s="1" t="s">
        <v>28</v>
      </c>
      <c r="K19" s="1" t="s">
        <v>29</v>
      </c>
      <c r="L19" s="1" t="s">
        <v>30</v>
      </c>
      <c r="M19" s="1" t="s">
        <v>31</v>
      </c>
      <c r="N19" s="1" t="s">
        <v>32</v>
      </c>
      <c r="O19" s="1" t="s">
        <v>33</v>
      </c>
      <c r="P19" s="3">
        <v>1</v>
      </c>
      <c r="Q19" s="3">
        <v>73.460784000000004</v>
      </c>
      <c r="R19" s="1" t="s">
        <v>34</v>
      </c>
      <c r="S19" s="1" t="s">
        <v>35</v>
      </c>
      <c r="T19" s="1" t="s">
        <v>36</v>
      </c>
      <c r="U19" s="1" t="s">
        <v>37</v>
      </c>
      <c r="V19" s="1" t="s">
        <v>38</v>
      </c>
      <c r="W19" s="1" t="s">
        <v>39</v>
      </c>
      <c r="X19" s="8">
        <f>+IFERROR(VLOOKUP(N19,[1]Hoja1!$B$2:$F$52,4,0)*P19,"")</f>
        <v>1</v>
      </c>
      <c r="Y19" s="8" t="str">
        <f>+VLOOKUP(M19,[1]SKU!$B$3:$E$81,4,0)</f>
        <v>REGULAR</v>
      </c>
      <c r="Z19" s="8" t="str">
        <f t="shared" si="0"/>
        <v>BEES</v>
      </c>
      <c r="AA19" s="8" t="str">
        <f>+VLOOKUP(I19,[1]SKU!$H$2:$I$97,2,0)</f>
        <v>PE07009</v>
      </c>
    </row>
    <row r="20" spans="1:27">
      <c r="A20" s="1" t="s">
        <v>42</v>
      </c>
      <c r="B20" s="2">
        <v>46295</v>
      </c>
      <c r="C20" s="1" t="s">
        <v>280</v>
      </c>
      <c r="D20" s="1" t="s">
        <v>43</v>
      </c>
      <c r="E20" s="1" t="s">
        <v>281</v>
      </c>
      <c r="F20" s="1" t="s">
        <v>282</v>
      </c>
      <c r="G20" s="1" t="s">
        <v>26</v>
      </c>
      <c r="H20" s="1" t="s">
        <v>27</v>
      </c>
      <c r="I20" s="1" t="s">
        <v>267</v>
      </c>
      <c r="J20" s="1" t="s">
        <v>28</v>
      </c>
      <c r="K20" s="1" t="s">
        <v>29</v>
      </c>
      <c r="L20" s="1" t="s">
        <v>30</v>
      </c>
      <c r="M20" s="1" t="s">
        <v>31</v>
      </c>
      <c r="N20" s="1" t="s">
        <v>32</v>
      </c>
      <c r="O20" s="1" t="s">
        <v>33</v>
      </c>
      <c r="P20" s="3">
        <v>1</v>
      </c>
      <c r="Q20" s="3">
        <v>77.45</v>
      </c>
      <c r="R20" s="1" t="s">
        <v>34</v>
      </c>
      <c r="S20" s="1" t="s">
        <v>35</v>
      </c>
      <c r="T20" s="1" t="s">
        <v>36</v>
      </c>
      <c r="U20" s="1" t="s">
        <v>37</v>
      </c>
      <c r="V20" s="1" t="s">
        <v>38</v>
      </c>
      <c r="W20" s="1" t="s">
        <v>39</v>
      </c>
      <c r="X20" s="8">
        <f>+IFERROR(VLOOKUP(N20,[1]Hoja1!$B$2:$F$52,4,0)*P20,"")</f>
        <v>1</v>
      </c>
      <c r="Y20" s="8" t="str">
        <f>+VLOOKUP(M20,[1]SKU!$B$3:$E$81,4,0)</f>
        <v>REGULAR</v>
      </c>
      <c r="Z20" s="8" t="str">
        <f t="shared" si="0"/>
        <v>BEES</v>
      </c>
      <c r="AA20" s="8" t="str">
        <f>+VLOOKUP(I20,[1]SKU!$H$2:$I$97,2,0)</f>
        <v>PE07006</v>
      </c>
    </row>
    <row r="21" spans="1:27">
      <c r="A21" s="1" t="s">
        <v>42</v>
      </c>
      <c r="B21" s="2">
        <v>46295</v>
      </c>
      <c r="C21" s="1" t="s">
        <v>283</v>
      </c>
      <c r="D21" s="1" t="s">
        <v>43</v>
      </c>
      <c r="E21" s="1" t="s">
        <v>284</v>
      </c>
      <c r="F21" s="1" t="s">
        <v>285</v>
      </c>
      <c r="G21" s="1" t="s">
        <v>26</v>
      </c>
      <c r="H21" s="1" t="s">
        <v>27</v>
      </c>
      <c r="I21" s="1" t="s">
        <v>123</v>
      </c>
      <c r="J21" s="1" t="s">
        <v>28</v>
      </c>
      <c r="K21" s="1" t="s">
        <v>29</v>
      </c>
      <c r="L21" s="1" t="s">
        <v>30</v>
      </c>
      <c r="M21" s="1" t="s">
        <v>31</v>
      </c>
      <c r="N21" s="1" t="s">
        <v>32</v>
      </c>
      <c r="O21" s="1" t="s">
        <v>33</v>
      </c>
      <c r="P21" s="3">
        <v>1</v>
      </c>
      <c r="Q21" s="3">
        <v>77.45</v>
      </c>
      <c r="R21" s="1" t="s">
        <v>34</v>
      </c>
      <c r="S21" s="1" t="s">
        <v>35</v>
      </c>
      <c r="T21" s="1" t="s">
        <v>36</v>
      </c>
      <c r="U21" s="1" t="s">
        <v>37</v>
      </c>
      <c r="V21" s="1" t="s">
        <v>38</v>
      </c>
      <c r="W21" s="1" t="s">
        <v>39</v>
      </c>
      <c r="X21" s="8">
        <f>+IFERROR(VLOOKUP(N21,[1]Hoja1!$B$2:$F$52,4,0)*P21,"")</f>
        <v>1</v>
      </c>
      <c r="Y21" s="8" t="str">
        <f>+VLOOKUP(M21,[1]SKU!$B$3:$E$81,4,0)</f>
        <v>REGULAR</v>
      </c>
      <c r="Z21" s="8" t="str">
        <f t="shared" si="0"/>
        <v>BEES</v>
      </c>
      <c r="AA21" s="8" t="str">
        <f>+VLOOKUP(I21,[1]SKU!$H$2:$I$97,2,0)</f>
        <v>PE07003</v>
      </c>
    </row>
    <row r="22" spans="1:27">
      <c r="A22" s="1" t="s">
        <v>42</v>
      </c>
      <c r="B22" s="2">
        <v>46295</v>
      </c>
      <c r="C22" s="1" t="s">
        <v>286</v>
      </c>
      <c r="D22" s="1" t="s">
        <v>43</v>
      </c>
      <c r="E22" s="1" t="s">
        <v>287</v>
      </c>
      <c r="F22" s="1" t="s">
        <v>288</v>
      </c>
      <c r="G22" s="1" t="s">
        <v>26</v>
      </c>
      <c r="H22" s="1" t="s">
        <v>27</v>
      </c>
      <c r="I22" s="1" t="s">
        <v>65</v>
      </c>
      <c r="J22" s="1" t="s">
        <v>28</v>
      </c>
      <c r="K22" s="1" t="s">
        <v>29</v>
      </c>
      <c r="L22" s="1" t="s">
        <v>30</v>
      </c>
      <c r="M22" s="1" t="s">
        <v>31</v>
      </c>
      <c r="N22" s="1" t="s">
        <v>32</v>
      </c>
      <c r="O22" s="1" t="s">
        <v>33</v>
      </c>
      <c r="P22" s="3">
        <v>1</v>
      </c>
      <c r="Q22" s="3">
        <v>76.210800000000006</v>
      </c>
      <c r="R22" s="1" t="s">
        <v>34</v>
      </c>
      <c r="S22" s="1" t="s">
        <v>35</v>
      </c>
      <c r="T22" s="1" t="s">
        <v>36</v>
      </c>
      <c r="U22" s="1" t="s">
        <v>37</v>
      </c>
      <c r="V22" s="1" t="s">
        <v>38</v>
      </c>
      <c r="W22" s="1" t="s">
        <v>39</v>
      </c>
      <c r="X22" s="8">
        <f>+IFERROR(VLOOKUP(N22,[1]Hoja1!$B$2:$F$52,4,0)*P22,"")</f>
        <v>1</v>
      </c>
      <c r="Y22" s="8" t="str">
        <f>+VLOOKUP(M22,[1]SKU!$B$3:$E$81,4,0)</f>
        <v>REGULAR</v>
      </c>
      <c r="Z22" s="8" t="str">
        <f t="shared" si="0"/>
        <v>BEES</v>
      </c>
      <c r="AA22" s="8" t="str">
        <f>+VLOOKUP(I22,[1]SKU!$H$2:$I$97,2,0)</f>
        <v>PE07003</v>
      </c>
    </row>
    <row r="23" spans="1:27">
      <c r="A23" s="1" t="s">
        <v>40</v>
      </c>
      <c r="B23" s="2">
        <v>46295</v>
      </c>
      <c r="C23" s="1" t="s">
        <v>279</v>
      </c>
      <c r="D23" s="1" t="s">
        <v>41</v>
      </c>
      <c r="E23" s="1" t="s">
        <v>139</v>
      </c>
      <c r="F23" s="1" t="s">
        <v>140</v>
      </c>
      <c r="G23" s="1" t="s">
        <v>26</v>
      </c>
      <c r="H23" s="1" t="s">
        <v>27</v>
      </c>
      <c r="I23" s="1" t="s">
        <v>132</v>
      </c>
      <c r="J23" s="1" t="s">
        <v>28</v>
      </c>
      <c r="K23" s="1" t="s">
        <v>29</v>
      </c>
      <c r="L23" s="1" t="s">
        <v>30</v>
      </c>
      <c r="M23" s="1" t="s">
        <v>59</v>
      </c>
      <c r="N23" s="1" t="s">
        <v>60</v>
      </c>
      <c r="O23" s="1" t="s">
        <v>61</v>
      </c>
      <c r="P23" s="3">
        <v>1</v>
      </c>
      <c r="Q23" s="3">
        <v>19.607842999999999</v>
      </c>
      <c r="R23" s="1" t="s">
        <v>34</v>
      </c>
      <c r="S23" s="1" t="s">
        <v>35</v>
      </c>
      <c r="T23" s="1" t="s">
        <v>36</v>
      </c>
      <c r="U23" s="1" t="s">
        <v>37</v>
      </c>
      <c r="V23" s="1" t="s">
        <v>38</v>
      </c>
      <c r="W23" s="1" t="s">
        <v>39</v>
      </c>
      <c r="X23" s="8">
        <f>+IFERROR(VLOOKUP(N23,[1]Hoja1!$B$2:$F$52,4,0)*P23,"")</f>
        <v>0.28629032258064518</v>
      </c>
      <c r="Y23" s="8" t="str">
        <f>+VLOOKUP(M23,[1]SKU!$B$3:$E$81,4,0)</f>
        <v>LATAS</v>
      </c>
      <c r="Z23" s="8" t="str">
        <f t="shared" si="0"/>
        <v>BEES</v>
      </c>
      <c r="AA23" s="8" t="str">
        <f>+VLOOKUP(I23,[1]SKU!$H$2:$I$97,2,0)</f>
        <v>PE07009</v>
      </c>
    </row>
    <row r="24" spans="1:27">
      <c r="A24" s="1" t="s">
        <v>40</v>
      </c>
      <c r="B24" s="2">
        <v>46295</v>
      </c>
      <c r="C24" s="1" t="s">
        <v>289</v>
      </c>
      <c r="D24" s="1" t="s">
        <v>41</v>
      </c>
      <c r="E24" s="1" t="s">
        <v>133</v>
      </c>
      <c r="F24" s="1" t="s">
        <v>134</v>
      </c>
      <c r="G24" s="1" t="s">
        <v>26</v>
      </c>
      <c r="H24" s="1" t="s">
        <v>27</v>
      </c>
      <c r="I24" s="1" t="s">
        <v>132</v>
      </c>
      <c r="J24" s="1" t="s">
        <v>28</v>
      </c>
      <c r="K24" s="1" t="s">
        <v>29</v>
      </c>
      <c r="L24" s="1" t="s">
        <v>30</v>
      </c>
      <c r="M24" s="1" t="s">
        <v>59</v>
      </c>
      <c r="N24" s="1" t="s">
        <v>60</v>
      </c>
      <c r="O24" s="1" t="s">
        <v>61</v>
      </c>
      <c r="P24" s="3">
        <v>1</v>
      </c>
      <c r="Q24" s="3">
        <v>19.607842999999999</v>
      </c>
      <c r="R24" s="1" t="s">
        <v>34</v>
      </c>
      <c r="S24" s="1" t="s">
        <v>35</v>
      </c>
      <c r="T24" s="1" t="s">
        <v>36</v>
      </c>
      <c r="U24" s="1" t="s">
        <v>37</v>
      </c>
      <c r="V24" s="1" t="s">
        <v>38</v>
      </c>
      <c r="W24" s="1" t="s">
        <v>39</v>
      </c>
      <c r="X24" s="8">
        <f>+IFERROR(VLOOKUP(N24,[1]Hoja1!$B$2:$F$52,4,0)*P24,"")</f>
        <v>0.28629032258064518</v>
      </c>
      <c r="Y24" s="8" t="str">
        <f>+VLOOKUP(M24,[1]SKU!$B$3:$E$81,4,0)</f>
        <v>LATAS</v>
      </c>
      <c r="Z24" s="8" t="str">
        <f t="shared" si="0"/>
        <v>BEES</v>
      </c>
      <c r="AA24" s="8" t="str">
        <f>+VLOOKUP(I24,[1]SKU!$H$2:$I$97,2,0)</f>
        <v>PE07009</v>
      </c>
    </row>
    <row r="25" spans="1:27">
      <c r="A25" s="1" t="s">
        <v>42</v>
      </c>
      <c r="B25" s="2">
        <v>46295</v>
      </c>
      <c r="C25" s="1" t="s">
        <v>290</v>
      </c>
      <c r="D25" s="1" t="s">
        <v>43</v>
      </c>
      <c r="E25" s="1" t="s">
        <v>149</v>
      </c>
      <c r="F25" s="1" t="s">
        <v>150</v>
      </c>
      <c r="G25" s="1" t="s">
        <v>26</v>
      </c>
      <c r="H25" s="1" t="s">
        <v>27</v>
      </c>
      <c r="I25" s="1" t="s">
        <v>72</v>
      </c>
      <c r="J25" s="1" t="s">
        <v>28</v>
      </c>
      <c r="K25" s="1" t="s">
        <v>29</v>
      </c>
      <c r="L25" s="1" t="s">
        <v>30</v>
      </c>
      <c r="M25" s="1" t="s">
        <v>59</v>
      </c>
      <c r="N25" s="1" t="s">
        <v>60</v>
      </c>
      <c r="O25" s="1" t="s">
        <v>61</v>
      </c>
      <c r="P25" s="3">
        <v>10</v>
      </c>
      <c r="Q25" s="3">
        <v>233.23419999999999</v>
      </c>
      <c r="R25" s="1" t="s">
        <v>34</v>
      </c>
      <c r="S25" s="1" t="s">
        <v>35</v>
      </c>
      <c r="T25" s="1" t="s">
        <v>36</v>
      </c>
      <c r="U25" s="1" t="s">
        <v>37</v>
      </c>
      <c r="V25" s="1" t="s">
        <v>38</v>
      </c>
      <c r="W25" s="1" t="s">
        <v>39</v>
      </c>
      <c r="X25" s="8">
        <f>+IFERROR(VLOOKUP(N25,[1]Hoja1!$B$2:$F$52,4,0)*P25,"")</f>
        <v>2.862903225806452</v>
      </c>
      <c r="Y25" s="8" t="str">
        <f>+VLOOKUP(M25,[1]SKU!$B$3:$E$81,4,0)</f>
        <v>LATAS</v>
      </c>
      <c r="Z25" s="8" t="str">
        <f t="shared" si="0"/>
        <v>BEES</v>
      </c>
      <c r="AA25" s="8" t="str">
        <f>+VLOOKUP(I25,[1]SKU!$H$2:$I$97,2,0)</f>
        <v>PE07001</v>
      </c>
    </row>
    <row r="26" spans="1:27">
      <c r="A26" s="1" t="s">
        <v>51</v>
      </c>
      <c r="B26" s="2">
        <v>46295</v>
      </c>
      <c r="C26" s="1" t="s">
        <v>291</v>
      </c>
      <c r="D26" s="1" t="s">
        <v>52</v>
      </c>
      <c r="E26" s="1" t="s">
        <v>292</v>
      </c>
      <c r="F26" s="1" t="s">
        <v>293</v>
      </c>
      <c r="G26" s="1" t="s">
        <v>26</v>
      </c>
      <c r="H26" s="1" t="s">
        <v>27</v>
      </c>
      <c r="I26" s="1" t="s">
        <v>238</v>
      </c>
      <c r="J26" s="1" t="s">
        <v>28</v>
      </c>
      <c r="K26" s="1" t="s">
        <v>29</v>
      </c>
      <c r="L26" s="1" t="s">
        <v>30</v>
      </c>
      <c r="M26" s="1" t="s">
        <v>59</v>
      </c>
      <c r="N26" s="1" t="s">
        <v>60</v>
      </c>
      <c r="O26" s="1" t="s">
        <v>61</v>
      </c>
      <c r="P26" s="3">
        <v>1</v>
      </c>
      <c r="Q26" s="3">
        <v>24.02</v>
      </c>
      <c r="R26" s="1" t="s">
        <v>34</v>
      </c>
      <c r="S26" s="1" t="s">
        <v>35</v>
      </c>
      <c r="T26" s="1" t="s">
        <v>36</v>
      </c>
      <c r="U26" s="1" t="s">
        <v>37</v>
      </c>
      <c r="V26" s="1" t="s">
        <v>38</v>
      </c>
      <c r="W26" s="1" t="s">
        <v>39</v>
      </c>
      <c r="X26" s="8">
        <f>+IFERROR(VLOOKUP(N26,[1]Hoja1!$B$2:$F$52,4,0)*P26,"")</f>
        <v>0.28629032258064518</v>
      </c>
      <c r="Y26" s="8" t="str">
        <f>+VLOOKUP(M26,[1]SKU!$B$3:$E$81,4,0)</f>
        <v>LATAS</v>
      </c>
      <c r="Z26" s="8" t="str">
        <f t="shared" si="0"/>
        <v>BEES</v>
      </c>
      <c r="AA26" s="8" t="str">
        <f>+VLOOKUP(I26,[1]SKU!$H$2:$I$97,2,0)</f>
        <v>PE07011</v>
      </c>
    </row>
    <row r="27" spans="1:27">
      <c r="A27" s="1" t="s">
        <v>44</v>
      </c>
      <c r="B27" s="2">
        <v>46295</v>
      </c>
      <c r="C27" s="1" t="s">
        <v>294</v>
      </c>
      <c r="D27" s="1" t="s">
        <v>58</v>
      </c>
      <c r="E27" s="1" t="s">
        <v>295</v>
      </c>
      <c r="F27" s="1" t="s">
        <v>296</v>
      </c>
      <c r="G27" s="1" t="s">
        <v>26</v>
      </c>
      <c r="H27" s="1" t="s">
        <v>27</v>
      </c>
      <c r="I27" s="1" t="s">
        <v>297</v>
      </c>
      <c r="J27" s="1" t="s">
        <v>28</v>
      </c>
      <c r="K27" s="1" t="s">
        <v>29</v>
      </c>
      <c r="L27" s="1" t="s">
        <v>30</v>
      </c>
      <c r="M27" s="1" t="s">
        <v>59</v>
      </c>
      <c r="N27" s="1" t="s">
        <v>60</v>
      </c>
      <c r="O27" s="1" t="s">
        <v>61</v>
      </c>
      <c r="P27" s="3">
        <v>2</v>
      </c>
      <c r="Q27" s="3">
        <v>48.04</v>
      </c>
      <c r="R27" s="1" t="s">
        <v>34</v>
      </c>
      <c r="S27" s="1" t="s">
        <v>35</v>
      </c>
      <c r="T27" s="1" t="s">
        <v>36</v>
      </c>
      <c r="U27" s="1" t="s">
        <v>37</v>
      </c>
      <c r="V27" s="1" t="s">
        <v>38</v>
      </c>
      <c r="W27" s="1" t="s">
        <v>39</v>
      </c>
      <c r="X27" s="8">
        <f>+IFERROR(VLOOKUP(N27,[1]Hoja1!$B$2:$F$52,4,0)*P27,"")</f>
        <v>0.57258064516129037</v>
      </c>
      <c r="Y27" s="8" t="str">
        <f>+VLOOKUP(M27,[1]SKU!$B$3:$E$81,4,0)</f>
        <v>LATAS</v>
      </c>
      <c r="Z27" s="8" t="str">
        <f t="shared" si="0"/>
        <v>BEES</v>
      </c>
      <c r="AA27" s="8" t="str">
        <f>+VLOOKUP(I27,[1]SKU!$H$2:$I$97,2,0)</f>
        <v>PE07004</v>
      </c>
    </row>
    <row r="28" spans="1:27">
      <c r="A28" s="1" t="s">
        <v>51</v>
      </c>
      <c r="B28" s="2">
        <v>46295</v>
      </c>
      <c r="C28" s="1" t="s">
        <v>235</v>
      </c>
      <c r="D28" s="1" t="s">
        <v>52</v>
      </c>
      <c r="E28" s="1" t="s">
        <v>236</v>
      </c>
      <c r="F28" s="1" t="s">
        <v>237</v>
      </c>
      <c r="G28" s="1" t="s">
        <v>26</v>
      </c>
      <c r="H28" s="1" t="s">
        <v>27</v>
      </c>
      <c r="I28" s="1" t="s">
        <v>238</v>
      </c>
      <c r="J28" s="1" t="s">
        <v>28</v>
      </c>
      <c r="K28" s="1" t="s">
        <v>29</v>
      </c>
      <c r="L28" s="1" t="s">
        <v>30</v>
      </c>
      <c r="M28" s="1" t="s">
        <v>59</v>
      </c>
      <c r="N28" s="1" t="s">
        <v>60</v>
      </c>
      <c r="O28" s="1" t="s">
        <v>61</v>
      </c>
      <c r="P28" s="3">
        <v>6</v>
      </c>
      <c r="Q28" s="3">
        <v>138.78756000000001</v>
      </c>
      <c r="R28" s="1" t="s">
        <v>34</v>
      </c>
      <c r="S28" s="1" t="s">
        <v>35</v>
      </c>
      <c r="T28" s="1" t="s">
        <v>36</v>
      </c>
      <c r="U28" s="1" t="s">
        <v>37</v>
      </c>
      <c r="V28" s="1" t="s">
        <v>38</v>
      </c>
      <c r="W28" s="1" t="s">
        <v>39</v>
      </c>
      <c r="X28" s="8">
        <f>+IFERROR(VLOOKUP(N28,[1]Hoja1!$B$2:$F$52,4,0)*P28,"")</f>
        <v>1.717741935483871</v>
      </c>
      <c r="Y28" s="8" t="str">
        <f>+VLOOKUP(M28,[1]SKU!$B$3:$E$81,4,0)</f>
        <v>LATAS</v>
      </c>
      <c r="Z28" s="8" t="str">
        <f t="shared" si="0"/>
        <v>BEES</v>
      </c>
      <c r="AA28" s="8" t="str">
        <f>+VLOOKUP(I28,[1]SKU!$H$2:$I$97,2,0)</f>
        <v>PE07011</v>
      </c>
    </row>
    <row r="29" spans="1:27">
      <c r="A29" s="1" t="s">
        <v>42</v>
      </c>
      <c r="B29" s="2">
        <v>46295</v>
      </c>
      <c r="C29" s="1" t="s">
        <v>264</v>
      </c>
      <c r="D29" s="1" t="s">
        <v>43</v>
      </c>
      <c r="E29" s="1" t="s">
        <v>265</v>
      </c>
      <c r="F29" s="1" t="s">
        <v>266</v>
      </c>
      <c r="G29" s="1" t="s">
        <v>26</v>
      </c>
      <c r="H29" s="1" t="s">
        <v>27</v>
      </c>
      <c r="I29" s="1" t="s">
        <v>267</v>
      </c>
      <c r="J29" s="1" t="s">
        <v>28</v>
      </c>
      <c r="K29" s="1" t="s">
        <v>29</v>
      </c>
      <c r="L29" s="1" t="s">
        <v>30</v>
      </c>
      <c r="M29" s="1" t="s">
        <v>59</v>
      </c>
      <c r="N29" s="1" t="s">
        <v>60</v>
      </c>
      <c r="O29" s="1" t="s">
        <v>61</v>
      </c>
      <c r="P29" s="3">
        <v>3</v>
      </c>
      <c r="Q29" s="3">
        <v>72.06</v>
      </c>
      <c r="R29" s="1" t="s">
        <v>34</v>
      </c>
      <c r="S29" s="1" t="s">
        <v>35</v>
      </c>
      <c r="T29" s="1" t="s">
        <v>36</v>
      </c>
      <c r="U29" s="1" t="s">
        <v>37</v>
      </c>
      <c r="V29" s="1" t="s">
        <v>38</v>
      </c>
      <c r="W29" s="1" t="s">
        <v>39</v>
      </c>
      <c r="X29" s="8">
        <f>+IFERROR(VLOOKUP(N29,[1]Hoja1!$B$2:$F$52,4,0)*P29,"")</f>
        <v>0.8588709677419355</v>
      </c>
      <c r="Y29" s="8" t="str">
        <f>+VLOOKUP(M29,[1]SKU!$B$3:$E$81,4,0)</f>
        <v>LATAS</v>
      </c>
      <c r="Z29" s="8" t="str">
        <f t="shared" si="0"/>
        <v>BEES</v>
      </c>
      <c r="AA29" s="8" t="str">
        <f>+VLOOKUP(I29,[1]SKU!$H$2:$I$97,2,0)</f>
        <v>PE07006</v>
      </c>
    </row>
    <row r="30" spans="1:27">
      <c r="A30" s="1" t="s">
        <v>40</v>
      </c>
      <c r="B30" s="2">
        <v>46295</v>
      </c>
      <c r="C30" s="1" t="s">
        <v>298</v>
      </c>
      <c r="D30" s="1" t="s">
        <v>41</v>
      </c>
      <c r="E30" s="1" t="s">
        <v>299</v>
      </c>
      <c r="F30" s="1" t="s">
        <v>300</v>
      </c>
      <c r="G30" s="1" t="s">
        <v>26</v>
      </c>
      <c r="H30" s="1" t="s">
        <v>27</v>
      </c>
      <c r="I30" s="1" t="s">
        <v>132</v>
      </c>
      <c r="J30" s="1" t="s">
        <v>28</v>
      </c>
      <c r="K30" s="1" t="s">
        <v>29</v>
      </c>
      <c r="L30" s="1" t="s">
        <v>30</v>
      </c>
      <c r="M30" s="1" t="s">
        <v>49</v>
      </c>
      <c r="N30" s="1" t="s">
        <v>50</v>
      </c>
      <c r="O30" s="1" t="s">
        <v>33</v>
      </c>
      <c r="P30" s="3">
        <v>1</v>
      </c>
      <c r="Q30" s="3">
        <v>71.637254999999996</v>
      </c>
      <c r="R30" s="1" t="s">
        <v>34</v>
      </c>
      <c r="S30" s="1" t="s">
        <v>35</v>
      </c>
      <c r="T30" s="1" t="s">
        <v>36</v>
      </c>
      <c r="U30" s="1" t="s">
        <v>37</v>
      </c>
      <c r="V30" s="1" t="s">
        <v>38</v>
      </c>
      <c r="W30" s="1" t="s">
        <v>39</v>
      </c>
      <c r="X30" s="8">
        <f>+IFERROR(VLOOKUP(N30,[1]Hoja1!$B$2:$F$52,4,0)*P30,"")</f>
        <v>1.0161290322580645</v>
      </c>
      <c r="Y30" s="8" t="str">
        <f>+VLOOKUP(M30,[1]SKU!$B$3:$E$81,4,0)</f>
        <v>REGULAR</v>
      </c>
      <c r="Z30" s="8" t="str">
        <f t="shared" si="0"/>
        <v>BEES</v>
      </c>
      <c r="AA30" s="8" t="str">
        <f>+VLOOKUP(I30,[1]SKU!$H$2:$I$97,2,0)</f>
        <v>PE07009</v>
      </c>
    </row>
    <row r="31" spans="1:27">
      <c r="A31" s="1" t="s">
        <v>40</v>
      </c>
      <c r="B31" s="2">
        <v>46295</v>
      </c>
      <c r="C31" s="1" t="s">
        <v>301</v>
      </c>
      <c r="D31" s="1" t="s">
        <v>41</v>
      </c>
      <c r="E31" s="1" t="s">
        <v>302</v>
      </c>
      <c r="F31" s="1" t="s">
        <v>303</v>
      </c>
      <c r="G31" s="1" t="s">
        <v>26</v>
      </c>
      <c r="H31" s="1" t="s">
        <v>27</v>
      </c>
      <c r="I31" s="1" t="s">
        <v>132</v>
      </c>
      <c r="J31" s="1" t="s">
        <v>28</v>
      </c>
      <c r="K31" s="1" t="s">
        <v>29</v>
      </c>
      <c r="L31" s="1" t="s">
        <v>30</v>
      </c>
      <c r="M31" s="1" t="s">
        <v>49</v>
      </c>
      <c r="N31" s="1" t="s">
        <v>50</v>
      </c>
      <c r="O31" s="1" t="s">
        <v>33</v>
      </c>
      <c r="P31" s="3">
        <v>10</v>
      </c>
      <c r="Q31" s="3">
        <v>728.4</v>
      </c>
      <c r="R31" s="1" t="s">
        <v>34</v>
      </c>
      <c r="S31" s="1" t="s">
        <v>35</v>
      </c>
      <c r="T31" s="1" t="s">
        <v>36</v>
      </c>
      <c r="U31" s="1" t="s">
        <v>37</v>
      </c>
      <c r="V31" s="1" t="s">
        <v>38</v>
      </c>
      <c r="W31" s="1" t="s">
        <v>39</v>
      </c>
      <c r="X31" s="8">
        <f>+IFERROR(VLOOKUP(N31,[1]Hoja1!$B$2:$F$52,4,0)*P31,"")</f>
        <v>10.161290322580644</v>
      </c>
      <c r="Y31" s="8" t="str">
        <f>+VLOOKUP(M31,[1]SKU!$B$3:$E$81,4,0)</f>
        <v>REGULAR</v>
      </c>
      <c r="Z31" s="8" t="str">
        <f t="shared" si="0"/>
        <v>BEES</v>
      </c>
      <c r="AA31" s="8" t="str">
        <f>+VLOOKUP(I31,[1]SKU!$H$2:$I$97,2,0)</f>
        <v>PE07009</v>
      </c>
    </row>
    <row r="32" spans="1:27">
      <c r="A32" s="1" t="s">
        <v>42</v>
      </c>
      <c r="B32" s="2">
        <v>46295</v>
      </c>
      <c r="C32" s="1" t="s">
        <v>304</v>
      </c>
      <c r="D32" s="1" t="s">
        <v>43</v>
      </c>
      <c r="E32" s="1" t="s">
        <v>305</v>
      </c>
      <c r="F32" s="1" t="s">
        <v>306</v>
      </c>
      <c r="G32" s="1" t="s">
        <v>26</v>
      </c>
      <c r="H32" s="1" t="s">
        <v>27</v>
      </c>
      <c r="I32" s="1" t="s">
        <v>72</v>
      </c>
      <c r="J32" s="1" t="s">
        <v>28</v>
      </c>
      <c r="K32" s="1" t="s">
        <v>29</v>
      </c>
      <c r="L32" s="1" t="s">
        <v>30</v>
      </c>
      <c r="M32" s="1" t="s">
        <v>49</v>
      </c>
      <c r="N32" s="1" t="s">
        <v>50</v>
      </c>
      <c r="O32" s="1" t="s">
        <v>33</v>
      </c>
      <c r="P32" s="3">
        <v>5</v>
      </c>
      <c r="Q32" s="3">
        <v>364.2</v>
      </c>
      <c r="R32" s="1" t="s">
        <v>34</v>
      </c>
      <c r="S32" s="1" t="s">
        <v>35</v>
      </c>
      <c r="T32" s="1" t="s">
        <v>36</v>
      </c>
      <c r="U32" s="1" t="s">
        <v>37</v>
      </c>
      <c r="V32" s="1" t="s">
        <v>38</v>
      </c>
      <c r="W32" s="1" t="s">
        <v>39</v>
      </c>
      <c r="X32" s="8">
        <f>+IFERROR(VLOOKUP(N32,[1]Hoja1!$B$2:$F$52,4,0)*P32,"")</f>
        <v>5.0806451612903221</v>
      </c>
      <c r="Y32" s="8" t="str">
        <f>+VLOOKUP(M32,[1]SKU!$B$3:$E$81,4,0)</f>
        <v>REGULAR</v>
      </c>
      <c r="Z32" s="8" t="str">
        <f t="shared" si="0"/>
        <v>BEES</v>
      </c>
      <c r="AA32" s="8" t="str">
        <f>+VLOOKUP(I32,[1]SKU!$H$2:$I$97,2,0)</f>
        <v>PE07001</v>
      </c>
    </row>
    <row r="33" spans="1:27">
      <c r="A33" s="1" t="s">
        <v>42</v>
      </c>
      <c r="B33" s="2">
        <v>46295</v>
      </c>
      <c r="C33" s="1" t="s">
        <v>307</v>
      </c>
      <c r="D33" s="1" t="s">
        <v>43</v>
      </c>
      <c r="E33" s="1" t="s">
        <v>86</v>
      </c>
      <c r="F33" s="1" t="s">
        <v>87</v>
      </c>
      <c r="G33" s="1" t="s">
        <v>26</v>
      </c>
      <c r="H33" s="1" t="s">
        <v>27</v>
      </c>
      <c r="I33" s="1" t="s">
        <v>72</v>
      </c>
      <c r="J33" s="1" t="s">
        <v>28</v>
      </c>
      <c r="K33" s="1" t="s">
        <v>29</v>
      </c>
      <c r="L33" s="1" t="s">
        <v>30</v>
      </c>
      <c r="M33" s="1" t="s">
        <v>49</v>
      </c>
      <c r="N33" s="1" t="s">
        <v>50</v>
      </c>
      <c r="O33" s="1" t="s">
        <v>33</v>
      </c>
      <c r="P33" s="3">
        <v>10</v>
      </c>
      <c r="Q33" s="3">
        <v>728.4</v>
      </c>
      <c r="R33" s="1" t="s">
        <v>34</v>
      </c>
      <c r="S33" s="1" t="s">
        <v>35</v>
      </c>
      <c r="T33" s="1" t="s">
        <v>36</v>
      </c>
      <c r="U33" s="1" t="s">
        <v>37</v>
      </c>
      <c r="V33" s="1" t="s">
        <v>38</v>
      </c>
      <c r="W33" s="1" t="s">
        <v>39</v>
      </c>
      <c r="X33" s="8">
        <f>+IFERROR(VLOOKUP(N33,[1]Hoja1!$B$2:$F$52,4,0)*P33,"")</f>
        <v>10.161290322580644</v>
      </c>
      <c r="Y33" s="8" t="str">
        <f>+VLOOKUP(M33,[1]SKU!$B$3:$E$81,4,0)</f>
        <v>REGULAR</v>
      </c>
      <c r="Z33" s="8" t="str">
        <f t="shared" si="0"/>
        <v>BEES</v>
      </c>
      <c r="AA33" s="8" t="str">
        <f>+VLOOKUP(I33,[1]SKU!$H$2:$I$97,2,0)</f>
        <v>PE07001</v>
      </c>
    </row>
    <row r="34" spans="1:27">
      <c r="A34" s="1" t="s">
        <v>24</v>
      </c>
      <c r="B34" s="2">
        <v>46295</v>
      </c>
      <c r="C34" s="1" t="s">
        <v>308</v>
      </c>
      <c r="D34" s="1" t="s">
        <v>25</v>
      </c>
      <c r="E34" s="1" t="s">
        <v>78</v>
      </c>
      <c r="F34" s="1" t="s">
        <v>79</v>
      </c>
      <c r="G34" s="1" t="s">
        <v>26</v>
      </c>
      <c r="H34" s="1" t="s">
        <v>27</v>
      </c>
      <c r="I34" s="1" t="s">
        <v>53</v>
      </c>
      <c r="J34" s="1" t="s">
        <v>28</v>
      </c>
      <c r="K34" s="1" t="s">
        <v>29</v>
      </c>
      <c r="L34" s="1" t="s">
        <v>30</v>
      </c>
      <c r="M34" s="1" t="s">
        <v>49</v>
      </c>
      <c r="N34" s="1" t="s">
        <v>50</v>
      </c>
      <c r="O34" s="1" t="s">
        <v>33</v>
      </c>
      <c r="P34" s="3">
        <v>2</v>
      </c>
      <c r="Q34" s="3">
        <v>145.68</v>
      </c>
      <c r="R34" s="1" t="s">
        <v>34</v>
      </c>
      <c r="S34" s="1" t="s">
        <v>35</v>
      </c>
      <c r="T34" s="1" t="s">
        <v>36</v>
      </c>
      <c r="U34" s="1" t="s">
        <v>37</v>
      </c>
      <c r="V34" s="1" t="s">
        <v>38</v>
      </c>
      <c r="W34" s="1" t="s">
        <v>39</v>
      </c>
      <c r="X34" s="8">
        <f>+IFERROR(VLOOKUP(N34,[1]Hoja1!$B$2:$F$52,4,0)*P34,"")</f>
        <v>2.032258064516129</v>
      </c>
      <c r="Y34" s="8" t="str">
        <f>+VLOOKUP(M34,[1]SKU!$B$3:$E$81,4,0)</f>
        <v>REGULAR</v>
      </c>
      <c r="Z34" s="8" t="str">
        <f t="shared" si="0"/>
        <v>BEES</v>
      </c>
      <c r="AA34" s="8" t="str">
        <f>+VLOOKUP(I34,[1]SKU!$H$2:$I$97,2,0)</f>
        <v>PE07010</v>
      </c>
    </row>
    <row r="35" spans="1:27">
      <c r="A35" s="1" t="s">
        <v>40</v>
      </c>
      <c r="B35" s="2">
        <v>46295</v>
      </c>
      <c r="C35" s="1" t="s">
        <v>309</v>
      </c>
      <c r="D35" s="1" t="s">
        <v>41</v>
      </c>
      <c r="E35" s="1" t="s">
        <v>310</v>
      </c>
      <c r="F35" s="1" t="s">
        <v>311</v>
      </c>
      <c r="G35" s="1" t="s">
        <v>26</v>
      </c>
      <c r="H35" s="1" t="s">
        <v>27</v>
      </c>
      <c r="I35" s="1" t="s">
        <v>132</v>
      </c>
      <c r="J35" s="1" t="s">
        <v>28</v>
      </c>
      <c r="K35" s="1" t="s">
        <v>29</v>
      </c>
      <c r="L35" s="1" t="s">
        <v>30</v>
      </c>
      <c r="M35" s="1" t="s">
        <v>49</v>
      </c>
      <c r="N35" s="1" t="s">
        <v>50</v>
      </c>
      <c r="O35" s="1" t="s">
        <v>33</v>
      </c>
      <c r="P35" s="3">
        <v>2</v>
      </c>
      <c r="Q35" s="3">
        <v>145.68</v>
      </c>
      <c r="R35" s="1" t="s">
        <v>34</v>
      </c>
      <c r="S35" s="1" t="s">
        <v>35</v>
      </c>
      <c r="T35" s="1" t="s">
        <v>36</v>
      </c>
      <c r="U35" s="1" t="s">
        <v>37</v>
      </c>
      <c r="V35" s="1" t="s">
        <v>38</v>
      </c>
      <c r="W35" s="1" t="s">
        <v>39</v>
      </c>
      <c r="X35" s="8">
        <f>+IFERROR(VLOOKUP(N35,[1]Hoja1!$B$2:$F$52,4,0)*P35,"")</f>
        <v>2.032258064516129</v>
      </c>
      <c r="Y35" s="8" t="str">
        <f>+VLOOKUP(M35,[1]SKU!$B$3:$E$81,4,0)</f>
        <v>REGULAR</v>
      </c>
      <c r="Z35" s="8" t="str">
        <f t="shared" si="0"/>
        <v>BEES</v>
      </c>
      <c r="AA35" s="8" t="str">
        <f>+VLOOKUP(I35,[1]SKU!$H$2:$I$97,2,0)</f>
        <v>PE07009</v>
      </c>
    </row>
    <row r="36" spans="1:27">
      <c r="A36" s="1" t="s">
        <v>51</v>
      </c>
      <c r="B36" s="2">
        <v>46295</v>
      </c>
      <c r="C36" s="1" t="s">
        <v>312</v>
      </c>
      <c r="D36" s="1" t="s">
        <v>52</v>
      </c>
      <c r="E36" s="1" t="s">
        <v>313</v>
      </c>
      <c r="F36" s="1" t="s">
        <v>314</v>
      </c>
      <c r="G36" s="1" t="s">
        <v>26</v>
      </c>
      <c r="H36" s="1" t="s">
        <v>27</v>
      </c>
      <c r="I36" s="1" t="s">
        <v>238</v>
      </c>
      <c r="J36" s="1" t="s">
        <v>28</v>
      </c>
      <c r="K36" s="1" t="s">
        <v>29</v>
      </c>
      <c r="L36" s="1" t="s">
        <v>30</v>
      </c>
      <c r="M36" s="1" t="s">
        <v>49</v>
      </c>
      <c r="N36" s="1" t="s">
        <v>50</v>
      </c>
      <c r="O36" s="1" t="s">
        <v>33</v>
      </c>
      <c r="P36" s="3">
        <v>9</v>
      </c>
      <c r="Q36" s="3">
        <v>655.56</v>
      </c>
      <c r="R36" s="1" t="s">
        <v>34</v>
      </c>
      <c r="S36" s="1" t="s">
        <v>35</v>
      </c>
      <c r="T36" s="1" t="s">
        <v>36</v>
      </c>
      <c r="U36" s="1" t="s">
        <v>37</v>
      </c>
      <c r="V36" s="1" t="s">
        <v>38</v>
      </c>
      <c r="W36" s="1" t="s">
        <v>39</v>
      </c>
      <c r="X36" s="8">
        <f>+IFERROR(VLOOKUP(N36,[1]Hoja1!$B$2:$F$52,4,0)*P36,"")</f>
        <v>9.1451612903225801</v>
      </c>
      <c r="Y36" s="8" t="str">
        <f>+VLOOKUP(M36,[1]SKU!$B$3:$E$81,4,0)</f>
        <v>REGULAR</v>
      </c>
      <c r="Z36" s="8" t="str">
        <f t="shared" si="0"/>
        <v>BEES</v>
      </c>
      <c r="AA36" s="8" t="str">
        <f>+VLOOKUP(I36,[1]SKU!$H$2:$I$97,2,0)</f>
        <v>PE07011</v>
      </c>
    </row>
    <row r="37" spans="1:27">
      <c r="A37" s="1" t="s">
        <v>24</v>
      </c>
      <c r="B37" s="2">
        <v>46295</v>
      </c>
      <c r="C37" s="1" t="s">
        <v>315</v>
      </c>
      <c r="D37" s="1" t="s">
        <v>25</v>
      </c>
      <c r="E37" s="1" t="s">
        <v>130</v>
      </c>
      <c r="F37" s="1" t="s">
        <v>131</v>
      </c>
      <c r="G37" s="1" t="s">
        <v>26</v>
      </c>
      <c r="H37" s="1" t="s">
        <v>27</v>
      </c>
      <c r="I37" s="1" t="s">
        <v>53</v>
      </c>
      <c r="J37" s="1" t="s">
        <v>28</v>
      </c>
      <c r="K37" s="1" t="s">
        <v>29</v>
      </c>
      <c r="L37" s="1" t="s">
        <v>30</v>
      </c>
      <c r="M37" s="1" t="s">
        <v>49</v>
      </c>
      <c r="N37" s="1" t="s">
        <v>50</v>
      </c>
      <c r="O37" s="1" t="s">
        <v>33</v>
      </c>
      <c r="P37" s="3">
        <v>2</v>
      </c>
      <c r="Q37" s="3">
        <v>145.68</v>
      </c>
      <c r="R37" s="1" t="s">
        <v>34</v>
      </c>
      <c r="S37" s="1" t="s">
        <v>35</v>
      </c>
      <c r="T37" s="1" t="s">
        <v>36</v>
      </c>
      <c r="U37" s="1" t="s">
        <v>37</v>
      </c>
      <c r="V37" s="1" t="s">
        <v>38</v>
      </c>
      <c r="W37" s="1" t="s">
        <v>39</v>
      </c>
      <c r="X37" s="8">
        <f>+IFERROR(VLOOKUP(N37,[1]Hoja1!$B$2:$F$52,4,0)*P37,"")</f>
        <v>2.032258064516129</v>
      </c>
      <c r="Y37" s="8" t="str">
        <f>+VLOOKUP(M37,[1]SKU!$B$3:$E$81,4,0)</f>
        <v>REGULAR</v>
      </c>
      <c r="Z37" s="8" t="str">
        <f t="shared" si="0"/>
        <v>BEES</v>
      </c>
      <c r="AA37" s="8" t="str">
        <f>+VLOOKUP(I37,[1]SKU!$H$2:$I$97,2,0)</f>
        <v>PE07010</v>
      </c>
    </row>
    <row r="38" spans="1:27">
      <c r="A38" s="1" t="s">
        <v>40</v>
      </c>
      <c r="B38" s="2">
        <v>46295</v>
      </c>
      <c r="C38" s="1" t="s">
        <v>316</v>
      </c>
      <c r="D38" s="1" t="s">
        <v>41</v>
      </c>
      <c r="E38" s="1" t="s">
        <v>317</v>
      </c>
      <c r="F38" s="1" t="s">
        <v>318</v>
      </c>
      <c r="G38" s="1" t="s">
        <v>26</v>
      </c>
      <c r="H38" s="1" t="s">
        <v>27</v>
      </c>
      <c r="I38" s="1" t="s">
        <v>132</v>
      </c>
      <c r="J38" s="1" t="s">
        <v>28</v>
      </c>
      <c r="K38" s="1" t="s">
        <v>29</v>
      </c>
      <c r="L38" s="1" t="s">
        <v>30</v>
      </c>
      <c r="M38" s="1" t="s">
        <v>49</v>
      </c>
      <c r="N38" s="1" t="s">
        <v>50</v>
      </c>
      <c r="O38" s="1" t="s">
        <v>33</v>
      </c>
      <c r="P38" s="3">
        <v>4</v>
      </c>
      <c r="Q38" s="3">
        <v>291.36</v>
      </c>
      <c r="R38" s="1" t="s">
        <v>34</v>
      </c>
      <c r="S38" s="1" t="s">
        <v>35</v>
      </c>
      <c r="T38" s="1" t="s">
        <v>36</v>
      </c>
      <c r="U38" s="1" t="s">
        <v>37</v>
      </c>
      <c r="V38" s="1" t="s">
        <v>38</v>
      </c>
      <c r="W38" s="1" t="s">
        <v>39</v>
      </c>
      <c r="X38" s="8">
        <f>+IFERROR(VLOOKUP(N38,[1]Hoja1!$B$2:$F$52,4,0)*P38,"")</f>
        <v>4.064516129032258</v>
      </c>
      <c r="Y38" s="8" t="str">
        <f>+VLOOKUP(M38,[1]SKU!$B$3:$E$81,4,0)</f>
        <v>REGULAR</v>
      </c>
      <c r="Z38" s="8" t="str">
        <f t="shared" si="0"/>
        <v>BEES</v>
      </c>
      <c r="AA38" s="8" t="str">
        <f>+VLOOKUP(I38,[1]SKU!$H$2:$I$97,2,0)</f>
        <v>PE07009</v>
      </c>
    </row>
    <row r="39" spans="1:27">
      <c r="A39" s="1" t="s">
        <v>42</v>
      </c>
      <c r="B39" s="2">
        <v>46295</v>
      </c>
      <c r="C39" s="1" t="s">
        <v>319</v>
      </c>
      <c r="D39" s="1" t="s">
        <v>43</v>
      </c>
      <c r="E39" s="1" t="s">
        <v>320</v>
      </c>
      <c r="F39" s="1" t="s">
        <v>321</v>
      </c>
      <c r="G39" s="1" t="s">
        <v>26</v>
      </c>
      <c r="H39" s="1" t="s">
        <v>27</v>
      </c>
      <c r="I39" s="1" t="s">
        <v>322</v>
      </c>
      <c r="J39" s="1" t="s">
        <v>28</v>
      </c>
      <c r="K39" s="1" t="s">
        <v>29</v>
      </c>
      <c r="L39" s="1" t="s">
        <v>30</v>
      </c>
      <c r="M39" s="1" t="s">
        <v>49</v>
      </c>
      <c r="N39" s="1" t="s">
        <v>50</v>
      </c>
      <c r="O39" s="1" t="s">
        <v>33</v>
      </c>
      <c r="P39" s="3">
        <v>10</v>
      </c>
      <c r="Q39" s="3">
        <v>728.4</v>
      </c>
      <c r="R39" s="1" t="s">
        <v>34</v>
      </c>
      <c r="S39" s="1" t="s">
        <v>35</v>
      </c>
      <c r="T39" s="1" t="s">
        <v>36</v>
      </c>
      <c r="U39" s="1" t="s">
        <v>37</v>
      </c>
      <c r="V39" s="1" t="s">
        <v>38</v>
      </c>
      <c r="W39" s="1" t="s">
        <v>39</v>
      </c>
      <c r="X39" s="8">
        <f>+IFERROR(VLOOKUP(N39,[1]Hoja1!$B$2:$F$52,4,0)*P39,"")</f>
        <v>10.161290322580644</v>
      </c>
      <c r="Y39" s="8" t="str">
        <f>+VLOOKUP(M39,[1]SKU!$B$3:$E$81,4,0)</f>
        <v>REGULAR</v>
      </c>
      <c r="Z39" s="8" t="str">
        <f t="shared" si="0"/>
        <v>BEES</v>
      </c>
      <c r="AA39" s="8" t="str">
        <f>+VLOOKUP(I39,[1]SKU!$H$2:$I$97,2,0)</f>
        <v>PE07006</v>
      </c>
    </row>
    <row r="40" spans="1:27">
      <c r="A40" s="1" t="s">
        <v>42</v>
      </c>
      <c r="B40" s="2">
        <v>46295</v>
      </c>
      <c r="C40" s="1" t="s">
        <v>323</v>
      </c>
      <c r="D40" s="1" t="s">
        <v>43</v>
      </c>
      <c r="E40" s="1" t="s">
        <v>324</v>
      </c>
      <c r="F40" s="1" t="s">
        <v>325</v>
      </c>
      <c r="G40" s="1" t="s">
        <v>26</v>
      </c>
      <c r="H40" s="1" t="s">
        <v>27</v>
      </c>
      <c r="I40" s="1" t="s">
        <v>72</v>
      </c>
      <c r="J40" s="1" t="s">
        <v>28</v>
      </c>
      <c r="K40" s="1" t="s">
        <v>29</v>
      </c>
      <c r="L40" s="1" t="s">
        <v>30</v>
      </c>
      <c r="M40" s="1" t="s">
        <v>49</v>
      </c>
      <c r="N40" s="1" t="s">
        <v>50</v>
      </c>
      <c r="O40" s="1" t="s">
        <v>33</v>
      </c>
      <c r="P40" s="3">
        <v>2</v>
      </c>
      <c r="Q40" s="3">
        <v>145.68</v>
      </c>
      <c r="R40" s="1" t="s">
        <v>34</v>
      </c>
      <c r="S40" s="1" t="s">
        <v>35</v>
      </c>
      <c r="T40" s="1" t="s">
        <v>36</v>
      </c>
      <c r="U40" s="1" t="s">
        <v>37</v>
      </c>
      <c r="V40" s="1" t="s">
        <v>38</v>
      </c>
      <c r="W40" s="1" t="s">
        <v>39</v>
      </c>
      <c r="X40" s="8">
        <f>+IFERROR(VLOOKUP(N40,[1]Hoja1!$B$2:$F$52,4,0)*P40,"")</f>
        <v>2.032258064516129</v>
      </c>
      <c r="Y40" s="8" t="str">
        <f>+VLOOKUP(M40,[1]SKU!$B$3:$E$81,4,0)</f>
        <v>REGULAR</v>
      </c>
      <c r="Z40" s="8" t="str">
        <f t="shared" si="0"/>
        <v>BEES</v>
      </c>
      <c r="AA40" s="8" t="str">
        <f>+VLOOKUP(I40,[1]SKU!$H$2:$I$97,2,0)</f>
        <v>PE07001</v>
      </c>
    </row>
    <row r="41" spans="1:27">
      <c r="A41" s="1" t="s">
        <v>51</v>
      </c>
      <c r="B41" s="2">
        <v>46295</v>
      </c>
      <c r="C41" s="1" t="s">
        <v>326</v>
      </c>
      <c r="D41" s="1" t="s">
        <v>52</v>
      </c>
      <c r="E41" s="1" t="s">
        <v>327</v>
      </c>
      <c r="F41" s="1" t="s">
        <v>328</v>
      </c>
      <c r="G41" s="1" t="s">
        <v>26</v>
      </c>
      <c r="H41" s="1" t="s">
        <v>27</v>
      </c>
      <c r="I41" s="1" t="s">
        <v>329</v>
      </c>
      <c r="J41" s="1" t="s">
        <v>28</v>
      </c>
      <c r="K41" s="1" t="s">
        <v>29</v>
      </c>
      <c r="L41" s="1" t="s">
        <v>30</v>
      </c>
      <c r="M41" s="1" t="s">
        <v>49</v>
      </c>
      <c r="N41" s="1" t="s">
        <v>50</v>
      </c>
      <c r="O41" s="1" t="s">
        <v>33</v>
      </c>
      <c r="P41" s="3">
        <v>20</v>
      </c>
      <c r="Q41" s="3">
        <v>1456.8</v>
      </c>
      <c r="R41" s="1" t="s">
        <v>34</v>
      </c>
      <c r="S41" s="1" t="s">
        <v>35</v>
      </c>
      <c r="T41" s="1" t="s">
        <v>36</v>
      </c>
      <c r="U41" s="1" t="s">
        <v>37</v>
      </c>
      <c r="V41" s="1" t="s">
        <v>38</v>
      </c>
      <c r="W41" s="1" t="s">
        <v>39</v>
      </c>
      <c r="X41" s="8">
        <f>+IFERROR(VLOOKUP(N41,[1]Hoja1!$B$2:$F$52,4,0)*P41,"")</f>
        <v>20.322580645161288</v>
      </c>
      <c r="Y41" s="8" t="str">
        <f>+VLOOKUP(M41,[1]SKU!$B$3:$E$81,4,0)</f>
        <v>REGULAR</v>
      </c>
      <c r="Z41" s="8" t="str">
        <f t="shared" si="0"/>
        <v>BEES</v>
      </c>
      <c r="AA41" s="8" t="str">
        <f>+VLOOKUP(I41,[1]SKU!$H$2:$I$97,2,0)</f>
        <v>PE07011</v>
      </c>
    </row>
    <row r="42" spans="1:27">
      <c r="A42" s="1" t="s">
        <v>40</v>
      </c>
      <c r="B42" s="2">
        <v>46295</v>
      </c>
      <c r="C42" s="1" t="s">
        <v>298</v>
      </c>
      <c r="D42" s="1" t="s">
        <v>41</v>
      </c>
      <c r="E42" s="1" t="s">
        <v>299</v>
      </c>
      <c r="F42" s="1" t="s">
        <v>300</v>
      </c>
      <c r="G42" s="1" t="s">
        <v>26</v>
      </c>
      <c r="H42" s="1" t="s">
        <v>27</v>
      </c>
      <c r="I42" s="1" t="s">
        <v>132</v>
      </c>
      <c r="J42" s="1" t="s">
        <v>28</v>
      </c>
      <c r="K42" s="1" t="s">
        <v>29</v>
      </c>
      <c r="L42" s="1" t="s">
        <v>30</v>
      </c>
      <c r="M42" s="1" t="s">
        <v>49</v>
      </c>
      <c r="N42" s="1" t="s">
        <v>50</v>
      </c>
      <c r="O42" s="1" t="s">
        <v>33</v>
      </c>
      <c r="P42" s="3">
        <v>1</v>
      </c>
      <c r="Q42" s="3">
        <v>71.637254999999996</v>
      </c>
      <c r="R42" s="1" t="s">
        <v>34</v>
      </c>
      <c r="S42" s="1" t="s">
        <v>35</v>
      </c>
      <c r="T42" s="1" t="s">
        <v>36</v>
      </c>
      <c r="U42" s="1" t="s">
        <v>37</v>
      </c>
      <c r="V42" s="1" t="s">
        <v>38</v>
      </c>
      <c r="W42" s="1" t="s">
        <v>39</v>
      </c>
      <c r="X42" s="8">
        <f>+IFERROR(VLOOKUP(N42,[1]Hoja1!$B$2:$F$52,4,0)*P42,"")</f>
        <v>1.0161290322580645</v>
      </c>
      <c r="Y42" s="8" t="str">
        <f>+VLOOKUP(M42,[1]SKU!$B$3:$E$81,4,0)</f>
        <v>REGULAR</v>
      </c>
      <c r="Z42" s="8" t="str">
        <f t="shared" si="0"/>
        <v>BEES</v>
      </c>
      <c r="AA42" s="8" t="str">
        <f>+VLOOKUP(I42,[1]SKU!$H$2:$I$97,2,0)</f>
        <v>PE07009</v>
      </c>
    </row>
    <row r="43" spans="1:27">
      <c r="A43" s="1" t="s">
        <v>40</v>
      </c>
      <c r="B43" s="2">
        <v>46295</v>
      </c>
      <c r="C43" s="1" t="s">
        <v>330</v>
      </c>
      <c r="D43" s="1" t="s">
        <v>41</v>
      </c>
      <c r="E43" s="1" t="s">
        <v>331</v>
      </c>
      <c r="F43" s="1" t="s">
        <v>332</v>
      </c>
      <c r="G43" s="1" t="s">
        <v>26</v>
      </c>
      <c r="H43" s="1" t="s">
        <v>27</v>
      </c>
      <c r="I43" s="1" t="s">
        <v>132</v>
      </c>
      <c r="J43" s="1" t="s">
        <v>28</v>
      </c>
      <c r="K43" s="1" t="s">
        <v>29</v>
      </c>
      <c r="L43" s="1" t="s">
        <v>30</v>
      </c>
      <c r="M43" s="1" t="s">
        <v>49</v>
      </c>
      <c r="N43" s="1" t="s">
        <v>50</v>
      </c>
      <c r="O43" s="1" t="s">
        <v>33</v>
      </c>
      <c r="P43" s="3">
        <v>2</v>
      </c>
      <c r="Q43" s="3">
        <v>145.68</v>
      </c>
      <c r="R43" s="1" t="s">
        <v>34</v>
      </c>
      <c r="S43" s="1" t="s">
        <v>35</v>
      </c>
      <c r="T43" s="1" t="s">
        <v>36</v>
      </c>
      <c r="U43" s="1" t="s">
        <v>37</v>
      </c>
      <c r="V43" s="1" t="s">
        <v>38</v>
      </c>
      <c r="W43" s="1" t="s">
        <v>39</v>
      </c>
      <c r="X43" s="8">
        <f>+IFERROR(VLOOKUP(N43,[1]Hoja1!$B$2:$F$52,4,0)*P43,"")</f>
        <v>2.032258064516129</v>
      </c>
      <c r="Y43" s="8" t="str">
        <f>+VLOOKUP(M43,[1]SKU!$B$3:$E$81,4,0)</f>
        <v>REGULAR</v>
      </c>
      <c r="Z43" s="8" t="str">
        <f t="shared" si="0"/>
        <v>BEES</v>
      </c>
      <c r="AA43" s="8" t="str">
        <f>+VLOOKUP(I43,[1]SKU!$H$2:$I$97,2,0)</f>
        <v>PE07009</v>
      </c>
    </row>
    <row r="44" spans="1:27">
      <c r="A44" s="1" t="s">
        <v>44</v>
      </c>
      <c r="B44" s="2">
        <v>46295</v>
      </c>
      <c r="C44" s="1" t="s">
        <v>333</v>
      </c>
      <c r="D44" s="1" t="s">
        <v>58</v>
      </c>
      <c r="E44" s="1" t="s">
        <v>334</v>
      </c>
      <c r="F44" s="1" t="s">
        <v>335</v>
      </c>
      <c r="G44" s="1" t="s">
        <v>26</v>
      </c>
      <c r="H44" s="1" t="s">
        <v>27</v>
      </c>
      <c r="I44" s="1" t="s">
        <v>297</v>
      </c>
      <c r="J44" s="1" t="s">
        <v>28</v>
      </c>
      <c r="K44" s="1" t="s">
        <v>29</v>
      </c>
      <c r="L44" s="1" t="s">
        <v>30</v>
      </c>
      <c r="M44" s="1" t="s">
        <v>49</v>
      </c>
      <c r="N44" s="1" t="s">
        <v>50</v>
      </c>
      <c r="O44" s="1" t="s">
        <v>33</v>
      </c>
      <c r="P44" s="3">
        <v>1</v>
      </c>
      <c r="Q44" s="3">
        <v>71.637254999999996</v>
      </c>
      <c r="R44" s="1" t="s">
        <v>34</v>
      </c>
      <c r="S44" s="1" t="s">
        <v>35</v>
      </c>
      <c r="T44" s="1" t="s">
        <v>36</v>
      </c>
      <c r="U44" s="1" t="s">
        <v>37</v>
      </c>
      <c r="V44" s="1" t="s">
        <v>38</v>
      </c>
      <c r="W44" s="1" t="s">
        <v>39</v>
      </c>
      <c r="X44" s="8">
        <f>+IFERROR(VLOOKUP(N44,[1]Hoja1!$B$2:$F$52,4,0)*P44,"")</f>
        <v>1.0161290322580645</v>
      </c>
      <c r="Y44" s="8" t="str">
        <f>+VLOOKUP(M44,[1]SKU!$B$3:$E$81,4,0)</f>
        <v>REGULAR</v>
      </c>
      <c r="Z44" s="8" t="str">
        <f t="shared" si="0"/>
        <v>BEES</v>
      </c>
      <c r="AA44" s="8" t="str">
        <f>+VLOOKUP(I44,[1]SKU!$H$2:$I$97,2,0)</f>
        <v>PE07004</v>
      </c>
    </row>
    <row r="45" spans="1:27">
      <c r="A45" s="1" t="s">
        <v>42</v>
      </c>
      <c r="B45" s="2">
        <v>46295</v>
      </c>
      <c r="C45" s="1" t="s">
        <v>280</v>
      </c>
      <c r="D45" s="1" t="s">
        <v>43</v>
      </c>
      <c r="E45" s="1" t="s">
        <v>281</v>
      </c>
      <c r="F45" s="1" t="s">
        <v>282</v>
      </c>
      <c r="G45" s="1" t="s">
        <v>26</v>
      </c>
      <c r="H45" s="1" t="s">
        <v>27</v>
      </c>
      <c r="I45" s="1" t="s">
        <v>267</v>
      </c>
      <c r="J45" s="1" t="s">
        <v>28</v>
      </c>
      <c r="K45" s="1" t="s">
        <v>29</v>
      </c>
      <c r="L45" s="1" t="s">
        <v>30</v>
      </c>
      <c r="M45" s="1" t="s">
        <v>49</v>
      </c>
      <c r="N45" s="1" t="s">
        <v>50</v>
      </c>
      <c r="O45" s="1" t="s">
        <v>33</v>
      </c>
      <c r="P45" s="3">
        <v>2</v>
      </c>
      <c r="Q45" s="3">
        <v>145.68</v>
      </c>
      <c r="R45" s="1" t="s">
        <v>34</v>
      </c>
      <c r="S45" s="1" t="s">
        <v>35</v>
      </c>
      <c r="T45" s="1" t="s">
        <v>36</v>
      </c>
      <c r="U45" s="1" t="s">
        <v>37</v>
      </c>
      <c r="V45" s="1" t="s">
        <v>38</v>
      </c>
      <c r="W45" s="1" t="s">
        <v>39</v>
      </c>
      <c r="X45" s="8">
        <f>+IFERROR(VLOOKUP(N45,[1]Hoja1!$B$2:$F$52,4,0)*P45,"")</f>
        <v>2.032258064516129</v>
      </c>
      <c r="Y45" s="8" t="str">
        <f>+VLOOKUP(M45,[1]SKU!$B$3:$E$81,4,0)</f>
        <v>REGULAR</v>
      </c>
      <c r="Z45" s="8" t="str">
        <f t="shared" si="0"/>
        <v>BEES</v>
      </c>
      <c r="AA45" s="8" t="str">
        <f>+VLOOKUP(I45,[1]SKU!$H$2:$I$97,2,0)</f>
        <v>PE07006</v>
      </c>
    </row>
    <row r="46" spans="1:27">
      <c r="A46" s="1" t="s">
        <v>44</v>
      </c>
      <c r="B46" s="2">
        <v>46295</v>
      </c>
      <c r="C46" s="1" t="s">
        <v>336</v>
      </c>
      <c r="D46" s="1" t="s">
        <v>45</v>
      </c>
      <c r="E46" s="1" t="s">
        <v>337</v>
      </c>
      <c r="F46" s="1" t="s">
        <v>338</v>
      </c>
      <c r="G46" s="1" t="s">
        <v>26</v>
      </c>
      <c r="H46" s="1" t="s">
        <v>46</v>
      </c>
      <c r="I46" s="1" t="s">
        <v>297</v>
      </c>
      <c r="J46" s="1" t="s">
        <v>47</v>
      </c>
      <c r="K46" s="1" t="s">
        <v>48</v>
      </c>
      <c r="L46" s="1" t="s">
        <v>30</v>
      </c>
      <c r="M46" s="1" t="s">
        <v>49</v>
      </c>
      <c r="N46" s="1" t="s">
        <v>50</v>
      </c>
      <c r="O46" s="1" t="s">
        <v>33</v>
      </c>
      <c r="P46" s="3">
        <v>12</v>
      </c>
      <c r="Q46" s="3">
        <v>874.08</v>
      </c>
      <c r="R46" s="1" t="s">
        <v>34</v>
      </c>
      <c r="S46" s="1" t="s">
        <v>35</v>
      </c>
      <c r="T46" s="1" t="s">
        <v>36</v>
      </c>
      <c r="U46" s="1" t="s">
        <v>37</v>
      </c>
      <c r="V46" s="1" t="s">
        <v>38</v>
      </c>
      <c r="W46" s="1" t="s">
        <v>39</v>
      </c>
      <c r="X46" s="8">
        <f>+IFERROR(VLOOKUP(N46,[1]Hoja1!$B$2:$F$52,4,0)*P46,"")</f>
        <v>12.193548387096774</v>
      </c>
      <c r="Y46" s="8" t="str">
        <f>+VLOOKUP(M46,[1]SKU!$B$3:$E$81,4,0)</f>
        <v>REGULAR</v>
      </c>
      <c r="Z46" s="8" t="str">
        <f t="shared" si="0"/>
        <v>FLEX</v>
      </c>
      <c r="AA46" s="8" t="str">
        <f>+VLOOKUP(I46,[1]SKU!$H$2:$I$97,2,0)</f>
        <v>PE07004</v>
      </c>
    </row>
    <row r="47" spans="1:27">
      <c r="A47" s="1" t="s">
        <v>24</v>
      </c>
      <c r="B47" s="2">
        <v>46295</v>
      </c>
      <c r="C47" s="1" t="s">
        <v>339</v>
      </c>
      <c r="D47" s="1" t="s">
        <v>25</v>
      </c>
      <c r="E47" s="1" t="s">
        <v>340</v>
      </c>
      <c r="F47" s="1" t="s">
        <v>341</v>
      </c>
      <c r="G47" s="1" t="s">
        <v>26</v>
      </c>
      <c r="H47" s="1" t="s">
        <v>27</v>
      </c>
      <c r="I47" s="1" t="s">
        <v>53</v>
      </c>
      <c r="J47" s="1" t="s">
        <v>28</v>
      </c>
      <c r="K47" s="1" t="s">
        <v>29</v>
      </c>
      <c r="L47" s="1" t="s">
        <v>30</v>
      </c>
      <c r="M47" s="1" t="s">
        <v>49</v>
      </c>
      <c r="N47" s="1" t="s">
        <v>50</v>
      </c>
      <c r="O47" s="1" t="s">
        <v>33</v>
      </c>
      <c r="P47" s="3">
        <v>7</v>
      </c>
      <c r="Q47" s="3">
        <v>509.88</v>
      </c>
      <c r="R47" s="1" t="s">
        <v>34</v>
      </c>
      <c r="S47" s="1" t="s">
        <v>35</v>
      </c>
      <c r="T47" s="1" t="s">
        <v>36</v>
      </c>
      <c r="U47" s="1" t="s">
        <v>37</v>
      </c>
      <c r="V47" s="1" t="s">
        <v>38</v>
      </c>
      <c r="W47" s="1" t="s">
        <v>39</v>
      </c>
      <c r="X47" s="8">
        <f>+IFERROR(VLOOKUP(N47,[1]Hoja1!$B$2:$F$52,4,0)*P47,"")</f>
        <v>7.112903225806452</v>
      </c>
      <c r="Y47" s="8" t="str">
        <f>+VLOOKUP(M47,[1]SKU!$B$3:$E$81,4,0)</f>
        <v>REGULAR</v>
      </c>
      <c r="Z47" s="8" t="str">
        <f t="shared" si="0"/>
        <v>BEES</v>
      </c>
      <c r="AA47" s="8" t="str">
        <f>+VLOOKUP(I47,[1]SKU!$H$2:$I$97,2,0)</f>
        <v>PE07010</v>
      </c>
    </row>
    <row r="48" spans="1:27">
      <c r="A48" s="1" t="s">
        <v>42</v>
      </c>
      <c r="B48" s="2">
        <v>46295</v>
      </c>
      <c r="C48" s="1" t="s">
        <v>342</v>
      </c>
      <c r="D48" s="1" t="s">
        <v>43</v>
      </c>
      <c r="E48" s="1" t="s">
        <v>343</v>
      </c>
      <c r="F48" s="1" t="s">
        <v>344</v>
      </c>
      <c r="G48" s="1" t="s">
        <v>26</v>
      </c>
      <c r="H48" s="1" t="s">
        <v>27</v>
      </c>
      <c r="I48" s="1" t="s">
        <v>72</v>
      </c>
      <c r="J48" s="1" t="s">
        <v>28</v>
      </c>
      <c r="K48" s="1" t="s">
        <v>29</v>
      </c>
      <c r="L48" s="1" t="s">
        <v>30</v>
      </c>
      <c r="M48" s="1" t="s">
        <v>49</v>
      </c>
      <c r="N48" s="1" t="s">
        <v>50</v>
      </c>
      <c r="O48" s="1" t="s">
        <v>33</v>
      </c>
      <c r="P48" s="3">
        <v>3</v>
      </c>
      <c r="Q48" s="3">
        <v>218.52</v>
      </c>
      <c r="R48" s="1" t="s">
        <v>34</v>
      </c>
      <c r="S48" s="1" t="s">
        <v>35</v>
      </c>
      <c r="T48" s="1" t="s">
        <v>36</v>
      </c>
      <c r="U48" s="1" t="s">
        <v>37</v>
      </c>
      <c r="V48" s="1" t="s">
        <v>38</v>
      </c>
      <c r="W48" s="1" t="s">
        <v>39</v>
      </c>
      <c r="X48" s="8">
        <f>+IFERROR(VLOOKUP(N48,[1]Hoja1!$B$2:$F$52,4,0)*P48,"")</f>
        <v>3.0483870967741935</v>
      </c>
      <c r="Y48" s="8" t="str">
        <f>+VLOOKUP(M48,[1]SKU!$B$3:$E$81,4,0)</f>
        <v>REGULAR</v>
      </c>
      <c r="Z48" s="8" t="str">
        <f t="shared" si="0"/>
        <v>BEES</v>
      </c>
      <c r="AA48" s="8" t="str">
        <f>+VLOOKUP(I48,[1]SKU!$H$2:$I$97,2,0)</f>
        <v>PE07001</v>
      </c>
    </row>
    <row r="49" spans="1:27">
      <c r="A49" s="1" t="s">
        <v>51</v>
      </c>
      <c r="B49" s="2">
        <v>46295</v>
      </c>
      <c r="C49" s="1" t="s">
        <v>312</v>
      </c>
      <c r="D49" s="1" t="s">
        <v>52</v>
      </c>
      <c r="E49" s="1" t="s">
        <v>313</v>
      </c>
      <c r="F49" s="1" t="s">
        <v>314</v>
      </c>
      <c r="G49" s="1" t="s">
        <v>26</v>
      </c>
      <c r="H49" s="1" t="s">
        <v>27</v>
      </c>
      <c r="I49" s="1" t="s">
        <v>238</v>
      </c>
      <c r="J49" s="1" t="s">
        <v>28</v>
      </c>
      <c r="K49" s="1" t="s">
        <v>29</v>
      </c>
      <c r="L49" s="1" t="s">
        <v>30</v>
      </c>
      <c r="M49" s="1" t="s">
        <v>49</v>
      </c>
      <c r="N49" s="1" t="s">
        <v>50</v>
      </c>
      <c r="O49" s="1" t="s">
        <v>33</v>
      </c>
      <c r="P49" s="3">
        <v>1</v>
      </c>
      <c r="Q49" s="3">
        <v>0</v>
      </c>
      <c r="R49" s="1" t="s">
        <v>77</v>
      </c>
      <c r="S49" s="1" t="s">
        <v>35</v>
      </c>
      <c r="T49" s="1" t="s">
        <v>36</v>
      </c>
      <c r="U49" s="1" t="s">
        <v>37</v>
      </c>
      <c r="V49" s="1" t="s">
        <v>38</v>
      </c>
      <c r="W49" s="1" t="s">
        <v>39</v>
      </c>
      <c r="X49" s="8">
        <f>+IFERROR(VLOOKUP(N49,[1]Hoja1!$B$2:$F$52,4,0)*P49,"")</f>
        <v>1.0161290322580645</v>
      </c>
      <c r="Y49" s="8" t="str">
        <f>+VLOOKUP(M49,[1]SKU!$B$3:$E$81,4,0)</f>
        <v>REGULAR</v>
      </c>
      <c r="Z49" s="8" t="str">
        <f t="shared" si="0"/>
        <v>BEES</v>
      </c>
      <c r="AA49" s="8" t="str">
        <f>+VLOOKUP(I49,[1]SKU!$H$2:$I$97,2,0)</f>
        <v>PE07011</v>
      </c>
    </row>
    <row r="50" spans="1:27">
      <c r="A50" s="1" t="s">
        <v>40</v>
      </c>
      <c r="B50" s="2">
        <v>46295</v>
      </c>
      <c r="C50" s="1" t="s">
        <v>345</v>
      </c>
      <c r="D50" s="1" t="s">
        <v>41</v>
      </c>
      <c r="E50" s="1" t="s">
        <v>346</v>
      </c>
      <c r="F50" s="1" t="s">
        <v>347</v>
      </c>
      <c r="G50" s="1" t="s">
        <v>26</v>
      </c>
      <c r="H50" s="1" t="s">
        <v>27</v>
      </c>
      <c r="I50" s="1" t="s">
        <v>132</v>
      </c>
      <c r="J50" s="1" t="s">
        <v>28</v>
      </c>
      <c r="K50" s="1" t="s">
        <v>29</v>
      </c>
      <c r="L50" s="1" t="s">
        <v>30</v>
      </c>
      <c r="M50" s="1" t="s">
        <v>49</v>
      </c>
      <c r="N50" s="1" t="s">
        <v>50</v>
      </c>
      <c r="O50" s="1" t="s">
        <v>33</v>
      </c>
      <c r="P50" s="3">
        <v>5</v>
      </c>
      <c r="Q50" s="3">
        <v>364.2</v>
      </c>
      <c r="R50" s="1" t="s">
        <v>34</v>
      </c>
      <c r="S50" s="1" t="s">
        <v>35</v>
      </c>
      <c r="T50" s="1" t="s">
        <v>36</v>
      </c>
      <c r="U50" s="1" t="s">
        <v>37</v>
      </c>
      <c r="V50" s="1" t="s">
        <v>38</v>
      </c>
      <c r="W50" s="1" t="s">
        <v>39</v>
      </c>
      <c r="X50" s="8">
        <f>+IFERROR(VLOOKUP(N50,[1]Hoja1!$B$2:$F$52,4,0)*P50,"")</f>
        <v>5.0806451612903221</v>
      </c>
      <c r="Y50" s="8" t="str">
        <f>+VLOOKUP(M50,[1]SKU!$B$3:$E$81,4,0)</f>
        <v>REGULAR</v>
      </c>
      <c r="Z50" s="8" t="str">
        <f t="shared" si="0"/>
        <v>BEES</v>
      </c>
      <c r="AA50" s="8" t="str">
        <f>+VLOOKUP(I50,[1]SKU!$H$2:$I$97,2,0)</f>
        <v>PE07009</v>
      </c>
    </row>
    <row r="51" spans="1:27">
      <c r="A51" s="1" t="s">
        <v>42</v>
      </c>
      <c r="B51" s="2">
        <v>46295</v>
      </c>
      <c r="C51" s="1" t="s">
        <v>348</v>
      </c>
      <c r="D51" s="1" t="s">
        <v>43</v>
      </c>
      <c r="E51" s="1" t="s">
        <v>349</v>
      </c>
      <c r="F51" s="1" t="s">
        <v>350</v>
      </c>
      <c r="G51" s="1" t="s">
        <v>26</v>
      </c>
      <c r="H51" s="1" t="s">
        <v>27</v>
      </c>
      <c r="I51" s="1" t="s">
        <v>351</v>
      </c>
      <c r="J51" s="1" t="s">
        <v>28</v>
      </c>
      <c r="K51" s="1" t="s">
        <v>29</v>
      </c>
      <c r="L51" s="1" t="s">
        <v>30</v>
      </c>
      <c r="M51" s="1" t="s">
        <v>31</v>
      </c>
      <c r="N51" s="1" t="s">
        <v>32</v>
      </c>
      <c r="O51" s="1" t="s">
        <v>33</v>
      </c>
      <c r="P51" s="3">
        <v>1</v>
      </c>
      <c r="Q51" s="3">
        <v>77.45</v>
      </c>
      <c r="R51" s="1" t="s">
        <v>34</v>
      </c>
      <c r="S51" s="1" t="s">
        <v>35</v>
      </c>
      <c r="T51" s="1" t="s">
        <v>36</v>
      </c>
      <c r="U51" s="1" t="s">
        <v>37</v>
      </c>
      <c r="V51" s="1" t="s">
        <v>38</v>
      </c>
      <c r="W51" s="1" t="s">
        <v>39</v>
      </c>
      <c r="X51" s="8">
        <f>+IFERROR(VLOOKUP(N51,[1]Hoja1!$B$2:$F$52,4,0)*P51,"")</f>
        <v>1</v>
      </c>
      <c r="Y51" s="8" t="str">
        <f>+VLOOKUP(M51,[1]SKU!$B$3:$E$81,4,0)</f>
        <v>REGULAR</v>
      </c>
      <c r="Z51" s="8" t="str">
        <f t="shared" si="0"/>
        <v>BEES</v>
      </c>
      <c r="AA51" s="8" t="str">
        <f>+VLOOKUP(I51,[1]SKU!$H$2:$I$97,2,0)</f>
        <v>PE07003</v>
      </c>
    </row>
    <row r="52" spans="1:27">
      <c r="A52" s="1" t="s">
        <v>42</v>
      </c>
      <c r="B52" s="2">
        <v>46295</v>
      </c>
      <c r="C52" s="1" t="s">
        <v>323</v>
      </c>
      <c r="D52" s="1" t="s">
        <v>43</v>
      </c>
      <c r="E52" s="1" t="s">
        <v>324</v>
      </c>
      <c r="F52" s="1" t="s">
        <v>325</v>
      </c>
      <c r="G52" s="1" t="s">
        <v>26</v>
      </c>
      <c r="H52" s="1" t="s">
        <v>27</v>
      </c>
      <c r="I52" s="1" t="s">
        <v>72</v>
      </c>
      <c r="J52" s="1" t="s">
        <v>28</v>
      </c>
      <c r="K52" s="1" t="s">
        <v>29</v>
      </c>
      <c r="L52" s="1" t="s">
        <v>30</v>
      </c>
      <c r="M52" s="1" t="s">
        <v>31</v>
      </c>
      <c r="N52" s="1" t="s">
        <v>32</v>
      </c>
      <c r="O52" s="1" t="s">
        <v>33</v>
      </c>
      <c r="P52" s="3">
        <v>1</v>
      </c>
      <c r="Q52" s="3">
        <v>76.210800000000006</v>
      </c>
      <c r="R52" s="1" t="s">
        <v>34</v>
      </c>
      <c r="S52" s="1" t="s">
        <v>35</v>
      </c>
      <c r="T52" s="1" t="s">
        <v>36</v>
      </c>
      <c r="U52" s="1" t="s">
        <v>37</v>
      </c>
      <c r="V52" s="1" t="s">
        <v>38</v>
      </c>
      <c r="W52" s="1" t="s">
        <v>39</v>
      </c>
      <c r="X52" s="8">
        <f>+IFERROR(VLOOKUP(N52,[1]Hoja1!$B$2:$F$52,4,0)*P52,"")</f>
        <v>1</v>
      </c>
      <c r="Y52" s="8" t="str">
        <f>+VLOOKUP(M52,[1]SKU!$B$3:$E$81,4,0)</f>
        <v>REGULAR</v>
      </c>
      <c r="Z52" s="8" t="str">
        <f t="shared" si="0"/>
        <v>BEES</v>
      </c>
      <c r="AA52" s="8" t="str">
        <f>+VLOOKUP(I52,[1]SKU!$H$2:$I$97,2,0)</f>
        <v>PE07001</v>
      </c>
    </row>
    <row r="53" spans="1:27">
      <c r="A53" s="1" t="s">
        <v>42</v>
      </c>
      <c r="B53" s="2">
        <v>46295</v>
      </c>
      <c r="C53" s="1" t="s">
        <v>352</v>
      </c>
      <c r="D53" s="1" t="s">
        <v>43</v>
      </c>
      <c r="E53" s="1" t="s">
        <v>353</v>
      </c>
      <c r="F53" s="1" t="s">
        <v>354</v>
      </c>
      <c r="G53" s="1" t="s">
        <v>26</v>
      </c>
      <c r="H53" s="1" t="s">
        <v>27</v>
      </c>
      <c r="I53" s="1" t="s">
        <v>180</v>
      </c>
      <c r="J53" s="1" t="s">
        <v>28</v>
      </c>
      <c r="K53" s="1" t="s">
        <v>29</v>
      </c>
      <c r="L53" s="1" t="s">
        <v>30</v>
      </c>
      <c r="M53" s="1" t="s">
        <v>31</v>
      </c>
      <c r="N53" s="1" t="s">
        <v>32</v>
      </c>
      <c r="O53" s="1" t="s">
        <v>33</v>
      </c>
      <c r="P53" s="3">
        <v>1</v>
      </c>
      <c r="Q53" s="3">
        <v>77.45</v>
      </c>
      <c r="R53" s="1" t="s">
        <v>34</v>
      </c>
      <c r="S53" s="1" t="s">
        <v>35</v>
      </c>
      <c r="T53" s="1" t="s">
        <v>36</v>
      </c>
      <c r="U53" s="1" t="s">
        <v>37</v>
      </c>
      <c r="V53" s="1" t="s">
        <v>38</v>
      </c>
      <c r="W53" s="1" t="s">
        <v>39</v>
      </c>
      <c r="X53" s="8">
        <f>+IFERROR(VLOOKUP(N53,[1]Hoja1!$B$2:$F$52,4,0)*P53,"")</f>
        <v>1</v>
      </c>
      <c r="Y53" s="8" t="str">
        <f>+VLOOKUP(M53,[1]SKU!$B$3:$E$81,4,0)</f>
        <v>REGULAR</v>
      </c>
      <c r="Z53" s="8" t="str">
        <f t="shared" si="0"/>
        <v>BEES</v>
      </c>
      <c r="AA53" s="8" t="str">
        <f>+VLOOKUP(I53,[1]SKU!$H$2:$I$97,2,0)</f>
        <v>PE07002</v>
      </c>
    </row>
    <row r="54" spans="1:27">
      <c r="A54" s="1" t="s">
        <v>44</v>
      </c>
      <c r="B54" s="2">
        <v>46295</v>
      </c>
      <c r="C54" s="1" t="s">
        <v>355</v>
      </c>
      <c r="D54" s="1" t="s">
        <v>58</v>
      </c>
      <c r="E54" s="1" t="s">
        <v>356</v>
      </c>
      <c r="F54" s="1" t="s">
        <v>357</v>
      </c>
      <c r="G54" s="1" t="s">
        <v>26</v>
      </c>
      <c r="H54" s="1" t="s">
        <v>27</v>
      </c>
      <c r="I54" s="1" t="s">
        <v>297</v>
      </c>
      <c r="J54" s="1" t="s">
        <v>28</v>
      </c>
      <c r="K54" s="1" t="s">
        <v>29</v>
      </c>
      <c r="L54" s="1" t="s">
        <v>30</v>
      </c>
      <c r="M54" s="1" t="s">
        <v>31</v>
      </c>
      <c r="N54" s="1" t="s">
        <v>32</v>
      </c>
      <c r="O54" s="1" t="s">
        <v>33</v>
      </c>
      <c r="P54" s="3">
        <v>1</v>
      </c>
      <c r="Q54" s="3">
        <v>72.950980000000001</v>
      </c>
      <c r="R54" s="1" t="s">
        <v>34</v>
      </c>
      <c r="S54" s="1" t="s">
        <v>35</v>
      </c>
      <c r="T54" s="1" t="s">
        <v>36</v>
      </c>
      <c r="U54" s="1" t="s">
        <v>37</v>
      </c>
      <c r="V54" s="1" t="s">
        <v>38</v>
      </c>
      <c r="W54" s="1" t="s">
        <v>39</v>
      </c>
      <c r="X54" s="8">
        <f>+IFERROR(VLOOKUP(N54,[1]Hoja1!$B$2:$F$52,4,0)*P54,"")</f>
        <v>1</v>
      </c>
      <c r="Y54" s="8" t="str">
        <f>+VLOOKUP(M54,[1]SKU!$B$3:$E$81,4,0)</f>
        <v>REGULAR</v>
      </c>
      <c r="Z54" s="8" t="str">
        <f t="shared" si="0"/>
        <v>BEES</v>
      </c>
      <c r="AA54" s="8" t="str">
        <f>+VLOOKUP(I54,[1]SKU!$H$2:$I$97,2,0)</f>
        <v>PE07004</v>
      </c>
    </row>
    <row r="55" spans="1:27">
      <c r="A55" s="1" t="s">
        <v>40</v>
      </c>
      <c r="B55" s="2">
        <v>46295</v>
      </c>
      <c r="C55" s="1" t="s">
        <v>269</v>
      </c>
      <c r="D55" s="1" t="s">
        <v>41</v>
      </c>
      <c r="E55" s="1" t="s">
        <v>270</v>
      </c>
      <c r="F55" s="1" t="s">
        <v>271</v>
      </c>
      <c r="G55" s="1" t="s">
        <v>26</v>
      </c>
      <c r="H55" s="1" t="s">
        <v>27</v>
      </c>
      <c r="I55" s="1" t="s">
        <v>132</v>
      </c>
      <c r="J55" s="1" t="s">
        <v>28</v>
      </c>
      <c r="K55" s="1" t="s">
        <v>29</v>
      </c>
      <c r="L55" s="1" t="s">
        <v>30</v>
      </c>
      <c r="M55" s="1" t="s">
        <v>31</v>
      </c>
      <c r="N55" s="1" t="s">
        <v>32</v>
      </c>
      <c r="O55" s="1" t="s">
        <v>33</v>
      </c>
      <c r="P55" s="3">
        <v>2</v>
      </c>
      <c r="Q55" s="3">
        <v>148.08439999999999</v>
      </c>
      <c r="R55" s="1" t="s">
        <v>34</v>
      </c>
      <c r="S55" s="1" t="s">
        <v>35</v>
      </c>
      <c r="T55" s="1" t="s">
        <v>36</v>
      </c>
      <c r="U55" s="1" t="s">
        <v>37</v>
      </c>
      <c r="V55" s="1" t="s">
        <v>38</v>
      </c>
      <c r="W55" s="1" t="s">
        <v>39</v>
      </c>
      <c r="X55" s="8">
        <f>+IFERROR(VLOOKUP(N55,[1]Hoja1!$B$2:$F$52,4,0)*P55,"")</f>
        <v>2</v>
      </c>
      <c r="Y55" s="8" t="str">
        <f>+VLOOKUP(M55,[1]SKU!$B$3:$E$81,4,0)</f>
        <v>REGULAR</v>
      </c>
      <c r="Z55" s="8" t="str">
        <f t="shared" si="0"/>
        <v>BEES</v>
      </c>
      <c r="AA55" s="8" t="str">
        <f>+VLOOKUP(I55,[1]SKU!$H$2:$I$97,2,0)</f>
        <v>PE07009</v>
      </c>
    </row>
    <row r="56" spans="1:27">
      <c r="A56" s="1" t="s">
        <v>42</v>
      </c>
      <c r="B56" s="2">
        <v>46295</v>
      </c>
      <c r="C56" s="1" t="s">
        <v>358</v>
      </c>
      <c r="D56" s="1" t="s">
        <v>43</v>
      </c>
      <c r="E56" s="1" t="s">
        <v>359</v>
      </c>
      <c r="F56" s="1" t="s">
        <v>360</v>
      </c>
      <c r="G56" s="1" t="s">
        <v>26</v>
      </c>
      <c r="H56" s="1" t="s">
        <v>27</v>
      </c>
      <c r="I56" s="1" t="s">
        <v>65</v>
      </c>
      <c r="J56" s="1" t="s">
        <v>28</v>
      </c>
      <c r="K56" s="1" t="s">
        <v>29</v>
      </c>
      <c r="L56" s="1" t="s">
        <v>30</v>
      </c>
      <c r="M56" s="1" t="s">
        <v>31</v>
      </c>
      <c r="N56" s="1" t="s">
        <v>32</v>
      </c>
      <c r="O56" s="1" t="s">
        <v>33</v>
      </c>
      <c r="P56" s="3">
        <v>5</v>
      </c>
      <c r="Q56" s="3">
        <v>368.27474999999998</v>
      </c>
      <c r="R56" s="1" t="s">
        <v>34</v>
      </c>
      <c r="S56" s="1" t="s">
        <v>35</v>
      </c>
      <c r="T56" s="1" t="s">
        <v>36</v>
      </c>
      <c r="U56" s="1" t="s">
        <v>37</v>
      </c>
      <c r="V56" s="1" t="s">
        <v>38</v>
      </c>
      <c r="W56" s="1" t="s">
        <v>39</v>
      </c>
      <c r="X56" s="8">
        <f>+IFERROR(VLOOKUP(N56,[1]Hoja1!$B$2:$F$52,4,0)*P56,"")</f>
        <v>5</v>
      </c>
      <c r="Y56" s="8" t="str">
        <f>+VLOOKUP(M56,[1]SKU!$B$3:$E$81,4,0)</f>
        <v>REGULAR</v>
      </c>
      <c r="Z56" s="8" t="str">
        <f t="shared" si="0"/>
        <v>BEES</v>
      </c>
      <c r="AA56" s="8" t="str">
        <f>+VLOOKUP(I56,[1]SKU!$H$2:$I$97,2,0)</f>
        <v>PE07003</v>
      </c>
    </row>
    <row r="57" spans="1:27">
      <c r="A57" s="1" t="s">
        <v>42</v>
      </c>
      <c r="B57" s="2">
        <v>46295</v>
      </c>
      <c r="C57" s="1" t="s">
        <v>361</v>
      </c>
      <c r="D57" s="1" t="s">
        <v>43</v>
      </c>
      <c r="E57" s="1" t="s">
        <v>362</v>
      </c>
      <c r="F57" s="1" t="s">
        <v>363</v>
      </c>
      <c r="G57" s="1" t="s">
        <v>26</v>
      </c>
      <c r="H57" s="1" t="s">
        <v>27</v>
      </c>
      <c r="I57" s="1" t="s">
        <v>180</v>
      </c>
      <c r="J57" s="1" t="s">
        <v>28</v>
      </c>
      <c r="K57" s="1" t="s">
        <v>29</v>
      </c>
      <c r="L57" s="1" t="s">
        <v>30</v>
      </c>
      <c r="M57" s="1" t="s">
        <v>31</v>
      </c>
      <c r="N57" s="1" t="s">
        <v>32</v>
      </c>
      <c r="O57" s="1" t="s">
        <v>33</v>
      </c>
      <c r="P57" s="3">
        <v>2</v>
      </c>
      <c r="Q57" s="3">
        <v>151.95689899999999</v>
      </c>
      <c r="R57" s="1" t="s">
        <v>34</v>
      </c>
      <c r="S57" s="1" t="s">
        <v>35</v>
      </c>
      <c r="T57" s="1" t="s">
        <v>36</v>
      </c>
      <c r="U57" s="1" t="s">
        <v>37</v>
      </c>
      <c r="V57" s="1" t="s">
        <v>38</v>
      </c>
      <c r="W57" s="1" t="s">
        <v>39</v>
      </c>
      <c r="X57" s="8">
        <f>+IFERROR(VLOOKUP(N57,[1]Hoja1!$B$2:$F$52,4,0)*P57,"")</f>
        <v>2</v>
      </c>
      <c r="Y57" s="8" t="str">
        <f>+VLOOKUP(M57,[1]SKU!$B$3:$E$81,4,0)</f>
        <v>REGULAR</v>
      </c>
      <c r="Z57" s="8" t="str">
        <f t="shared" si="0"/>
        <v>BEES</v>
      </c>
      <c r="AA57" s="8" t="str">
        <f>+VLOOKUP(I57,[1]SKU!$H$2:$I$97,2,0)</f>
        <v>PE07002</v>
      </c>
    </row>
    <row r="58" spans="1:27">
      <c r="A58" s="1" t="s">
        <v>51</v>
      </c>
      <c r="B58" s="2">
        <v>46295</v>
      </c>
      <c r="C58" s="1" t="s">
        <v>235</v>
      </c>
      <c r="D58" s="1" t="s">
        <v>52</v>
      </c>
      <c r="E58" s="1" t="s">
        <v>236</v>
      </c>
      <c r="F58" s="1" t="s">
        <v>237</v>
      </c>
      <c r="G58" s="1" t="s">
        <v>26</v>
      </c>
      <c r="H58" s="1" t="s">
        <v>27</v>
      </c>
      <c r="I58" s="1" t="s">
        <v>238</v>
      </c>
      <c r="J58" s="1" t="s">
        <v>28</v>
      </c>
      <c r="K58" s="1" t="s">
        <v>29</v>
      </c>
      <c r="L58" s="1" t="s">
        <v>30</v>
      </c>
      <c r="M58" s="1" t="s">
        <v>59</v>
      </c>
      <c r="N58" s="1" t="s">
        <v>60</v>
      </c>
      <c r="O58" s="1" t="s">
        <v>61</v>
      </c>
      <c r="P58" s="3">
        <v>1</v>
      </c>
      <c r="Q58" s="3">
        <v>19.607842999999999</v>
      </c>
      <c r="R58" s="1" t="s">
        <v>34</v>
      </c>
      <c r="S58" s="1" t="s">
        <v>35</v>
      </c>
      <c r="T58" s="1" t="s">
        <v>36</v>
      </c>
      <c r="U58" s="1" t="s">
        <v>37</v>
      </c>
      <c r="V58" s="1" t="s">
        <v>38</v>
      </c>
      <c r="W58" s="1" t="s">
        <v>39</v>
      </c>
      <c r="X58" s="8">
        <f>+IFERROR(VLOOKUP(N58,[1]Hoja1!$B$2:$F$52,4,0)*P58,"")</f>
        <v>0.28629032258064518</v>
      </c>
      <c r="Y58" s="8" t="str">
        <f>+VLOOKUP(M58,[1]SKU!$B$3:$E$81,4,0)</f>
        <v>LATAS</v>
      </c>
      <c r="Z58" s="8" t="str">
        <f t="shared" si="0"/>
        <v>BEES</v>
      </c>
      <c r="AA58" s="8" t="str">
        <f>+VLOOKUP(I58,[1]SKU!$H$2:$I$97,2,0)</f>
        <v>PE07011</v>
      </c>
    </row>
    <row r="59" spans="1:27">
      <c r="A59" s="1" t="s">
        <v>42</v>
      </c>
      <c r="B59" s="2">
        <v>46295</v>
      </c>
      <c r="C59" s="1" t="s">
        <v>268</v>
      </c>
      <c r="D59" s="1" t="s">
        <v>43</v>
      </c>
      <c r="E59" s="1" t="s">
        <v>174</v>
      </c>
      <c r="F59" s="1" t="s">
        <v>175</v>
      </c>
      <c r="G59" s="1" t="s">
        <v>26</v>
      </c>
      <c r="H59" s="1" t="s">
        <v>27</v>
      </c>
      <c r="I59" s="1" t="s">
        <v>65</v>
      </c>
      <c r="J59" s="1" t="s">
        <v>28</v>
      </c>
      <c r="K59" s="1" t="s">
        <v>29</v>
      </c>
      <c r="L59" s="1" t="s">
        <v>30</v>
      </c>
      <c r="M59" s="1" t="s">
        <v>59</v>
      </c>
      <c r="N59" s="1" t="s">
        <v>60</v>
      </c>
      <c r="O59" s="1" t="s">
        <v>61</v>
      </c>
      <c r="P59" s="3">
        <v>2</v>
      </c>
      <c r="Q59" s="3">
        <v>48.04</v>
      </c>
      <c r="R59" s="1" t="s">
        <v>34</v>
      </c>
      <c r="S59" s="1" t="s">
        <v>35</v>
      </c>
      <c r="T59" s="1" t="s">
        <v>36</v>
      </c>
      <c r="U59" s="1" t="s">
        <v>37</v>
      </c>
      <c r="V59" s="1" t="s">
        <v>38</v>
      </c>
      <c r="W59" s="1" t="s">
        <v>39</v>
      </c>
      <c r="X59" s="8">
        <f>+IFERROR(VLOOKUP(N59,[1]Hoja1!$B$2:$F$52,4,0)*P59,"")</f>
        <v>0.57258064516129037</v>
      </c>
      <c r="Y59" s="8" t="str">
        <f>+VLOOKUP(M59,[1]SKU!$B$3:$E$81,4,0)</f>
        <v>LATAS</v>
      </c>
      <c r="Z59" s="8" t="str">
        <f t="shared" si="0"/>
        <v>BEES</v>
      </c>
      <c r="AA59" s="8" t="str">
        <f>+VLOOKUP(I59,[1]SKU!$H$2:$I$97,2,0)</f>
        <v>PE07003</v>
      </c>
    </row>
    <row r="60" spans="1:27">
      <c r="A60" s="1" t="s">
        <v>40</v>
      </c>
      <c r="B60" s="2">
        <v>46295</v>
      </c>
      <c r="C60" s="1" t="s">
        <v>364</v>
      </c>
      <c r="D60" s="1" t="s">
        <v>41</v>
      </c>
      <c r="E60" s="1" t="s">
        <v>365</v>
      </c>
      <c r="F60" s="1" t="s">
        <v>366</v>
      </c>
      <c r="G60" s="1" t="s">
        <v>26</v>
      </c>
      <c r="H60" s="1" t="s">
        <v>27</v>
      </c>
      <c r="I60" s="1" t="s">
        <v>132</v>
      </c>
      <c r="J60" s="1" t="s">
        <v>28</v>
      </c>
      <c r="K60" s="1" t="s">
        <v>29</v>
      </c>
      <c r="L60" s="1" t="s">
        <v>30</v>
      </c>
      <c r="M60" s="1" t="s">
        <v>59</v>
      </c>
      <c r="N60" s="1" t="s">
        <v>60</v>
      </c>
      <c r="O60" s="1" t="s">
        <v>61</v>
      </c>
      <c r="P60" s="3">
        <v>1</v>
      </c>
      <c r="Q60" s="3">
        <v>19.607842999999999</v>
      </c>
      <c r="R60" s="1" t="s">
        <v>34</v>
      </c>
      <c r="S60" s="1" t="s">
        <v>35</v>
      </c>
      <c r="T60" s="1" t="s">
        <v>36</v>
      </c>
      <c r="U60" s="1" t="s">
        <v>37</v>
      </c>
      <c r="V60" s="1" t="s">
        <v>38</v>
      </c>
      <c r="W60" s="1" t="s">
        <v>39</v>
      </c>
      <c r="X60" s="8">
        <f>+IFERROR(VLOOKUP(N60,[1]Hoja1!$B$2:$F$52,4,0)*P60,"")</f>
        <v>0.28629032258064518</v>
      </c>
      <c r="Y60" s="8" t="str">
        <f>+VLOOKUP(M60,[1]SKU!$B$3:$E$81,4,0)</f>
        <v>LATAS</v>
      </c>
      <c r="Z60" s="8" t="str">
        <f t="shared" si="0"/>
        <v>BEES</v>
      </c>
      <c r="AA60" s="8" t="str">
        <f>+VLOOKUP(I60,[1]SKU!$H$2:$I$97,2,0)</f>
        <v>PE07009</v>
      </c>
    </row>
    <row r="61" spans="1:27">
      <c r="A61" s="1" t="s">
        <v>40</v>
      </c>
      <c r="B61" s="2">
        <v>46295</v>
      </c>
      <c r="C61" s="1" t="s">
        <v>367</v>
      </c>
      <c r="D61" s="1" t="s">
        <v>41</v>
      </c>
      <c r="E61" s="1" t="s">
        <v>368</v>
      </c>
      <c r="F61" s="1" t="s">
        <v>369</v>
      </c>
      <c r="G61" s="1" t="s">
        <v>26</v>
      </c>
      <c r="H61" s="1" t="s">
        <v>27</v>
      </c>
      <c r="I61" s="1" t="s">
        <v>132</v>
      </c>
      <c r="J61" s="1" t="s">
        <v>28</v>
      </c>
      <c r="K61" s="1" t="s">
        <v>29</v>
      </c>
      <c r="L61" s="1" t="s">
        <v>30</v>
      </c>
      <c r="M61" s="1" t="s">
        <v>59</v>
      </c>
      <c r="N61" s="1" t="s">
        <v>60</v>
      </c>
      <c r="O61" s="1" t="s">
        <v>61</v>
      </c>
      <c r="P61" s="3">
        <v>1</v>
      </c>
      <c r="Q61" s="3">
        <v>19.607842999999999</v>
      </c>
      <c r="R61" s="1" t="s">
        <v>34</v>
      </c>
      <c r="S61" s="1" t="s">
        <v>35</v>
      </c>
      <c r="T61" s="1" t="s">
        <v>36</v>
      </c>
      <c r="U61" s="1" t="s">
        <v>37</v>
      </c>
      <c r="V61" s="1" t="s">
        <v>38</v>
      </c>
      <c r="W61" s="1" t="s">
        <v>39</v>
      </c>
      <c r="X61" s="8">
        <f>+IFERROR(VLOOKUP(N61,[1]Hoja1!$B$2:$F$52,4,0)*P61,"")</f>
        <v>0.28629032258064518</v>
      </c>
      <c r="Y61" s="8" t="str">
        <f>+VLOOKUP(M61,[1]SKU!$B$3:$E$81,4,0)</f>
        <v>LATAS</v>
      </c>
      <c r="Z61" s="8" t="str">
        <f t="shared" si="0"/>
        <v>BEES</v>
      </c>
      <c r="AA61" s="8" t="str">
        <f>+VLOOKUP(I61,[1]SKU!$H$2:$I$97,2,0)</f>
        <v>PE07009</v>
      </c>
    </row>
    <row r="62" spans="1:27">
      <c r="A62" s="1" t="s">
        <v>44</v>
      </c>
      <c r="B62" s="2">
        <v>46295</v>
      </c>
      <c r="C62" s="1" t="s">
        <v>370</v>
      </c>
      <c r="D62" s="1" t="s">
        <v>58</v>
      </c>
      <c r="E62" s="1" t="s">
        <v>371</v>
      </c>
      <c r="F62" s="1" t="s">
        <v>372</v>
      </c>
      <c r="G62" s="1" t="s">
        <v>26</v>
      </c>
      <c r="H62" s="1" t="s">
        <v>27</v>
      </c>
      <c r="I62" s="1" t="s">
        <v>297</v>
      </c>
      <c r="J62" s="1" t="s">
        <v>28</v>
      </c>
      <c r="K62" s="1" t="s">
        <v>29</v>
      </c>
      <c r="L62" s="1" t="s">
        <v>30</v>
      </c>
      <c r="M62" s="1" t="s">
        <v>59</v>
      </c>
      <c r="N62" s="1" t="s">
        <v>60</v>
      </c>
      <c r="O62" s="1" t="s">
        <v>61</v>
      </c>
      <c r="P62" s="3">
        <v>1</v>
      </c>
      <c r="Q62" s="3">
        <v>20.980391999999998</v>
      </c>
      <c r="R62" s="1" t="s">
        <v>34</v>
      </c>
      <c r="S62" s="1" t="s">
        <v>35</v>
      </c>
      <c r="T62" s="1" t="s">
        <v>36</v>
      </c>
      <c r="U62" s="1" t="s">
        <v>37</v>
      </c>
      <c r="V62" s="1" t="s">
        <v>38</v>
      </c>
      <c r="W62" s="1" t="s">
        <v>39</v>
      </c>
      <c r="X62" s="8">
        <f>+IFERROR(VLOOKUP(N62,[1]Hoja1!$B$2:$F$52,4,0)*P62,"")</f>
        <v>0.28629032258064518</v>
      </c>
      <c r="Y62" s="8" t="str">
        <f>+VLOOKUP(M62,[1]SKU!$B$3:$E$81,4,0)</f>
        <v>LATAS</v>
      </c>
      <c r="Z62" s="8" t="str">
        <f t="shared" si="0"/>
        <v>BEES</v>
      </c>
      <c r="AA62" s="8" t="str">
        <f>+VLOOKUP(I62,[1]SKU!$H$2:$I$97,2,0)</f>
        <v>PE07004</v>
      </c>
    </row>
    <row r="63" spans="1:27">
      <c r="A63" s="1" t="s">
        <v>40</v>
      </c>
      <c r="B63" s="2">
        <v>46295</v>
      </c>
      <c r="C63" s="1" t="s">
        <v>364</v>
      </c>
      <c r="D63" s="1" t="s">
        <v>41</v>
      </c>
      <c r="E63" s="1" t="s">
        <v>365</v>
      </c>
      <c r="F63" s="1" t="s">
        <v>366</v>
      </c>
      <c r="G63" s="1" t="s">
        <v>26</v>
      </c>
      <c r="H63" s="1" t="s">
        <v>27</v>
      </c>
      <c r="I63" s="1" t="s">
        <v>132</v>
      </c>
      <c r="J63" s="1" t="s">
        <v>28</v>
      </c>
      <c r="K63" s="1" t="s">
        <v>29</v>
      </c>
      <c r="L63" s="1" t="s">
        <v>30</v>
      </c>
      <c r="M63" s="1" t="s">
        <v>59</v>
      </c>
      <c r="N63" s="1" t="s">
        <v>60</v>
      </c>
      <c r="O63" s="1" t="s">
        <v>61</v>
      </c>
      <c r="P63" s="3">
        <v>1</v>
      </c>
      <c r="Q63" s="3">
        <v>19.607842999999999</v>
      </c>
      <c r="R63" s="1" t="s">
        <v>34</v>
      </c>
      <c r="S63" s="1" t="s">
        <v>35</v>
      </c>
      <c r="T63" s="1" t="s">
        <v>36</v>
      </c>
      <c r="U63" s="1" t="s">
        <v>37</v>
      </c>
      <c r="V63" s="1" t="s">
        <v>38</v>
      </c>
      <c r="W63" s="1" t="s">
        <v>39</v>
      </c>
      <c r="X63" s="8">
        <f>+IFERROR(VLOOKUP(N63,[1]Hoja1!$B$2:$F$52,4,0)*P63,"")</f>
        <v>0.28629032258064518</v>
      </c>
      <c r="Y63" s="8" t="str">
        <f>+VLOOKUP(M63,[1]SKU!$B$3:$E$81,4,0)</f>
        <v>LATAS</v>
      </c>
      <c r="Z63" s="8" t="str">
        <f t="shared" si="0"/>
        <v>BEES</v>
      </c>
      <c r="AA63" s="8" t="str">
        <f>+VLOOKUP(I63,[1]SKU!$H$2:$I$97,2,0)</f>
        <v>PE07009</v>
      </c>
    </row>
    <row r="64" spans="1:27">
      <c r="A64" s="1" t="s">
        <v>40</v>
      </c>
      <c r="B64" s="2">
        <v>46295</v>
      </c>
      <c r="C64" s="1" t="s">
        <v>373</v>
      </c>
      <c r="D64" s="1" t="s">
        <v>41</v>
      </c>
      <c r="E64" s="1" t="s">
        <v>374</v>
      </c>
      <c r="F64" s="1" t="s">
        <v>375</v>
      </c>
      <c r="G64" s="1" t="s">
        <v>26</v>
      </c>
      <c r="H64" s="1" t="s">
        <v>27</v>
      </c>
      <c r="I64" s="1" t="s">
        <v>132</v>
      </c>
      <c r="J64" s="1" t="s">
        <v>28</v>
      </c>
      <c r="K64" s="1" t="s">
        <v>29</v>
      </c>
      <c r="L64" s="1" t="s">
        <v>30</v>
      </c>
      <c r="M64" s="1" t="s">
        <v>59</v>
      </c>
      <c r="N64" s="1" t="s">
        <v>60</v>
      </c>
      <c r="O64" s="1" t="s">
        <v>61</v>
      </c>
      <c r="P64" s="3">
        <v>13</v>
      </c>
      <c r="Q64" s="3">
        <v>300.70638100000002</v>
      </c>
      <c r="R64" s="1" t="s">
        <v>34</v>
      </c>
      <c r="S64" s="1" t="s">
        <v>35</v>
      </c>
      <c r="T64" s="1" t="s">
        <v>36</v>
      </c>
      <c r="U64" s="1" t="s">
        <v>37</v>
      </c>
      <c r="V64" s="1" t="s">
        <v>38</v>
      </c>
      <c r="W64" s="1" t="s">
        <v>39</v>
      </c>
      <c r="X64" s="8">
        <f>+IFERROR(VLOOKUP(N64,[1]Hoja1!$B$2:$F$52,4,0)*P64,"")</f>
        <v>3.7217741935483875</v>
      </c>
      <c r="Y64" s="8" t="str">
        <f>+VLOOKUP(M64,[1]SKU!$B$3:$E$81,4,0)</f>
        <v>LATAS</v>
      </c>
      <c r="Z64" s="8" t="str">
        <f t="shared" si="0"/>
        <v>BEES</v>
      </c>
      <c r="AA64" s="8" t="str">
        <f>+VLOOKUP(I64,[1]SKU!$H$2:$I$97,2,0)</f>
        <v>PE07009</v>
      </c>
    </row>
    <row r="65" spans="1:27">
      <c r="A65" s="1" t="s">
        <v>40</v>
      </c>
      <c r="B65" s="2">
        <v>46295</v>
      </c>
      <c r="C65" s="1" t="s">
        <v>298</v>
      </c>
      <c r="D65" s="1" t="s">
        <v>41</v>
      </c>
      <c r="E65" s="1" t="s">
        <v>299</v>
      </c>
      <c r="F65" s="1" t="s">
        <v>300</v>
      </c>
      <c r="G65" s="1" t="s">
        <v>26</v>
      </c>
      <c r="H65" s="1" t="s">
        <v>27</v>
      </c>
      <c r="I65" s="1" t="s">
        <v>132</v>
      </c>
      <c r="J65" s="1" t="s">
        <v>28</v>
      </c>
      <c r="K65" s="1" t="s">
        <v>29</v>
      </c>
      <c r="L65" s="1" t="s">
        <v>30</v>
      </c>
      <c r="M65" s="1" t="s">
        <v>31</v>
      </c>
      <c r="N65" s="1" t="s">
        <v>32</v>
      </c>
      <c r="O65" s="1" t="s">
        <v>33</v>
      </c>
      <c r="P65" s="3">
        <v>1</v>
      </c>
      <c r="Q65" s="3">
        <v>73.460784000000004</v>
      </c>
      <c r="R65" s="1" t="s">
        <v>34</v>
      </c>
      <c r="S65" s="1" t="s">
        <v>35</v>
      </c>
      <c r="T65" s="1" t="s">
        <v>36</v>
      </c>
      <c r="U65" s="1" t="s">
        <v>37</v>
      </c>
      <c r="V65" s="1" t="s">
        <v>38</v>
      </c>
      <c r="W65" s="1" t="s">
        <v>39</v>
      </c>
      <c r="X65" s="8">
        <f>+IFERROR(VLOOKUP(N65,[1]Hoja1!$B$2:$F$52,4,0)*P65,"")</f>
        <v>1</v>
      </c>
      <c r="Y65" s="8" t="str">
        <f>+VLOOKUP(M65,[1]SKU!$B$3:$E$81,4,0)</f>
        <v>REGULAR</v>
      </c>
      <c r="Z65" s="8" t="str">
        <f t="shared" si="0"/>
        <v>BEES</v>
      </c>
      <c r="AA65" s="8" t="str">
        <f>+VLOOKUP(I65,[1]SKU!$H$2:$I$97,2,0)</f>
        <v>PE07009</v>
      </c>
    </row>
    <row r="66" spans="1:27">
      <c r="A66" s="1" t="s">
        <v>42</v>
      </c>
      <c r="B66" s="2">
        <v>46295</v>
      </c>
      <c r="C66" s="1" t="s">
        <v>376</v>
      </c>
      <c r="D66" s="1" t="s">
        <v>43</v>
      </c>
      <c r="E66" s="1" t="s">
        <v>88</v>
      </c>
      <c r="F66" s="1" t="s">
        <v>89</v>
      </c>
      <c r="G66" s="1" t="s">
        <v>26</v>
      </c>
      <c r="H66" s="1" t="s">
        <v>27</v>
      </c>
      <c r="I66" s="1" t="s">
        <v>65</v>
      </c>
      <c r="J66" s="1" t="s">
        <v>28</v>
      </c>
      <c r="K66" s="1" t="s">
        <v>29</v>
      </c>
      <c r="L66" s="1" t="s">
        <v>30</v>
      </c>
      <c r="M66" s="1" t="s">
        <v>31</v>
      </c>
      <c r="N66" s="1" t="s">
        <v>32</v>
      </c>
      <c r="O66" s="1" t="s">
        <v>33</v>
      </c>
      <c r="P66" s="3">
        <v>2</v>
      </c>
      <c r="Q66" s="3">
        <v>151.95689899999999</v>
      </c>
      <c r="R66" s="1" t="s">
        <v>34</v>
      </c>
      <c r="S66" s="1" t="s">
        <v>35</v>
      </c>
      <c r="T66" s="1" t="s">
        <v>36</v>
      </c>
      <c r="U66" s="1" t="s">
        <v>37</v>
      </c>
      <c r="V66" s="1" t="s">
        <v>38</v>
      </c>
      <c r="W66" s="1" t="s">
        <v>39</v>
      </c>
      <c r="X66" s="8">
        <f>+IFERROR(VLOOKUP(N66,[1]Hoja1!$B$2:$F$52,4,0)*P66,"")</f>
        <v>2</v>
      </c>
      <c r="Y66" s="8" t="str">
        <f>+VLOOKUP(M66,[1]SKU!$B$3:$E$81,4,0)</f>
        <v>REGULAR</v>
      </c>
      <c r="Z66" s="8" t="str">
        <f t="shared" si="0"/>
        <v>BEES</v>
      </c>
      <c r="AA66" s="8" t="str">
        <f>+VLOOKUP(I66,[1]SKU!$H$2:$I$97,2,0)</f>
        <v>PE07003</v>
      </c>
    </row>
    <row r="67" spans="1:27">
      <c r="A67" s="1" t="s">
        <v>40</v>
      </c>
      <c r="B67" s="2">
        <v>46295</v>
      </c>
      <c r="C67" s="1" t="s">
        <v>377</v>
      </c>
      <c r="D67" s="1" t="s">
        <v>41</v>
      </c>
      <c r="E67" s="1" t="s">
        <v>378</v>
      </c>
      <c r="F67" s="1" t="s">
        <v>379</v>
      </c>
      <c r="G67" s="1" t="s">
        <v>26</v>
      </c>
      <c r="H67" s="1" t="s">
        <v>27</v>
      </c>
      <c r="I67" s="1" t="s">
        <v>132</v>
      </c>
      <c r="J67" s="1" t="s">
        <v>28</v>
      </c>
      <c r="K67" s="1" t="s">
        <v>29</v>
      </c>
      <c r="L67" s="1" t="s">
        <v>30</v>
      </c>
      <c r="M67" s="1" t="s">
        <v>31</v>
      </c>
      <c r="N67" s="1" t="s">
        <v>32</v>
      </c>
      <c r="O67" s="1" t="s">
        <v>33</v>
      </c>
      <c r="P67" s="3">
        <v>1</v>
      </c>
      <c r="Q67" s="3">
        <v>73.460784000000004</v>
      </c>
      <c r="R67" s="1" t="s">
        <v>34</v>
      </c>
      <c r="S67" s="1" t="s">
        <v>35</v>
      </c>
      <c r="T67" s="1" t="s">
        <v>36</v>
      </c>
      <c r="U67" s="1" t="s">
        <v>37</v>
      </c>
      <c r="V67" s="1" t="s">
        <v>38</v>
      </c>
      <c r="W67" s="1" t="s">
        <v>39</v>
      </c>
      <c r="X67" s="8">
        <f>+IFERROR(VLOOKUP(N67,[1]Hoja1!$B$2:$F$52,4,0)*P67,"")</f>
        <v>1</v>
      </c>
      <c r="Y67" s="8" t="str">
        <f>+VLOOKUP(M67,[1]SKU!$B$3:$E$81,4,0)</f>
        <v>REGULAR</v>
      </c>
      <c r="Z67" s="8" t="str">
        <f t="shared" ref="Z67:Z130" si="1">+IF(J67="VB01                          ","BEES","FLEX")</f>
        <v>BEES</v>
      </c>
      <c r="AA67" s="8" t="str">
        <f>+VLOOKUP(I67,[1]SKU!$H$2:$I$97,2,0)</f>
        <v>PE07009</v>
      </c>
    </row>
    <row r="68" spans="1:27">
      <c r="A68" s="1" t="s">
        <v>44</v>
      </c>
      <c r="B68" s="2">
        <v>46295</v>
      </c>
      <c r="C68" s="1" t="s">
        <v>380</v>
      </c>
      <c r="D68" s="1" t="s">
        <v>58</v>
      </c>
      <c r="E68" s="1" t="s">
        <v>381</v>
      </c>
      <c r="F68" s="1" t="s">
        <v>382</v>
      </c>
      <c r="G68" s="1" t="s">
        <v>26</v>
      </c>
      <c r="H68" s="1" t="s">
        <v>27</v>
      </c>
      <c r="I68" s="1" t="s">
        <v>297</v>
      </c>
      <c r="J68" s="1" t="s">
        <v>28</v>
      </c>
      <c r="K68" s="1" t="s">
        <v>29</v>
      </c>
      <c r="L68" s="1" t="s">
        <v>30</v>
      </c>
      <c r="M68" s="1" t="s">
        <v>31</v>
      </c>
      <c r="N68" s="1" t="s">
        <v>32</v>
      </c>
      <c r="O68" s="1" t="s">
        <v>33</v>
      </c>
      <c r="P68" s="3">
        <v>1</v>
      </c>
      <c r="Q68" s="3">
        <v>77.45</v>
      </c>
      <c r="R68" s="1" t="s">
        <v>34</v>
      </c>
      <c r="S68" s="1" t="s">
        <v>35</v>
      </c>
      <c r="T68" s="1" t="s">
        <v>36</v>
      </c>
      <c r="U68" s="1" t="s">
        <v>37</v>
      </c>
      <c r="V68" s="1" t="s">
        <v>38</v>
      </c>
      <c r="W68" s="1" t="s">
        <v>39</v>
      </c>
      <c r="X68" s="8">
        <f>+IFERROR(VLOOKUP(N68,[1]Hoja1!$B$2:$F$52,4,0)*P68,"")</f>
        <v>1</v>
      </c>
      <c r="Y68" s="8" t="str">
        <f>+VLOOKUP(M68,[1]SKU!$B$3:$E$81,4,0)</f>
        <v>REGULAR</v>
      </c>
      <c r="Z68" s="8" t="str">
        <f t="shared" si="1"/>
        <v>BEES</v>
      </c>
      <c r="AA68" s="8" t="str">
        <f>+VLOOKUP(I68,[1]SKU!$H$2:$I$97,2,0)</f>
        <v>PE07004</v>
      </c>
    </row>
    <row r="69" spans="1:27">
      <c r="A69" s="1" t="s">
        <v>51</v>
      </c>
      <c r="B69" s="2">
        <v>46295</v>
      </c>
      <c r="C69" s="1" t="s">
        <v>383</v>
      </c>
      <c r="D69" s="1" t="s">
        <v>52</v>
      </c>
      <c r="E69" s="1" t="s">
        <v>384</v>
      </c>
      <c r="F69" s="1" t="s">
        <v>385</v>
      </c>
      <c r="G69" s="1" t="s">
        <v>26</v>
      </c>
      <c r="H69" s="1" t="s">
        <v>27</v>
      </c>
      <c r="I69" s="1" t="s">
        <v>238</v>
      </c>
      <c r="J69" s="1" t="s">
        <v>28</v>
      </c>
      <c r="K69" s="1" t="s">
        <v>29</v>
      </c>
      <c r="L69" s="1" t="s">
        <v>30</v>
      </c>
      <c r="M69" s="1" t="s">
        <v>101</v>
      </c>
      <c r="N69" s="1" t="s">
        <v>102</v>
      </c>
      <c r="O69" s="1" t="s">
        <v>33</v>
      </c>
      <c r="P69" s="3">
        <v>1</v>
      </c>
      <c r="Q69" s="3">
        <v>95.29</v>
      </c>
      <c r="R69" s="1" t="s">
        <v>34</v>
      </c>
      <c r="S69" s="1" t="s">
        <v>35</v>
      </c>
      <c r="T69" s="1" t="s">
        <v>36</v>
      </c>
      <c r="U69" s="1" t="s">
        <v>37</v>
      </c>
      <c r="V69" s="1" t="s">
        <v>38</v>
      </c>
      <c r="W69" s="1" t="s">
        <v>39</v>
      </c>
      <c r="X69" s="8">
        <f>+IFERROR(VLOOKUP(N69,[1]Hoja1!$B$2:$F$52,4,0)*P69,"")</f>
        <v>1.6129032258064517</v>
      </c>
      <c r="Y69" s="8" t="str">
        <f>+VLOOKUP(M69,[1]SKU!$B$3:$E$81,4,0)</f>
        <v>REGULAR</v>
      </c>
      <c r="Z69" s="8" t="str">
        <f t="shared" si="1"/>
        <v>BEES</v>
      </c>
      <c r="AA69" s="8" t="str">
        <f>+VLOOKUP(I69,[1]SKU!$H$2:$I$97,2,0)</f>
        <v>PE07011</v>
      </c>
    </row>
    <row r="70" spans="1:27">
      <c r="A70" s="1" t="s">
        <v>24</v>
      </c>
      <c r="B70" s="2">
        <v>46295</v>
      </c>
      <c r="C70" s="1" t="s">
        <v>386</v>
      </c>
      <c r="D70" s="1" t="s">
        <v>25</v>
      </c>
      <c r="E70" s="1" t="s">
        <v>387</v>
      </c>
      <c r="F70" s="1" t="s">
        <v>388</v>
      </c>
      <c r="G70" s="1" t="s">
        <v>26</v>
      </c>
      <c r="H70" s="1" t="s">
        <v>27</v>
      </c>
      <c r="I70" s="1" t="s">
        <v>53</v>
      </c>
      <c r="J70" s="1" t="s">
        <v>28</v>
      </c>
      <c r="K70" s="1" t="s">
        <v>29</v>
      </c>
      <c r="L70" s="1" t="s">
        <v>30</v>
      </c>
      <c r="M70" s="1" t="s">
        <v>103</v>
      </c>
      <c r="N70" s="1" t="s">
        <v>104</v>
      </c>
      <c r="O70" s="1" t="s">
        <v>68</v>
      </c>
      <c r="P70" s="3">
        <v>1</v>
      </c>
      <c r="Q70" s="3">
        <v>0</v>
      </c>
      <c r="R70" s="1" t="s">
        <v>77</v>
      </c>
      <c r="S70" s="1" t="s">
        <v>35</v>
      </c>
      <c r="T70" s="1" t="s">
        <v>36</v>
      </c>
      <c r="U70" s="1" t="s">
        <v>37</v>
      </c>
      <c r="V70" s="1" t="s">
        <v>85</v>
      </c>
      <c r="W70" s="1" t="s">
        <v>39</v>
      </c>
      <c r="X70" s="8" t="str">
        <f>+IFERROR(VLOOKUP(N70,[1]Hoja1!$B$2:$F$52,4,0)*P70,"")</f>
        <v/>
      </c>
      <c r="Y70" s="8" t="e">
        <f>+VLOOKUP(M70,[1]SKU!$B$3:$E$81,4,0)</f>
        <v>#N/A</v>
      </c>
      <c r="Z70" s="8" t="str">
        <f t="shared" si="1"/>
        <v>BEES</v>
      </c>
      <c r="AA70" s="8" t="str">
        <f>+VLOOKUP(I70,[1]SKU!$H$2:$I$97,2,0)</f>
        <v>PE07010</v>
      </c>
    </row>
    <row r="71" spans="1:27">
      <c r="A71" s="1" t="s">
        <v>24</v>
      </c>
      <c r="B71" s="2">
        <v>46295</v>
      </c>
      <c r="C71" s="1" t="s">
        <v>315</v>
      </c>
      <c r="D71" s="1" t="s">
        <v>25</v>
      </c>
      <c r="E71" s="1" t="s">
        <v>130</v>
      </c>
      <c r="F71" s="1" t="s">
        <v>131</v>
      </c>
      <c r="G71" s="1" t="s">
        <v>26</v>
      </c>
      <c r="H71" s="1" t="s">
        <v>27</v>
      </c>
      <c r="I71" s="1" t="s">
        <v>53</v>
      </c>
      <c r="J71" s="1" t="s">
        <v>28</v>
      </c>
      <c r="K71" s="1" t="s">
        <v>29</v>
      </c>
      <c r="L71" s="1" t="s">
        <v>30</v>
      </c>
      <c r="M71" s="1" t="s">
        <v>103</v>
      </c>
      <c r="N71" s="1" t="s">
        <v>104</v>
      </c>
      <c r="O71" s="1" t="s">
        <v>68</v>
      </c>
      <c r="P71" s="3">
        <v>1</v>
      </c>
      <c r="Q71" s="3">
        <v>5.9599989999999998</v>
      </c>
      <c r="R71" s="1" t="s">
        <v>34</v>
      </c>
      <c r="S71" s="1" t="s">
        <v>35</v>
      </c>
      <c r="T71" s="1" t="s">
        <v>36</v>
      </c>
      <c r="U71" s="1" t="s">
        <v>37</v>
      </c>
      <c r="V71" s="1" t="s">
        <v>85</v>
      </c>
      <c r="W71" s="1" t="s">
        <v>39</v>
      </c>
      <c r="X71" s="8" t="str">
        <f>+IFERROR(VLOOKUP(N71,[1]Hoja1!$B$2:$F$52,4,0)*P71,"")</f>
        <v/>
      </c>
      <c r="Y71" s="8" t="e">
        <f>+VLOOKUP(M71,[1]SKU!$B$3:$E$81,4,0)</f>
        <v>#N/A</v>
      </c>
      <c r="Z71" s="8" t="str">
        <f t="shared" si="1"/>
        <v>BEES</v>
      </c>
      <c r="AA71" s="8" t="str">
        <f>+VLOOKUP(I71,[1]SKU!$H$2:$I$97,2,0)</f>
        <v>PE07010</v>
      </c>
    </row>
    <row r="72" spans="1:27">
      <c r="A72" s="1" t="s">
        <v>40</v>
      </c>
      <c r="B72" s="2">
        <v>46295</v>
      </c>
      <c r="C72" s="1" t="s">
        <v>373</v>
      </c>
      <c r="D72" s="1" t="s">
        <v>41</v>
      </c>
      <c r="E72" s="1" t="s">
        <v>374</v>
      </c>
      <c r="F72" s="1" t="s">
        <v>375</v>
      </c>
      <c r="G72" s="1" t="s">
        <v>26</v>
      </c>
      <c r="H72" s="1" t="s">
        <v>27</v>
      </c>
      <c r="I72" s="1" t="s">
        <v>132</v>
      </c>
      <c r="J72" s="1" t="s">
        <v>28</v>
      </c>
      <c r="K72" s="1" t="s">
        <v>29</v>
      </c>
      <c r="L72" s="1" t="s">
        <v>30</v>
      </c>
      <c r="M72" s="1" t="s">
        <v>49</v>
      </c>
      <c r="N72" s="1" t="s">
        <v>50</v>
      </c>
      <c r="O72" s="1" t="s">
        <v>33</v>
      </c>
      <c r="P72" s="3">
        <v>28</v>
      </c>
      <c r="Q72" s="3">
        <v>2039.52</v>
      </c>
      <c r="R72" s="1" t="s">
        <v>34</v>
      </c>
      <c r="S72" s="1" t="s">
        <v>35</v>
      </c>
      <c r="T72" s="1" t="s">
        <v>36</v>
      </c>
      <c r="U72" s="1" t="s">
        <v>37</v>
      </c>
      <c r="V72" s="1" t="s">
        <v>38</v>
      </c>
      <c r="W72" s="1" t="s">
        <v>39</v>
      </c>
      <c r="X72" s="8">
        <f>+IFERROR(VLOOKUP(N72,[1]Hoja1!$B$2:$F$52,4,0)*P72,"")</f>
        <v>28.451612903225808</v>
      </c>
      <c r="Y72" s="8" t="str">
        <f>+VLOOKUP(M72,[1]SKU!$B$3:$E$81,4,0)</f>
        <v>REGULAR</v>
      </c>
      <c r="Z72" s="8" t="str">
        <f t="shared" si="1"/>
        <v>BEES</v>
      </c>
      <c r="AA72" s="8" t="str">
        <f>+VLOOKUP(I72,[1]SKU!$H$2:$I$97,2,0)</f>
        <v>PE07009</v>
      </c>
    </row>
    <row r="73" spans="1:27">
      <c r="A73" s="1" t="s">
        <v>40</v>
      </c>
      <c r="B73" s="2">
        <v>46295</v>
      </c>
      <c r="C73" s="1" t="s">
        <v>389</v>
      </c>
      <c r="D73" s="1" t="s">
        <v>41</v>
      </c>
      <c r="E73" s="1" t="s">
        <v>390</v>
      </c>
      <c r="F73" s="1" t="s">
        <v>391</v>
      </c>
      <c r="G73" s="1" t="s">
        <v>26</v>
      </c>
      <c r="H73" s="1" t="s">
        <v>27</v>
      </c>
      <c r="I73" s="1" t="s">
        <v>132</v>
      </c>
      <c r="J73" s="1" t="s">
        <v>28</v>
      </c>
      <c r="K73" s="1" t="s">
        <v>29</v>
      </c>
      <c r="L73" s="1" t="s">
        <v>30</v>
      </c>
      <c r="M73" s="1" t="s">
        <v>49</v>
      </c>
      <c r="N73" s="1" t="s">
        <v>50</v>
      </c>
      <c r="O73" s="1" t="s">
        <v>33</v>
      </c>
      <c r="P73" s="3">
        <v>3</v>
      </c>
      <c r="Q73" s="3">
        <v>218.52</v>
      </c>
      <c r="R73" s="1" t="s">
        <v>34</v>
      </c>
      <c r="S73" s="1" t="s">
        <v>35</v>
      </c>
      <c r="T73" s="1" t="s">
        <v>36</v>
      </c>
      <c r="U73" s="1" t="s">
        <v>37</v>
      </c>
      <c r="V73" s="1" t="s">
        <v>38</v>
      </c>
      <c r="W73" s="1" t="s">
        <v>39</v>
      </c>
      <c r="X73" s="8">
        <f>+IFERROR(VLOOKUP(N73,[1]Hoja1!$B$2:$F$52,4,0)*P73,"")</f>
        <v>3.0483870967741935</v>
      </c>
      <c r="Y73" s="8" t="str">
        <f>+VLOOKUP(M73,[1]SKU!$B$3:$E$81,4,0)</f>
        <v>REGULAR</v>
      </c>
      <c r="Z73" s="8" t="str">
        <f t="shared" si="1"/>
        <v>BEES</v>
      </c>
      <c r="AA73" s="8" t="str">
        <f>+VLOOKUP(I73,[1]SKU!$H$2:$I$97,2,0)</f>
        <v>PE07009</v>
      </c>
    </row>
    <row r="74" spans="1:27">
      <c r="A74" s="1" t="s">
        <v>24</v>
      </c>
      <c r="B74" s="2">
        <v>46295</v>
      </c>
      <c r="C74" s="1" t="s">
        <v>392</v>
      </c>
      <c r="D74" s="1" t="s">
        <v>25</v>
      </c>
      <c r="E74" s="1" t="s">
        <v>393</v>
      </c>
      <c r="F74" s="1" t="s">
        <v>394</v>
      </c>
      <c r="G74" s="1" t="s">
        <v>26</v>
      </c>
      <c r="H74" s="1" t="s">
        <v>27</v>
      </c>
      <c r="I74" s="1" t="s">
        <v>53</v>
      </c>
      <c r="J74" s="1" t="s">
        <v>28</v>
      </c>
      <c r="K74" s="1" t="s">
        <v>29</v>
      </c>
      <c r="L74" s="1" t="s">
        <v>30</v>
      </c>
      <c r="M74" s="1" t="s">
        <v>49</v>
      </c>
      <c r="N74" s="1" t="s">
        <v>50</v>
      </c>
      <c r="O74" s="1" t="s">
        <v>33</v>
      </c>
      <c r="P74" s="3">
        <v>1</v>
      </c>
      <c r="Q74" s="3">
        <v>72.840001000000001</v>
      </c>
      <c r="R74" s="1" t="s">
        <v>34</v>
      </c>
      <c r="S74" s="1" t="s">
        <v>35</v>
      </c>
      <c r="T74" s="1" t="s">
        <v>36</v>
      </c>
      <c r="U74" s="1" t="s">
        <v>37</v>
      </c>
      <c r="V74" s="1" t="s">
        <v>38</v>
      </c>
      <c r="W74" s="1" t="s">
        <v>39</v>
      </c>
      <c r="X74" s="8">
        <f>+IFERROR(VLOOKUP(N74,[1]Hoja1!$B$2:$F$52,4,0)*P74,"")</f>
        <v>1.0161290322580645</v>
      </c>
      <c r="Y74" s="8" t="str">
        <f>+VLOOKUP(M74,[1]SKU!$B$3:$E$81,4,0)</f>
        <v>REGULAR</v>
      </c>
      <c r="Z74" s="8" t="str">
        <f t="shared" si="1"/>
        <v>BEES</v>
      </c>
      <c r="AA74" s="8" t="str">
        <f>+VLOOKUP(I74,[1]SKU!$H$2:$I$97,2,0)</f>
        <v>PE07010</v>
      </c>
    </row>
    <row r="75" spans="1:27">
      <c r="A75" s="1" t="s">
        <v>24</v>
      </c>
      <c r="B75" s="2">
        <v>46295</v>
      </c>
      <c r="C75" s="1" t="s">
        <v>395</v>
      </c>
      <c r="D75" s="1" t="s">
        <v>25</v>
      </c>
      <c r="E75" s="1" t="s">
        <v>396</v>
      </c>
      <c r="F75" s="1" t="s">
        <v>397</v>
      </c>
      <c r="G75" s="1" t="s">
        <v>26</v>
      </c>
      <c r="H75" s="1" t="s">
        <v>27</v>
      </c>
      <c r="I75" s="1" t="s">
        <v>53</v>
      </c>
      <c r="J75" s="1" t="s">
        <v>28</v>
      </c>
      <c r="K75" s="1" t="s">
        <v>29</v>
      </c>
      <c r="L75" s="1" t="s">
        <v>30</v>
      </c>
      <c r="M75" s="1" t="s">
        <v>49</v>
      </c>
      <c r="N75" s="1" t="s">
        <v>50</v>
      </c>
      <c r="O75" s="1" t="s">
        <v>33</v>
      </c>
      <c r="P75" s="3">
        <v>4</v>
      </c>
      <c r="Q75" s="3">
        <v>291.36</v>
      </c>
      <c r="R75" s="1" t="s">
        <v>34</v>
      </c>
      <c r="S75" s="1" t="s">
        <v>35</v>
      </c>
      <c r="T75" s="1" t="s">
        <v>36</v>
      </c>
      <c r="U75" s="1" t="s">
        <v>37</v>
      </c>
      <c r="V75" s="1" t="s">
        <v>38</v>
      </c>
      <c r="W75" s="1" t="s">
        <v>39</v>
      </c>
      <c r="X75" s="8">
        <f>+IFERROR(VLOOKUP(N75,[1]Hoja1!$B$2:$F$52,4,0)*P75,"")</f>
        <v>4.064516129032258</v>
      </c>
      <c r="Y75" s="8" t="str">
        <f>+VLOOKUP(M75,[1]SKU!$B$3:$E$81,4,0)</f>
        <v>REGULAR</v>
      </c>
      <c r="Z75" s="8" t="str">
        <f t="shared" si="1"/>
        <v>BEES</v>
      </c>
      <c r="AA75" s="8" t="str">
        <f>+VLOOKUP(I75,[1]SKU!$H$2:$I$97,2,0)</f>
        <v>PE07010</v>
      </c>
    </row>
    <row r="76" spans="1:27">
      <c r="A76" s="1" t="s">
        <v>42</v>
      </c>
      <c r="B76" s="2">
        <v>46295</v>
      </c>
      <c r="C76" s="1" t="s">
        <v>398</v>
      </c>
      <c r="D76" s="1" t="s">
        <v>43</v>
      </c>
      <c r="E76" s="1" t="s">
        <v>399</v>
      </c>
      <c r="F76" s="1" t="s">
        <v>400</v>
      </c>
      <c r="G76" s="1" t="s">
        <v>26</v>
      </c>
      <c r="H76" s="1" t="s">
        <v>27</v>
      </c>
      <c r="I76" s="1" t="s">
        <v>65</v>
      </c>
      <c r="J76" s="1" t="s">
        <v>28</v>
      </c>
      <c r="K76" s="1" t="s">
        <v>29</v>
      </c>
      <c r="L76" s="1" t="s">
        <v>30</v>
      </c>
      <c r="M76" s="1" t="s">
        <v>49</v>
      </c>
      <c r="N76" s="1" t="s">
        <v>50</v>
      </c>
      <c r="O76" s="1" t="s">
        <v>33</v>
      </c>
      <c r="P76" s="3">
        <v>1</v>
      </c>
      <c r="Q76" s="3">
        <v>72.840001000000001</v>
      </c>
      <c r="R76" s="1" t="s">
        <v>34</v>
      </c>
      <c r="S76" s="1" t="s">
        <v>35</v>
      </c>
      <c r="T76" s="1" t="s">
        <v>36</v>
      </c>
      <c r="U76" s="1" t="s">
        <v>37</v>
      </c>
      <c r="V76" s="1" t="s">
        <v>38</v>
      </c>
      <c r="W76" s="1" t="s">
        <v>39</v>
      </c>
      <c r="X76" s="8">
        <f>+IFERROR(VLOOKUP(N76,[1]Hoja1!$B$2:$F$52,4,0)*P76,"")</f>
        <v>1.0161290322580645</v>
      </c>
      <c r="Y76" s="8" t="str">
        <f>+VLOOKUP(M76,[1]SKU!$B$3:$E$81,4,0)</f>
        <v>REGULAR</v>
      </c>
      <c r="Z76" s="8" t="str">
        <f t="shared" si="1"/>
        <v>BEES</v>
      </c>
      <c r="AA76" s="8" t="str">
        <f>+VLOOKUP(I76,[1]SKU!$H$2:$I$97,2,0)</f>
        <v>PE07003</v>
      </c>
    </row>
    <row r="77" spans="1:27">
      <c r="A77" s="1" t="s">
        <v>24</v>
      </c>
      <c r="B77" s="2">
        <v>46295</v>
      </c>
      <c r="C77" s="1" t="s">
        <v>401</v>
      </c>
      <c r="D77" s="1" t="s">
        <v>25</v>
      </c>
      <c r="E77" s="1" t="s">
        <v>402</v>
      </c>
      <c r="F77" s="1" t="s">
        <v>403</v>
      </c>
      <c r="G77" s="1" t="s">
        <v>26</v>
      </c>
      <c r="H77" s="1" t="s">
        <v>27</v>
      </c>
      <c r="I77" s="1" t="s">
        <v>53</v>
      </c>
      <c r="J77" s="1" t="s">
        <v>28</v>
      </c>
      <c r="K77" s="1" t="s">
        <v>29</v>
      </c>
      <c r="L77" s="1" t="s">
        <v>30</v>
      </c>
      <c r="M77" s="1" t="s">
        <v>128</v>
      </c>
      <c r="N77" s="1" t="s">
        <v>129</v>
      </c>
      <c r="O77" s="1" t="s">
        <v>115</v>
      </c>
      <c r="P77" s="3">
        <v>1</v>
      </c>
      <c r="Q77" s="3">
        <v>12.157021</v>
      </c>
      <c r="R77" s="1" t="s">
        <v>34</v>
      </c>
      <c r="S77" s="1" t="s">
        <v>35</v>
      </c>
      <c r="T77" s="1" t="s">
        <v>36</v>
      </c>
      <c r="U77" s="1" t="s">
        <v>37</v>
      </c>
      <c r="V77" s="1" t="s">
        <v>69</v>
      </c>
      <c r="W77" s="1" t="s">
        <v>39</v>
      </c>
      <c r="X77" s="8" t="str">
        <f>+IFERROR(VLOOKUP(N77,[1]Hoja1!$B$2:$F$52,4,0)*P77,"")</f>
        <v/>
      </c>
      <c r="Y77" s="8" t="e">
        <f>+VLOOKUP(M77,[1]SKU!$B$3:$E$81,4,0)</f>
        <v>#N/A</v>
      </c>
      <c r="Z77" s="8" t="str">
        <f t="shared" si="1"/>
        <v>BEES</v>
      </c>
      <c r="AA77" s="8" t="str">
        <f>+VLOOKUP(I77,[1]SKU!$H$2:$I$97,2,0)</f>
        <v>PE07010</v>
      </c>
    </row>
    <row r="78" spans="1:27">
      <c r="A78" s="1" t="s">
        <v>24</v>
      </c>
      <c r="B78" s="2">
        <v>46295</v>
      </c>
      <c r="C78" s="1" t="s">
        <v>248</v>
      </c>
      <c r="D78" s="1" t="s">
        <v>25</v>
      </c>
      <c r="E78" s="1" t="s">
        <v>249</v>
      </c>
      <c r="F78" s="1" t="s">
        <v>250</v>
      </c>
      <c r="G78" s="1" t="s">
        <v>26</v>
      </c>
      <c r="H78" s="1" t="s">
        <v>27</v>
      </c>
      <c r="I78" s="1" t="s">
        <v>53</v>
      </c>
      <c r="J78" s="1" t="s">
        <v>28</v>
      </c>
      <c r="K78" s="1" t="s">
        <v>29</v>
      </c>
      <c r="L78" s="1" t="s">
        <v>30</v>
      </c>
      <c r="M78" s="1" t="s">
        <v>128</v>
      </c>
      <c r="N78" s="1" t="s">
        <v>129</v>
      </c>
      <c r="O78" s="1" t="s">
        <v>115</v>
      </c>
      <c r="P78" s="3">
        <v>1</v>
      </c>
      <c r="Q78" s="3">
        <v>12.157021</v>
      </c>
      <c r="R78" s="1" t="s">
        <v>34</v>
      </c>
      <c r="S78" s="1" t="s">
        <v>35</v>
      </c>
      <c r="T78" s="1" t="s">
        <v>36</v>
      </c>
      <c r="U78" s="1" t="s">
        <v>37</v>
      </c>
      <c r="V78" s="1" t="s">
        <v>69</v>
      </c>
      <c r="W78" s="1" t="s">
        <v>39</v>
      </c>
      <c r="X78" s="8" t="str">
        <f>+IFERROR(VLOOKUP(N78,[1]Hoja1!$B$2:$F$52,4,0)*P78,"")</f>
        <v/>
      </c>
      <c r="Y78" s="8" t="e">
        <f>+VLOOKUP(M78,[1]SKU!$B$3:$E$81,4,0)</f>
        <v>#N/A</v>
      </c>
      <c r="Z78" s="8" t="str">
        <f t="shared" si="1"/>
        <v>BEES</v>
      </c>
      <c r="AA78" s="8" t="str">
        <f>+VLOOKUP(I78,[1]SKU!$H$2:$I$97,2,0)</f>
        <v>PE07010</v>
      </c>
    </row>
    <row r="79" spans="1:27">
      <c r="A79" s="1" t="s">
        <v>40</v>
      </c>
      <c r="B79" s="2">
        <v>46295</v>
      </c>
      <c r="C79" s="1" t="s">
        <v>330</v>
      </c>
      <c r="D79" s="1" t="s">
        <v>41</v>
      </c>
      <c r="E79" s="1" t="s">
        <v>331</v>
      </c>
      <c r="F79" s="1" t="s">
        <v>332</v>
      </c>
      <c r="G79" s="1" t="s">
        <v>26</v>
      </c>
      <c r="H79" s="1" t="s">
        <v>27</v>
      </c>
      <c r="I79" s="1" t="s">
        <v>132</v>
      </c>
      <c r="J79" s="1" t="s">
        <v>28</v>
      </c>
      <c r="K79" s="1" t="s">
        <v>29</v>
      </c>
      <c r="L79" s="1" t="s">
        <v>30</v>
      </c>
      <c r="M79" s="1" t="s">
        <v>103</v>
      </c>
      <c r="N79" s="1" t="s">
        <v>104</v>
      </c>
      <c r="O79" s="1" t="s">
        <v>68</v>
      </c>
      <c r="P79" s="3">
        <v>1</v>
      </c>
      <c r="Q79" s="3">
        <v>5.9599989999999998</v>
      </c>
      <c r="R79" s="1" t="s">
        <v>34</v>
      </c>
      <c r="S79" s="1" t="s">
        <v>35</v>
      </c>
      <c r="T79" s="1" t="s">
        <v>36</v>
      </c>
      <c r="U79" s="1" t="s">
        <v>37</v>
      </c>
      <c r="V79" s="1" t="s">
        <v>85</v>
      </c>
      <c r="W79" s="1" t="s">
        <v>39</v>
      </c>
      <c r="X79" s="8" t="str">
        <f>+IFERROR(VLOOKUP(N79,[1]Hoja1!$B$2:$F$52,4,0)*P79,"")</f>
        <v/>
      </c>
      <c r="Y79" s="8" t="e">
        <f>+VLOOKUP(M79,[1]SKU!$B$3:$E$81,4,0)</f>
        <v>#N/A</v>
      </c>
      <c r="Z79" s="8" t="str">
        <f t="shared" si="1"/>
        <v>BEES</v>
      </c>
      <c r="AA79" s="8" t="str">
        <f>+VLOOKUP(I79,[1]SKU!$H$2:$I$97,2,0)</f>
        <v>PE07009</v>
      </c>
    </row>
    <row r="80" spans="1:27">
      <c r="A80" s="1" t="s">
        <v>44</v>
      </c>
      <c r="B80" s="2">
        <v>46295</v>
      </c>
      <c r="C80" s="1" t="s">
        <v>404</v>
      </c>
      <c r="D80" s="1" t="s">
        <v>58</v>
      </c>
      <c r="E80" s="1" t="s">
        <v>405</v>
      </c>
      <c r="F80" s="1" t="s">
        <v>406</v>
      </c>
      <c r="G80" s="1" t="s">
        <v>26</v>
      </c>
      <c r="H80" s="1" t="s">
        <v>27</v>
      </c>
      <c r="I80" s="1" t="s">
        <v>297</v>
      </c>
      <c r="J80" s="1" t="s">
        <v>28</v>
      </c>
      <c r="K80" s="1" t="s">
        <v>29</v>
      </c>
      <c r="L80" s="1" t="s">
        <v>30</v>
      </c>
      <c r="M80" s="1" t="s">
        <v>103</v>
      </c>
      <c r="N80" s="1" t="s">
        <v>104</v>
      </c>
      <c r="O80" s="1" t="s">
        <v>68</v>
      </c>
      <c r="P80" s="3">
        <v>1</v>
      </c>
      <c r="Q80" s="3">
        <v>0</v>
      </c>
      <c r="R80" s="1" t="s">
        <v>77</v>
      </c>
      <c r="S80" s="1" t="s">
        <v>35</v>
      </c>
      <c r="T80" s="1" t="s">
        <v>36</v>
      </c>
      <c r="U80" s="1" t="s">
        <v>37</v>
      </c>
      <c r="V80" s="1" t="s">
        <v>85</v>
      </c>
      <c r="W80" s="1" t="s">
        <v>39</v>
      </c>
      <c r="X80" s="8" t="str">
        <f>+IFERROR(VLOOKUP(N80,[1]Hoja1!$B$2:$F$52,4,0)*P80,"")</f>
        <v/>
      </c>
      <c r="Y80" s="8" t="e">
        <f>+VLOOKUP(M80,[1]SKU!$B$3:$E$81,4,0)</f>
        <v>#N/A</v>
      </c>
      <c r="Z80" s="8" t="str">
        <f t="shared" si="1"/>
        <v>BEES</v>
      </c>
      <c r="AA80" s="8" t="str">
        <f>+VLOOKUP(I80,[1]SKU!$H$2:$I$97,2,0)</f>
        <v>PE07004</v>
      </c>
    </row>
    <row r="81" spans="1:27">
      <c r="A81" s="1" t="s">
        <v>42</v>
      </c>
      <c r="B81" s="2">
        <v>46295</v>
      </c>
      <c r="C81" s="1" t="s">
        <v>407</v>
      </c>
      <c r="D81" s="1" t="s">
        <v>43</v>
      </c>
      <c r="E81" s="1" t="s">
        <v>408</v>
      </c>
      <c r="F81" s="1" t="s">
        <v>409</v>
      </c>
      <c r="G81" s="1" t="s">
        <v>26</v>
      </c>
      <c r="H81" s="1" t="s">
        <v>27</v>
      </c>
      <c r="I81" s="1" t="s">
        <v>180</v>
      </c>
      <c r="J81" s="1" t="s">
        <v>28</v>
      </c>
      <c r="K81" s="1" t="s">
        <v>29</v>
      </c>
      <c r="L81" s="1" t="s">
        <v>30</v>
      </c>
      <c r="M81" s="1" t="s">
        <v>103</v>
      </c>
      <c r="N81" s="1" t="s">
        <v>104</v>
      </c>
      <c r="O81" s="1" t="s">
        <v>68</v>
      </c>
      <c r="P81" s="3">
        <v>1</v>
      </c>
      <c r="Q81" s="3">
        <v>0</v>
      </c>
      <c r="R81" s="1" t="s">
        <v>77</v>
      </c>
      <c r="S81" s="1" t="s">
        <v>35</v>
      </c>
      <c r="T81" s="1" t="s">
        <v>36</v>
      </c>
      <c r="U81" s="1" t="s">
        <v>37</v>
      </c>
      <c r="V81" s="1" t="s">
        <v>85</v>
      </c>
      <c r="W81" s="1" t="s">
        <v>39</v>
      </c>
      <c r="X81" s="8" t="str">
        <f>+IFERROR(VLOOKUP(N81,[1]Hoja1!$B$2:$F$52,4,0)*P81,"")</f>
        <v/>
      </c>
      <c r="Y81" s="8" t="e">
        <f>+VLOOKUP(M81,[1]SKU!$B$3:$E$81,4,0)</f>
        <v>#N/A</v>
      </c>
      <c r="Z81" s="8" t="str">
        <f t="shared" si="1"/>
        <v>BEES</v>
      </c>
      <c r="AA81" s="8" t="str">
        <f>+VLOOKUP(I81,[1]SKU!$H$2:$I$97,2,0)</f>
        <v>PE07002</v>
      </c>
    </row>
    <row r="82" spans="1:27">
      <c r="A82" s="1" t="s">
        <v>51</v>
      </c>
      <c r="B82" s="2">
        <v>46295</v>
      </c>
      <c r="C82" s="1" t="s">
        <v>260</v>
      </c>
      <c r="D82" s="1" t="s">
        <v>52</v>
      </c>
      <c r="E82" s="1" t="s">
        <v>261</v>
      </c>
      <c r="F82" s="1" t="s">
        <v>262</v>
      </c>
      <c r="G82" s="1" t="s">
        <v>26</v>
      </c>
      <c r="H82" s="1" t="s">
        <v>27</v>
      </c>
      <c r="I82" s="1" t="s">
        <v>238</v>
      </c>
      <c r="J82" s="1" t="s">
        <v>28</v>
      </c>
      <c r="K82" s="1" t="s">
        <v>29</v>
      </c>
      <c r="L82" s="1" t="s">
        <v>30</v>
      </c>
      <c r="M82" s="1" t="s">
        <v>101</v>
      </c>
      <c r="N82" s="1" t="s">
        <v>102</v>
      </c>
      <c r="O82" s="1" t="s">
        <v>33</v>
      </c>
      <c r="P82" s="3">
        <v>1</v>
      </c>
      <c r="Q82" s="3">
        <v>95.29</v>
      </c>
      <c r="R82" s="1" t="s">
        <v>34</v>
      </c>
      <c r="S82" s="1" t="s">
        <v>35</v>
      </c>
      <c r="T82" s="1" t="s">
        <v>36</v>
      </c>
      <c r="U82" s="1" t="s">
        <v>37</v>
      </c>
      <c r="V82" s="1" t="s">
        <v>38</v>
      </c>
      <c r="W82" s="1" t="s">
        <v>39</v>
      </c>
      <c r="X82" s="8">
        <f>+IFERROR(VLOOKUP(N82,[1]Hoja1!$B$2:$F$52,4,0)*P82,"")</f>
        <v>1.6129032258064517</v>
      </c>
      <c r="Y82" s="8" t="str">
        <f>+VLOOKUP(M82,[1]SKU!$B$3:$E$81,4,0)</f>
        <v>REGULAR</v>
      </c>
      <c r="Z82" s="8" t="str">
        <f t="shared" si="1"/>
        <v>BEES</v>
      </c>
      <c r="AA82" s="8" t="str">
        <f>+VLOOKUP(I82,[1]SKU!$H$2:$I$97,2,0)</f>
        <v>PE07011</v>
      </c>
    </row>
    <row r="83" spans="1:27">
      <c r="A83" s="1" t="s">
        <v>42</v>
      </c>
      <c r="B83" s="2">
        <v>46295</v>
      </c>
      <c r="C83" s="1" t="s">
        <v>276</v>
      </c>
      <c r="D83" s="1" t="s">
        <v>43</v>
      </c>
      <c r="E83" s="1" t="s">
        <v>277</v>
      </c>
      <c r="F83" s="1" t="s">
        <v>278</v>
      </c>
      <c r="G83" s="1" t="s">
        <v>26</v>
      </c>
      <c r="H83" s="1" t="s">
        <v>27</v>
      </c>
      <c r="I83" s="1" t="s">
        <v>180</v>
      </c>
      <c r="J83" s="1" t="s">
        <v>28</v>
      </c>
      <c r="K83" s="1" t="s">
        <v>29</v>
      </c>
      <c r="L83" s="1" t="s">
        <v>30</v>
      </c>
      <c r="M83" s="1" t="s">
        <v>101</v>
      </c>
      <c r="N83" s="1" t="s">
        <v>102</v>
      </c>
      <c r="O83" s="1" t="s">
        <v>33</v>
      </c>
      <c r="P83" s="3">
        <v>1</v>
      </c>
      <c r="Q83" s="3">
        <v>95.29</v>
      </c>
      <c r="R83" s="1" t="s">
        <v>34</v>
      </c>
      <c r="S83" s="1" t="s">
        <v>35</v>
      </c>
      <c r="T83" s="1" t="s">
        <v>36</v>
      </c>
      <c r="U83" s="1" t="s">
        <v>37</v>
      </c>
      <c r="V83" s="1" t="s">
        <v>38</v>
      </c>
      <c r="W83" s="1" t="s">
        <v>39</v>
      </c>
      <c r="X83" s="8">
        <f>+IFERROR(VLOOKUP(N83,[1]Hoja1!$B$2:$F$52,4,0)*P83,"")</f>
        <v>1.6129032258064517</v>
      </c>
      <c r="Y83" s="8" t="str">
        <f>+VLOOKUP(M83,[1]SKU!$B$3:$E$81,4,0)</f>
        <v>REGULAR</v>
      </c>
      <c r="Z83" s="8" t="str">
        <f t="shared" si="1"/>
        <v>BEES</v>
      </c>
      <c r="AA83" s="8" t="str">
        <f>+VLOOKUP(I83,[1]SKU!$H$2:$I$97,2,0)</f>
        <v>PE07002</v>
      </c>
    </row>
    <row r="84" spans="1:27">
      <c r="A84" s="1" t="s">
        <v>42</v>
      </c>
      <c r="B84" s="2">
        <v>46295</v>
      </c>
      <c r="C84" s="1" t="s">
        <v>410</v>
      </c>
      <c r="D84" s="1" t="s">
        <v>43</v>
      </c>
      <c r="E84" s="1" t="s">
        <v>411</v>
      </c>
      <c r="F84" s="1" t="s">
        <v>412</v>
      </c>
      <c r="G84" s="1" t="s">
        <v>26</v>
      </c>
      <c r="H84" s="1" t="s">
        <v>27</v>
      </c>
      <c r="I84" s="1" t="s">
        <v>267</v>
      </c>
      <c r="J84" s="1" t="s">
        <v>28</v>
      </c>
      <c r="K84" s="1" t="s">
        <v>29</v>
      </c>
      <c r="L84" s="1" t="s">
        <v>30</v>
      </c>
      <c r="M84" s="1" t="s">
        <v>103</v>
      </c>
      <c r="N84" s="1" t="s">
        <v>104</v>
      </c>
      <c r="O84" s="1" t="s">
        <v>68</v>
      </c>
      <c r="P84" s="3">
        <v>1</v>
      </c>
      <c r="Q84" s="3">
        <v>0</v>
      </c>
      <c r="R84" s="1" t="s">
        <v>77</v>
      </c>
      <c r="S84" s="1" t="s">
        <v>35</v>
      </c>
      <c r="T84" s="1" t="s">
        <v>36</v>
      </c>
      <c r="U84" s="1" t="s">
        <v>37</v>
      </c>
      <c r="V84" s="1" t="s">
        <v>85</v>
      </c>
      <c r="W84" s="1" t="s">
        <v>39</v>
      </c>
      <c r="X84" s="8" t="str">
        <f>+IFERROR(VLOOKUP(N84,[1]Hoja1!$B$2:$F$52,4,0)*P84,"")</f>
        <v/>
      </c>
      <c r="Y84" s="8" t="e">
        <f>+VLOOKUP(M84,[1]SKU!$B$3:$E$81,4,0)</f>
        <v>#N/A</v>
      </c>
      <c r="Z84" s="8" t="str">
        <f t="shared" si="1"/>
        <v>BEES</v>
      </c>
      <c r="AA84" s="8" t="str">
        <f>+VLOOKUP(I84,[1]SKU!$H$2:$I$97,2,0)</f>
        <v>PE07006</v>
      </c>
    </row>
    <row r="85" spans="1:27">
      <c r="A85" s="1" t="s">
        <v>42</v>
      </c>
      <c r="B85" s="2">
        <v>46295</v>
      </c>
      <c r="C85" s="1" t="s">
        <v>413</v>
      </c>
      <c r="D85" s="1" t="s">
        <v>43</v>
      </c>
      <c r="E85" s="1" t="s">
        <v>414</v>
      </c>
      <c r="F85" s="1" t="s">
        <v>415</v>
      </c>
      <c r="G85" s="1" t="s">
        <v>26</v>
      </c>
      <c r="H85" s="1" t="s">
        <v>27</v>
      </c>
      <c r="I85" s="1" t="s">
        <v>267</v>
      </c>
      <c r="J85" s="1" t="s">
        <v>28</v>
      </c>
      <c r="K85" s="1" t="s">
        <v>29</v>
      </c>
      <c r="L85" s="1" t="s">
        <v>30</v>
      </c>
      <c r="M85" s="1" t="s">
        <v>103</v>
      </c>
      <c r="N85" s="1" t="s">
        <v>104</v>
      </c>
      <c r="O85" s="1" t="s">
        <v>68</v>
      </c>
      <c r="P85" s="3">
        <v>1</v>
      </c>
      <c r="Q85" s="3">
        <v>0</v>
      </c>
      <c r="R85" s="1" t="s">
        <v>77</v>
      </c>
      <c r="S85" s="1" t="s">
        <v>35</v>
      </c>
      <c r="T85" s="1" t="s">
        <v>36</v>
      </c>
      <c r="U85" s="1" t="s">
        <v>37</v>
      </c>
      <c r="V85" s="1" t="s">
        <v>85</v>
      </c>
      <c r="W85" s="1" t="s">
        <v>39</v>
      </c>
      <c r="X85" s="8" t="str">
        <f>+IFERROR(VLOOKUP(N85,[1]Hoja1!$B$2:$F$52,4,0)*P85,"")</f>
        <v/>
      </c>
      <c r="Y85" s="8" t="e">
        <f>+VLOOKUP(M85,[1]SKU!$B$3:$E$81,4,0)</f>
        <v>#N/A</v>
      </c>
      <c r="Z85" s="8" t="str">
        <f t="shared" si="1"/>
        <v>BEES</v>
      </c>
      <c r="AA85" s="8" t="str">
        <f>+VLOOKUP(I85,[1]SKU!$H$2:$I$97,2,0)</f>
        <v>PE07006</v>
      </c>
    </row>
    <row r="86" spans="1:27">
      <c r="A86" s="1" t="s">
        <v>44</v>
      </c>
      <c r="B86" s="2">
        <v>46295</v>
      </c>
      <c r="C86" s="1" t="s">
        <v>333</v>
      </c>
      <c r="D86" s="1" t="s">
        <v>58</v>
      </c>
      <c r="E86" s="1" t="s">
        <v>334</v>
      </c>
      <c r="F86" s="1" t="s">
        <v>335</v>
      </c>
      <c r="G86" s="1" t="s">
        <v>26</v>
      </c>
      <c r="H86" s="1" t="s">
        <v>27</v>
      </c>
      <c r="I86" s="1" t="s">
        <v>297</v>
      </c>
      <c r="J86" s="1" t="s">
        <v>28</v>
      </c>
      <c r="K86" s="1" t="s">
        <v>29</v>
      </c>
      <c r="L86" s="1" t="s">
        <v>30</v>
      </c>
      <c r="M86" s="1" t="s">
        <v>117</v>
      </c>
      <c r="N86" s="1" t="s">
        <v>118</v>
      </c>
      <c r="O86" s="1" t="s">
        <v>115</v>
      </c>
      <c r="P86" s="3">
        <v>1</v>
      </c>
      <c r="Q86" s="3">
        <v>12.058320999999999</v>
      </c>
      <c r="R86" s="1" t="s">
        <v>34</v>
      </c>
      <c r="S86" s="1" t="s">
        <v>35</v>
      </c>
      <c r="T86" s="1" t="s">
        <v>36</v>
      </c>
      <c r="U86" s="1" t="s">
        <v>37</v>
      </c>
      <c r="V86" s="1" t="s">
        <v>69</v>
      </c>
      <c r="W86" s="1" t="s">
        <v>39</v>
      </c>
      <c r="X86" s="8" t="str">
        <f>+IFERROR(VLOOKUP(N86,[1]Hoja1!$B$2:$F$52,4,0)*P86,"")</f>
        <v/>
      </c>
      <c r="Y86" s="8" t="e">
        <f>+VLOOKUP(M86,[1]SKU!$B$3:$E$81,4,0)</f>
        <v>#N/A</v>
      </c>
      <c r="Z86" s="8" t="str">
        <f t="shared" si="1"/>
        <v>BEES</v>
      </c>
      <c r="AA86" s="8" t="str">
        <f>+VLOOKUP(I86,[1]SKU!$H$2:$I$97,2,0)</f>
        <v>PE07004</v>
      </c>
    </row>
    <row r="87" spans="1:27">
      <c r="A87" s="1" t="s">
        <v>24</v>
      </c>
      <c r="B87" s="2">
        <v>46295</v>
      </c>
      <c r="C87" s="1" t="s">
        <v>315</v>
      </c>
      <c r="D87" s="1" t="s">
        <v>25</v>
      </c>
      <c r="E87" s="1" t="s">
        <v>130</v>
      </c>
      <c r="F87" s="1" t="s">
        <v>131</v>
      </c>
      <c r="G87" s="1" t="s">
        <v>26</v>
      </c>
      <c r="H87" s="1" t="s">
        <v>27</v>
      </c>
      <c r="I87" s="1" t="s">
        <v>53</v>
      </c>
      <c r="J87" s="1" t="s">
        <v>28</v>
      </c>
      <c r="K87" s="1" t="s">
        <v>29</v>
      </c>
      <c r="L87" s="1" t="s">
        <v>30</v>
      </c>
      <c r="M87" s="1" t="s">
        <v>117</v>
      </c>
      <c r="N87" s="1" t="s">
        <v>118</v>
      </c>
      <c r="O87" s="1" t="s">
        <v>115</v>
      </c>
      <c r="P87" s="3">
        <v>1</v>
      </c>
      <c r="Q87" s="3">
        <v>12.058320999999999</v>
      </c>
      <c r="R87" s="1" t="s">
        <v>34</v>
      </c>
      <c r="S87" s="1" t="s">
        <v>35</v>
      </c>
      <c r="T87" s="1" t="s">
        <v>36</v>
      </c>
      <c r="U87" s="1" t="s">
        <v>37</v>
      </c>
      <c r="V87" s="1" t="s">
        <v>69</v>
      </c>
      <c r="W87" s="1" t="s">
        <v>39</v>
      </c>
      <c r="X87" s="8" t="str">
        <f>+IFERROR(VLOOKUP(N87,[1]Hoja1!$B$2:$F$52,4,0)*P87,"")</f>
        <v/>
      </c>
      <c r="Y87" s="8" t="e">
        <f>+VLOOKUP(M87,[1]SKU!$B$3:$E$81,4,0)</f>
        <v>#N/A</v>
      </c>
      <c r="Z87" s="8" t="str">
        <f t="shared" si="1"/>
        <v>BEES</v>
      </c>
      <c r="AA87" s="8" t="str">
        <f>+VLOOKUP(I87,[1]SKU!$H$2:$I$97,2,0)</f>
        <v>PE07010</v>
      </c>
    </row>
    <row r="88" spans="1:27">
      <c r="A88" s="1" t="s">
        <v>24</v>
      </c>
      <c r="B88" s="2">
        <v>46295</v>
      </c>
      <c r="C88" s="1" t="s">
        <v>416</v>
      </c>
      <c r="D88" s="1" t="s">
        <v>25</v>
      </c>
      <c r="E88" s="1" t="s">
        <v>417</v>
      </c>
      <c r="F88" s="1" t="s">
        <v>418</v>
      </c>
      <c r="G88" s="1" t="s">
        <v>26</v>
      </c>
      <c r="H88" s="1" t="s">
        <v>27</v>
      </c>
      <c r="I88" s="1" t="s">
        <v>53</v>
      </c>
      <c r="J88" s="1" t="s">
        <v>28</v>
      </c>
      <c r="K88" s="1" t="s">
        <v>29</v>
      </c>
      <c r="L88" s="1" t="s">
        <v>30</v>
      </c>
      <c r="M88" s="1" t="s">
        <v>117</v>
      </c>
      <c r="N88" s="1" t="s">
        <v>118</v>
      </c>
      <c r="O88" s="1" t="s">
        <v>115</v>
      </c>
      <c r="P88" s="3">
        <v>1</v>
      </c>
      <c r="Q88" s="3">
        <v>12.058320999999999</v>
      </c>
      <c r="R88" s="1" t="s">
        <v>34</v>
      </c>
      <c r="S88" s="1" t="s">
        <v>35</v>
      </c>
      <c r="T88" s="1" t="s">
        <v>36</v>
      </c>
      <c r="U88" s="1" t="s">
        <v>37</v>
      </c>
      <c r="V88" s="1" t="s">
        <v>69</v>
      </c>
      <c r="W88" s="1" t="s">
        <v>39</v>
      </c>
      <c r="X88" s="8" t="str">
        <f>+IFERROR(VLOOKUP(N88,[1]Hoja1!$B$2:$F$52,4,0)*P88,"")</f>
        <v/>
      </c>
      <c r="Y88" s="8" t="e">
        <f>+VLOOKUP(M88,[1]SKU!$B$3:$E$81,4,0)</f>
        <v>#N/A</v>
      </c>
      <c r="Z88" s="8" t="str">
        <f t="shared" si="1"/>
        <v>BEES</v>
      </c>
      <c r="AA88" s="8" t="str">
        <f>+VLOOKUP(I88,[1]SKU!$H$2:$I$97,2,0)</f>
        <v>PE07010</v>
      </c>
    </row>
    <row r="89" spans="1:27">
      <c r="A89" s="1" t="s">
        <v>40</v>
      </c>
      <c r="B89" s="2">
        <v>46295</v>
      </c>
      <c r="C89" s="1" t="s">
        <v>419</v>
      </c>
      <c r="D89" s="1" t="s">
        <v>41</v>
      </c>
      <c r="E89" s="1" t="s">
        <v>420</v>
      </c>
      <c r="F89" s="1" t="s">
        <v>421</v>
      </c>
      <c r="G89" s="1" t="s">
        <v>26</v>
      </c>
      <c r="H89" s="1" t="s">
        <v>27</v>
      </c>
      <c r="I89" s="1" t="s">
        <v>422</v>
      </c>
      <c r="J89" s="1" t="s">
        <v>28</v>
      </c>
      <c r="K89" s="1" t="s">
        <v>29</v>
      </c>
      <c r="L89" s="1" t="s">
        <v>30</v>
      </c>
      <c r="M89" s="1" t="s">
        <v>117</v>
      </c>
      <c r="N89" s="1" t="s">
        <v>118</v>
      </c>
      <c r="O89" s="1" t="s">
        <v>115</v>
      </c>
      <c r="P89" s="3">
        <v>1</v>
      </c>
      <c r="Q89" s="3">
        <v>12.058320999999999</v>
      </c>
      <c r="R89" s="1" t="s">
        <v>34</v>
      </c>
      <c r="S89" s="1" t="s">
        <v>35</v>
      </c>
      <c r="T89" s="1" t="s">
        <v>36</v>
      </c>
      <c r="U89" s="1" t="s">
        <v>37</v>
      </c>
      <c r="V89" s="1" t="s">
        <v>69</v>
      </c>
      <c r="W89" s="1" t="s">
        <v>39</v>
      </c>
      <c r="X89" s="8" t="str">
        <f>+IFERROR(VLOOKUP(N89,[1]Hoja1!$B$2:$F$52,4,0)*P89,"")</f>
        <v/>
      </c>
      <c r="Y89" s="8" t="e">
        <f>+VLOOKUP(M89,[1]SKU!$B$3:$E$81,4,0)</f>
        <v>#N/A</v>
      </c>
      <c r="Z89" s="8" t="str">
        <f t="shared" si="1"/>
        <v>BEES</v>
      </c>
      <c r="AA89" s="8" t="str">
        <f>+VLOOKUP(I89,[1]SKU!$H$2:$I$97,2,0)</f>
        <v>PE07009</v>
      </c>
    </row>
    <row r="90" spans="1:27">
      <c r="A90" s="1" t="s">
        <v>42</v>
      </c>
      <c r="B90" s="2">
        <v>46295</v>
      </c>
      <c r="C90" s="1" t="s">
        <v>423</v>
      </c>
      <c r="D90" s="1" t="s">
        <v>43</v>
      </c>
      <c r="E90" s="1" t="s">
        <v>277</v>
      </c>
      <c r="F90" s="1" t="s">
        <v>278</v>
      </c>
      <c r="G90" s="1" t="s">
        <v>26</v>
      </c>
      <c r="H90" s="1" t="s">
        <v>27</v>
      </c>
      <c r="I90" s="1" t="s">
        <v>180</v>
      </c>
      <c r="J90" s="1" t="s">
        <v>28</v>
      </c>
      <c r="K90" s="1" t="s">
        <v>29</v>
      </c>
      <c r="L90" s="1" t="s">
        <v>30</v>
      </c>
      <c r="M90" s="1" t="s">
        <v>117</v>
      </c>
      <c r="N90" s="1" t="s">
        <v>118</v>
      </c>
      <c r="O90" s="1" t="s">
        <v>115</v>
      </c>
      <c r="P90" s="3">
        <v>1</v>
      </c>
      <c r="Q90" s="3">
        <v>12.058320999999999</v>
      </c>
      <c r="R90" s="1" t="s">
        <v>34</v>
      </c>
      <c r="S90" s="1" t="s">
        <v>35</v>
      </c>
      <c r="T90" s="1" t="s">
        <v>36</v>
      </c>
      <c r="U90" s="1" t="s">
        <v>37</v>
      </c>
      <c r="V90" s="1" t="s">
        <v>69</v>
      </c>
      <c r="W90" s="1" t="s">
        <v>39</v>
      </c>
      <c r="X90" s="8" t="str">
        <f>+IFERROR(VLOOKUP(N90,[1]Hoja1!$B$2:$F$52,4,0)*P90,"")</f>
        <v/>
      </c>
      <c r="Y90" s="8" t="e">
        <f>+VLOOKUP(M90,[1]SKU!$B$3:$E$81,4,0)</f>
        <v>#N/A</v>
      </c>
      <c r="Z90" s="8" t="str">
        <f t="shared" si="1"/>
        <v>BEES</v>
      </c>
      <c r="AA90" s="8" t="str">
        <f>+VLOOKUP(I90,[1]SKU!$H$2:$I$97,2,0)</f>
        <v>PE07002</v>
      </c>
    </row>
    <row r="91" spans="1:27">
      <c r="A91" s="1" t="s">
        <v>24</v>
      </c>
      <c r="B91" s="2">
        <v>46295</v>
      </c>
      <c r="C91" s="1" t="s">
        <v>339</v>
      </c>
      <c r="D91" s="1" t="s">
        <v>25</v>
      </c>
      <c r="E91" s="1" t="s">
        <v>340</v>
      </c>
      <c r="F91" s="1" t="s">
        <v>341</v>
      </c>
      <c r="G91" s="1" t="s">
        <v>26</v>
      </c>
      <c r="H91" s="1" t="s">
        <v>27</v>
      </c>
      <c r="I91" s="1" t="s">
        <v>53</v>
      </c>
      <c r="J91" s="1" t="s">
        <v>28</v>
      </c>
      <c r="K91" s="1" t="s">
        <v>29</v>
      </c>
      <c r="L91" s="1" t="s">
        <v>30</v>
      </c>
      <c r="M91" s="1" t="s">
        <v>117</v>
      </c>
      <c r="N91" s="1" t="s">
        <v>118</v>
      </c>
      <c r="O91" s="1" t="s">
        <v>115</v>
      </c>
      <c r="P91" s="3">
        <v>1</v>
      </c>
      <c r="Q91" s="3">
        <v>12.058320999999999</v>
      </c>
      <c r="R91" s="1" t="s">
        <v>34</v>
      </c>
      <c r="S91" s="1" t="s">
        <v>35</v>
      </c>
      <c r="T91" s="1" t="s">
        <v>36</v>
      </c>
      <c r="U91" s="1" t="s">
        <v>37</v>
      </c>
      <c r="V91" s="1" t="s">
        <v>69</v>
      </c>
      <c r="W91" s="1" t="s">
        <v>39</v>
      </c>
      <c r="X91" s="8" t="str">
        <f>+IFERROR(VLOOKUP(N91,[1]Hoja1!$B$2:$F$52,4,0)*P91,"")</f>
        <v/>
      </c>
      <c r="Y91" s="8" t="e">
        <f>+VLOOKUP(M91,[1]SKU!$B$3:$E$81,4,0)</f>
        <v>#N/A</v>
      </c>
      <c r="Z91" s="8" t="str">
        <f t="shared" si="1"/>
        <v>BEES</v>
      </c>
      <c r="AA91" s="8" t="str">
        <f>+VLOOKUP(I91,[1]SKU!$H$2:$I$97,2,0)</f>
        <v>PE07010</v>
      </c>
    </row>
    <row r="92" spans="1:27">
      <c r="A92" s="1" t="s">
        <v>24</v>
      </c>
      <c r="B92" s="2">
        <v>46295</v>
      </c>
      <c r="C92" s="1" t="s">
        <v>401</v>
      </c>
      <c r="D92" s="1" t="s">
        <v>25</v>
      </c>
      <c r="E92" s="1" t="s">
        <v>402</v>
      </c>
      <c r="F92" s="1" t="s">
        <v>403</v>
      </c>
      <c r="G92" s="1" t="s">
        <v>26</v>
      </c>
      <c r="H92" s="1" t="s">
        <v>27</v>
      </c>
      <c r="I92" s="1" t="s">
        <v>53</v>
      </c>
      <c r="J92" s="1" t="s">
        <v>28</v>
      </c>
      <c r="K92" s="1" t="s">
        <v>29</v>
      </c>
      <c r="L92" s="1" t="s">
        <v>30</v>
      </c>
      <c r="M92" s="1" t="s">
        <v>117</v>
      </c>
      <c r="N92" s="1" t="s">
        <v>118</v>
      </c>
      <c r="O92" s="1" t="s">
        <v>115</v>
      </c>
      <c r="P92" s="3">
        <v>1</v>
      </c>
      <c r="Q92" s="3">
        <v>12.058320999999999</v>
      </c>
      <c r="R92" s="1" t="s">
        <v>34</v>
      </c>
      <c r="S92" s="1" t="s">
        <v>35</v>
      </c>
      <c r="T92" s="1" t="s">
        <v>36</v>
      </c>
      <c r="U92" s="1" t="s">
        <v>37</v>
      </c>
      <c r="V92" s="1" t="s">
        <v>69</v>
      </c>
      <c r="W92" s="1" t="s">
        <v>39</v>
      </c>
      <c r="X92" s="8" t="str">
        <f>+IFERROR(VLOOKUP(N92,[1]Hoja1!$B$2:$F$52,4,0)*P92,"")</f>
        <v/>
      </c>
      <c r="Y92" s="8" t="e">
        <f>+VLOOKUP(M92,[1]SKU!$B$3:$E$81,4,0)</f>
        <v>#N/A</v>
      </c>
      <c r="Z92" s="8" t="str">
        <f t="shared" si="1"/>
        <v>BEES</v>
      </c>
      <c r="AA92" s="8" t="str">
        <f>+VLOOKUP(I92,[1]SKU!$H$2:$I$97,2,0)</f>
        <v>PE07010</v>
      </c>
    </row>
    <row r="93" spans="1:27">
      <c r="A93" s="1" t="s">
        <v>40</v>
      </c>
      <c r="B93" s="2">
        <v>46295</v>
      </c>
      <c r="C93" s="1" t="s">
        <v>419</v>
      </c>
      <c r="D93" s="1" t="s">
        <v>41</v>
      </c>
      <c r="E93" s="1" t="s">
        <v>420</v>
      </c>
      <c r="F93" s="1" t="s">
        <v>421</v>
      </c>
      <c r="G93" s="1" t="s">
        <v>26</v>
      </c>
      <c r="H93" s="1" t="s">
        <v>27</v>
      </c>
      <c r="I93" s="1" t="s">
        <v>422</v>
      </c>
      <c r="J93" s="1" t="s">
        <v>28</v>
      </c>
      <c r="K93" s="1" t="s">
        <v>29</v>
      </c>
      <c r="L93" s="1" t="s">
        <v>30</v>
      </c>
      <c r="M93" s="1" t="s">
        <v>135</v>
      </c>
      <c r="N93" s="1" t="s">
        <v>136</v>
      </c>
      <c r="O93" s="1" t="s">
        <v>61</v>
      </c>
      <c r="P93" s="3">
        <v>1</v>
      </c>
      <c r="Q93" s="3">
        <v>30.852941000000001</v>
      </c>
      <c r="R93" s="1" t="s">
        <v>34</v>
      </c>
      <c r="S93" s="1" t="s">
        <v>35</v>
      </c>
      <c r="T93" s="1" t="s">
        <v>36</v>
      </c>
      <c r="U93" s="1" t="s">
        <v>37</v>
      </c>
      <c r="V93" s="1" t="s">
        <v>38</v>
      </c>
      <c r="W93" s="1" t="s">
        <v>39</v>
      </c>
      <c r="X93" s="8">
        <f>+IFERROR(VLOOKUP(N93,[1]Hoja1!$B$2:$F$52,4,0)*P93,"")</f>
        <v>0.38145161290322577</v>
      </c>
      <c r="Y93" s="8" t="str">
        <f>+VLOOKUP(M93,[1]SKU!$B$3:$E$81,4,0)</f>
        <v>LATAS</v>
      </c>
      <c r="Z93" s="8" t="str">
        <f t="shared" si="1"/>
        <v>BEES</v>
      </c>
      <c r="AA93" s="8" t="str">
        <f>+VLOOKUP(I93,[1]SKU!$H$2:$I$97,2,0)</f>
        <v>PE07009</v>
      </c>
    </row>
    <row r="94" spans="1:27">
      <c r="A94" s="1" t="s">
        <v>42</v>
      </c>
      <c r="B94" s="2">
        <v>46295</v>
      </c>
      <c r="C94" s="1" t="s">
        <v>323</v>
      </c>
      <c r="D94" s="1" t="s">
        <v>43</v>
      </c>
      <c r="E94" s="1" t="s">
        <v>324</v>
      </c>
      <c r="F94" s="1" t="s">
        <v>325</v>
      </c>
      <c r="G94" s="1" t="s">
        <v>26</v>
      </c>
      <c r="H94" s="1" t="s">
        <v>27</v>
      </c>
      <c r="I94" s="1" t="s">
        <v>72</v>
      </c>
      <c r="J94" s="1" t="s">
        <v>28</v>
      </c>
      <c r="K94" s="1" t="s">
        <v>29</v>
      </c>
      <c r="L94" s="1" t="s">
        <v>30</v>
      </c>
      <c r="M94" s="1" t="s">
        <v>135</v>
      </c>
      <c r="N94" s="1" t="s">
        <v>136</v>
      </c>
      <c r="O94" s="1" t="s">
        <v>61</v>
      </c>
      <c r="P94" s="3">
        <v>2</v>
      </c>
      <c r="Q94" s="3">
        <v>65.242199999999997</v>
      </c>
      <c r="R94" s="1" t="s">
        <v>34</v>
      </c>
      <c r="S94" s="1" t="s">
        <v>35</v>
      </c>
      <c r="T94" s="1" t="s">
        <v>36</v>
      </c>
      <c r="U94" s="1" t="s">
        <v>37</v>
      </c>
      <c r="V94" s="1" t="s">
        <v>38</v>
      </c>
      <c r="W94" s="1" t="s">
        <v>39</v>
      </c>
      <c r="X94" s="8">
        <f>+IFERROR(VLOOKUP(N94,[1]Hoja1!$B$2:$F$52,4,0)*P94,"")</f>
        <v>0.76290322580645153</v>
      </c>
      <c r="Y94" s="8" t="str">
        <f>+VLOOKUP(M94,[1]SKU!$B$3:$E$81,4,0)</f>
        <v>LATAS</v>
      </c>
      <c r="Z94" s="8" t="str">
        <f t="shared" si="1"/>
        <v>BEES</v>
      </c>
      <c r="AA94" s="8" t="str">
        <f>+VLOOKUP(I94,[1]SKU!$H$2:$I$97,2,0)</f>
        <v>PE07001</v>
      </c>
    </row>
    <row r="95" spans="1:27">
      <c r="A95" s="1" t="s">
        <v>40</v>
      </c>
      <c r="B95" s="2">
        <v>46295</v>
      </c>
      <c r="C95" s="1" t="s">
        <v>298</v>
      </c>
      <c r="D95" s="1" t="s">
        <v>41</v>
      </c>
      <c r="E95" s="1" t="s">
        <v>299</v>
      </c>
      <c r="F95" s="1" t="s">
        <v>300</v>
      </c>
      <c r="G95" s="1" t="s">
        <v>26</v>
      </c>
      <c r="H95" s="1" t="s">
        <v>27</v>
      </c>
      <c r="I95" s="1" t="s">
        <v>132</v>
      </c>
      <c r="J95" s="1" t="s">
        <v>28</v>
      </c>
      <c r="K95" s="1" t="s">
        <v>29</v>
      </c>
      <c r="L95" s="1" t="s">
        <v>30</v>
      </c>
      <c r="M95" s="1" t="s">
        <v>135</v>
      </c>
      <c r="N95" s="1" t="s">
        <v>136</v>
      </c>
      <c r="O95" s="1" t="s">
        <v>61</v>
      </c>
      <c r="P95" s="3">
        <v>1</v>
      </c>
      <c r="Q95" s="3">
        <v>29.627451000000001</v>
      </c>
      <c r="R95" s="1" t="s">
        <v>34</v>
      </c>
      <c r="S95" s="1" t="s">
        <v>35</v>
      </c>
      <c r="T95" s="1" t="s">
        <v>36</v>
      </c>
      <c r="U95" s="1" t="s">
        <v>37</v>
      </c>
      <c r="V95" s="1" t="s">
        <v>38</v>
      </c>
      <c r="W95" s="1" t="s">
        <v>39</v>
      </c>
      <c r="X95" s="8">
        <f>+IFERROR(VLOOKUP(N95,[1]Hoja1!$B$2:$F$52,4,0)*P95,"")</f>
        <v>0.38145161290322577</v>
      </c>
      <c r="Y95" s="8" t="str">
        <f>+VLOOKUP(M95,[1]SKU!$B$3:$E$81,4,0)</f>
        <v>LATAS</v>
      </c>
      <c r="Z95" s="8" t="str">
        <f t="shared" si="1"/>
        <v>BEES</v>
      </c>
      <c r="AA95" s="8" t="str">
        <f>+VLOOKUP(I95,[1]SKU!$H$2:$I$97,2,0)</f>
        <v>PE07009</v>
      </c>
    </row>
    <row r="96" spans="1:27">
      <c r="A96" s="1" t="s">
        <v>40</v>
      </c>
      <c r="B96" s="2">
        <v>46295</v>
      </c>
      <c r="C96" s="1" t="s">
        <v>424</v>
      </c>
      <c r="D96" s="1" t="s">
        <v>41</v>
      </c>
      <c r="E96" s="1" t="s">
        <v>425</v>
      </c>
      <c r="F96" s="1" t="s">
        <v>426</v>
      </c>
      <c r="G96" s="1" t="s">
        <v>26</v>
      </c>
      <c r="H96" s="1" t="s">
        <v>27</v>
      </c>
      <c r="I96" s="1" t="s">
        <v>422</v>
      </c>
      <c r="J96" s="1" t="s">
        <v>28</v>
      </c>
      <c r="K96" s="1" t="s">
        <v>29</v>
      </c>
      <c r="L96" s="1" t="s">
        <v>30</v>
      </c>
      <c r="M96" s="1" t="s">
        <v>135</v>
      </c>
      <c r="N96" s="1" t="s">
        <v>136</v>
      </c>
      <c r="O96" s="1" t="s">
        <v>61</v>
      </c>
      <c r="P96" s="3">
        <v>1</v>
      </c>
      <c r="Q96" s="3">
        <v>30.852941000000001</v>
      </c>
      <c r="R96" s="1" t="s">
        <v>34</v>
      </c>
      <c r="S96" s="1" t="s">
        <v>35</v>
      </c>
      <c r="T96" s="1" t="s">
        <v>36</v>
      </c>
      <c r="U96" s="1" t="s">
        <v>37</v>
      </c>
      <c r="V96" s="1" t="s">
        <v>38</v>
      </c>
      <c r="W96" s="1" t="s">
        <v>39</v>
      </c>
      <c r="X96" s="8">
        <f>+IFERROR(VLOOKUP(N96,[1]Hoja1!$B$2:$F$52,4,0)*P96,"")</f>
        <v>0.38145161290322577</v>
      </c>
      <c r="Y96" s="8" t="str">
        <f>+VLOOKUP(M96,[1]SKU!$B$3:$E$81,4,0)</f>
        <v>LATAS</v>
      </c>
      <c r="Z96" s="8" t="str">
        <f t="shared" si="1"/>
        <v>BEES</v>
      </c>
      <c r="AA96" s="8" t="str">
        <f>+VLOOKUP(I96,[1]SKU!$H$2:$I$97,2,0)</f>
        <v>PE07009</v>
      </c>
    </row>
    <row r="97" spans="1:27">
      <c r="A97" s="1" t="s">
        <v>42</v>
      </c>
      <c r="B97" s="2">
        <v>46295</v>
      </c>
      <c r="C97" s="1" t="s">
        <v>427</v>
      </c>
      <c r="D97" s="1" t="s">
        <v>43</v>
      </c>
      <c r="E97" s="1" t="s">
        <v>428</v>
      </c>
      <c r="F97" s="1" t="s">
        <v>429</v>
      </c>
      <c r="G97" s="1" t="s">
        <v>26</v>
      </c>
      <c r="H97" s="1" t="s">
        <v>27</v>
      </c>
      <c r="I97" s="1" t="s">
        <v>65</v>
      </c>
      <c r="J97" s="1" t="s">
        <v>28</v>
      </c>
      <c r="K97" s="1" t="s">
        <v>29</v>
      </c>
      <c r="L97" s="1" t="s">
        <v>30</v>
      </c>
      <c r="M97" s="1" t="s">
        <v>135</v>
      </c>
      <c r="N97" s="1" t="s">
        <v>136</v>
      </c>
      <c r="O97" s="1" t="s">
        <v>61</v>
      </c>
      <c r="P97" s="3">
        <v>1</v>
      </c>
      <c r="Q97" s="3">
        <v>32.822879999999998</v>
      </c>
      <c r="R97" s="1" t="s">
        <v>34</v>
      </c>
      <c r="S97" s="1" t="s">
        <v>35</v>
      </c>
      <c r="T97" s="1" t="s">
        <v>36</v>
      </c>
      <c r="U97" s="1" t="s">
        <v>37</v>
      </c>
      <c r="V97" s="1" t="s">
        <v>38</v>
      </c>
      <c r="W97" s="1" t="s">
        <v>39</v>
      </c>
      <c r="X97" s="8">
        <f>+IFERROR(VLOOKUP(N97,[1]Hoja1!$B$2:$F$52,4,0)*P97,"")</f>
        <v>0.38145161290322577</v>
      </c>
      <c r="Y97" s="8" t="str">
        <f>+VLOOKUP(M97,[1]SKU!$B$3:$E$81,4,0)</f>
        <v>LATAS</v>
      </c>
      <c r="Z97" s="8" t="str">
        <f t="shared" si="1"/>
        <v>BEES</v>
      </c>
      <c r="AA97" s="8" t="str">
        <f>+VLOOKUP(I97,[1]SKU!$H$2:$I$97,2,0)</f>
        <v>PE07003</v>
      </c>
    </row>
    <row r="98" spans="1:27">
      <c r="A98" s="1" t="s">
        <v>44</v>
      </c>
      <c r="B98" s="2">
        <v>46295</v>
      </c>
      <c r="C98" s="1" t="s">
        <v>333</v>
      </c>
      <c r="D98" s="1" t="s">
        <v>58</v>
      </c>
      <c r="E98" s="1" t="s">
        <v>334</v>
      </c>
      <c r="F98" s="1" t="s">
        <v>335</v>
      </c>
      <c r="G98" s="1" t="s">
        <v>26</v>
      </c>
      <c r="H98" s="1" t="s">
        <v>27</v>
      </c>
      <c r="I98" s="1" t="s">
        <v>297</v>
      </c>
      <c r="J98" s="1" t="s">
        <v>28</v>
      </c>
      <c r="K98" s="1" t="s">
        <v>29</v>
      </c>
      <c r="L98" s="1" t="s">
        <v>30</v>
      </c>
      <c r="M98" s="1" t="s">
        <v>135</v>
      </c>
      <c r="N98" s="1" t="s">
        <v>136</v>
      </c>
      <c r="O98" s="1" t="s">
        <v>61</v>
      </c>
      <c r="P98" s="3">
        <v>1</v>
      </c>
      <c r="Q98" s="3">
        <v>30.852941000000001</v>
      </c>
      <c r="R98" s="1" t="s">
        <v>34</v>
      </c>
      <c r="S98" s="1" t="s">
        <v>35</v>
      </c>
      <c r="T98" s="1" t="s">
        <v>36</v>
      </c>
      <c r="U98" s="1" t="s">
        <v>37</v>
      </c>
      <c r="V98" s="1" t="s">
        <v>38</v>
      </c>
      <c r="W98" s="1" t="s">
        <v>39</v>
      </c>
      <c r="X98" s="8">
        <f>+IFERROR(VLOOKUP(N98,[1]Hoja1!$B$2:$F$52,4,0)*P98,"")</f>
        <v>0.38145161290322577</v>
      </c>
      <c r="Y98" s="8" t="str">
        <f>+VLOOKUP(M98,[1]SKU!$B$3:$E$81,4,0)</f>
        <v>LATAS</v>
      </c>
      <c r="Z98" s="8" t="str">
        <f t="shared" si="1"/>
        <v>BEES</v>
      </c>
      <c r="AA98" s="8" t="str">
        <f>+VLOOKUP(I98,[1]SKU!$H$2:$I$97,2,0)</f>
        <v>PE07004</v>
      </c>
    </row>
    <row r="99" spans="1:27">
      <c r="A99" s="1" t="s">
        <v>51</v>
      </c>
      <c r="B99" s="2">
        <v>46295</v>
      </c>
      <c r="C99" s="1" t="s">
        <v>235</v>
      </c>
      <c r="D99" s="1" t="s">
        <v>52</v>
      </c>
      <c r="E99" s="1" t="s">
        <v>236</v>
      </c>
      <c r="F99" s="1" t="s">
        <v>237</v>
      </c>
      <c r="G99" s="1" t="s">
        <v>26</v>
      </c>
      <c r="H99" s="1" t="s">
        <v>27</v>
      </c>
      <c r="I99" s="1" t="s">
        <v>238</v>
      </c>
      <c r="J99" s="1" t="s">
        <v>28</v>
      </c>
      <c r="K99" s="1" t="s">
        <v>29</v>
      </c>
      <c r="L99" s="1" t="s">
        <v>30</v>
      </c>
      <c r="M99" s="1" t="s">
        <v>135</v>
      </c>
      <c r="N99" s="1" t="s">
        <v>136</v>
      </c>
      <c r="O99" s="1" t="s">
        <v>61</v>
      </c>
      <c r="P99" s="3">
        <v>1</v>
      </c>
      <c r="Q99" s="3">
        <v>30.852941000000001</v>
      </c>
      <c r="R99" s="1" t="s">
        <v>34</v>
      </c>
      <c r="S99" s="1" t="s">
        <v>35</v>
      </c>
      <c r="T99" s="1" t="s">
        <v>36</v>
      </c>
      <c r="U99" s="1" t="s">
        <v>37</v>
      </c>
      <c r="V99" s="1" t="s">
        <v>38</v>
      </c>
      <c r="W99" s="1" t="s">
        <v>39</v>
      </c>
      <c r="X99" s="8">
        <f>+IFERROR(VLOOKUP(N99,[1]Hoja1!$B$2:$F$52,4,0)*P99,"")</f>
        <v>0.38145161290322577</v>
      </c>
      <c r="Y99" s="8" t="str">
        <f>+VLOOKUP(M99,[1]SKU!$B$3:$E$81,4,0)</f>
        <v>LATAS</v>
      </c>
      <c r="Z99" s="8" t="str">
        <f t="shared" si="1"/>
        <v>BEES</v>
      </c>
      <c r="AA99" s="8" t="str">
        <f>+VLOOKUP(I99,[1]SKU!$H$2:$I$97,2,0)</f>
        <v>PE07011</v>
      </c>
    </row>
    <row r="100" spans="1:27">
      <c r="A100" s="1" t="s">
        <v>42</v>
      </c>
      <c r="B100" s="2">
        <v>46295</v>
      </c>
      <c r="C100" s="1" t="s">
        <v>423</v>
      </c>
      <c r="D100" s="1" t="s">
        <v>43</v>
      </c>
      <c r="E100" s="1" t="s">
        <v>277</v>
      </c>
      <c r="F100" s="1" t="s">
        <v>278</v>
      </c>
      <c r="G100" s="1" t="s">
        <v>26</v>
      </c>
      <c r="H100" s="1" t="s">
        <v>27</v>
      </c>
      <c r="I100" s="1" t="s">
        <v>180</v>
      </c>
      <c r="J100" s="1" t="s">
        <v>28</v>
      </c>
      <c r="K100" s="1" t="s">
        <v>29</v>
      </c>
      <c r="L100" s="1" t="s">
        <v>30</v>
      </c>
      <c r="M100" s="1" t="s">
        <v>128</v>
      </c>
      <c r="N100" s="1" t="s">
        <v>129</v>
      </c>
      <c r="O100" s="1" t="s">
        <v>115</v>
      </c>
      <c r="P100" s="3">
        <v>1</v>
      </c>
      <c r="Q100" s="3">
        <v>12.157021</v>
      </c>
      <c r="R100" s="1" t="s">
        <v>34</v>
      </c>
      <c r="S100" s="1" t="s">
        <v>35</v>
      </c>
      <c r="T100" s="1" t="s">
        <v>36</v>
      </c>
      <c r="U100" s="1" t="s">
        <v>37</v>
      </c>
      <c r="V100" s="1" t="s">
        <v>69</v>
      </c>
      <c r="W100" s="1" t="s">
        <v>39</v>
      </c>
      <c r="X100" s="8" t="str">
        <f>+IFERROR(VLOOKUP(N100,[1]Hoja1!$B$2:$F$52,4,0)*P100,"")</f>
        <v/>
      </c>
      <c r="Y100" s="8" t="e">
        <f>+VLOOKUP(M100,[1]SKU!$B$3:$E$81,4,0)</f>
        <v>#N/A</v>
      </c>
      <c r="Z100" s="8" t="str">
        <f t="shared" si="1"/>
        <v>BEES</v>
      </c>
      <c r="AA100" s="8" t="str">
        <f>+VLOOKUP(I100,[1]SKU!$H$2:$I$97,2,0)</f>
        <v>PE07002</v>
      </c>
    </row>
    <row r="101" spans="1:27">
      <c r="A101" s="1" t="s">
        <v>40</v>
      </c>
      <c r="B101" s="2">
        <v>46295</v>
      </c>
      <c r="C101" s="1" t="s">
        <v>389</v>
      </c>
      <c r="D101" s="1" t="s">
        <v>41</v>
      </c>
      <c r="E101" s="1" t="s">
        <v>390</v>
      </c>
      <c r="F101" s="1" t="s">
        <v>391</v>
      </c>
      <c r="G101" s="1" t="s">
        <v>26</v>
      </c>
      <c r="H101" s="1" t="s">
        <v>27</v>
      </c>
      <c r="I101" s="1" t="s">
        <v>132</v>
      </c>
      <c r="J101" s="1" t="s">
        <v>28</v>
      </c>
      <c r="K101" s="1" t="s">
        <v>29</v>
      </c>
      <c r="L101" s="1" t="s">
        <v>30</v>
      </c>
      <c r="M101" s="1" t="s">
        <v>128</v>
      </c>
      <c r="N101" s="1" t="s">
        <v>129</v>
      </c>
      <c r="O101" s="1" t="s">
        <v>115</v>
      </c>
      <c r="P101" s="3">
        <v>1</v>
      </c>
      <c r="Q101" s="3">
        <v>12.157021</v>
      </c>
      <c r="R101" s="1" t="s">
        <v>34</v>
      </c>
      <c r="S101" s="1" t="s">
        <v>35</v>
      </c>
      <c r="T101" s="1" t="s">
        <v>36</v>
      </c>
      <c r="U101" s="1" t="s">
        <v>37</v>
      </c>
      <c r="V101" s="1" t="s">
        <v>69</v>
      </c>
      <c r="W101" s="1" t="s">
        <v>39</v>
      </c>
      <c r="X101" s="8" t="str">
        <f>+IFERROR(VLOOKUP(N101,[1]Hoja1!$B$2:$F$52,4,0)*P101,"")</f>
        <v/>
      </c>
      <c r="Y101" s="8" t="e">
        <f>+VLOOKUP(M101,[1]SKU!$B$3:$E$81,4,0)</f>
        <v>#N/A</v>
      </c>
      <c r="Z101" s="8" t="str">
        <f t="shared" si="1"/>
        <v>BEES</v>
      </c>
      <c r="AA101" s="8" t="str">
        <f>+VLOOKUP(I101,[1]SKU!$H$2:$I$97,2,0)</f>
        <v>PE07009</v>
      </c>
    </row>
    <row r="102" spans="1:27">
      <c r="A102" s="1" t="s">
        <v>51</v>
      </c>
      <c r="B102" s="2">
        <v>46295</v>
      </c>
      <c r="C102" s="1" t="s">
        <v>383</v>
      </c>
      <c r="D102" s="1" t="s">
        <v>52</v>
      </c>
      <c r="E102" s="1" t="s">
        <v>384</v>
      </c>
      <c r="F102" s="1" t="s">
        <v>385</v>
      </c>
      <c r="G102" s="1" t="s">
        <v>26</v>
      </c>
      <c r="H102" s="1" t="s">
        <v>27</v>
      </c>
      <c r="I102" s="1" t="s">
        <v>238</v>
      </c>
      <c r="J102" s="1" t="s">
        <v>28</v>
      </c>
      <c r="K102" s="1" t="s">
        <v>29</v>
      </c>
      <c r="L102" s="1" t="s">
        <v>30</v>
      </c>
      <c r="M102" s="1" t="s">
        <v>128</v>
      </c>
      <c r="N102" s="1" t="s">
        <v>129</v>
      </c>
      <c r="O102" s="1" t="s">
        <v>115</v>
      </c>
      <c r="P102" s="3">
        <v>1</v>
      </c>
      <c r="Q102" s="3">
        <v>12.157021</v>
      </c>
      <c r="R102" s="1" t="s">
        <v>34</v>
      </c>
      <c r="S102" s="1" t="s">
        <v>35</v>
      </c>
      <c r="T102" s="1" t="s">
        <v>36</v>
      </c>
      <c r="U102" s="1" t="s">
        <v>37</v>
      </c>
      <c r="V102" s="1" t="s">
        <v>69</v>
      </c>
      <c r="W102" s="1" t="s">
        <v>39</v>
      </c>
      <c r="X102" s="8" t="str">
        <f>+IFERROR(VLOOKUP(N102,[1]Hoja1!$B$2:$F$52,4,0)*P102,"")</f>
        <v/>
      </c>
      <c r="Y102" s="8" t="e">
        <f>+VLOOKUP(M102,[1]SKU!$B$3:$E$81,4,0)</f>
        <v>#N/A</v>
      </c>
      <c r="Z102" s="8" t="str">
        <f t="shared" si="1"/>
        <v>BEES</v>
      </c>
      <c r="AA102" s="8" t="str">
        <f>+VLOOKUP(I102,[1]SKU!$H$2:$I$97,2,0)</f>
        <v>PE07011</v>
      </c>
    </row>
    <row r="103" spans="1:27">
      <c r="A103" s="1" t="s">
        <v>42</v>
      </c>
      <c r="B103" s="2">
        <v>46295</v>
      </c>
      <c r="C103" s="1" t="s">
        <v>430</v>
      </c>
      <c r="D103" s="1" t="s">
        <v>43</v>
      </c>
      <c r="E103" s="1" t="s">
        <v>431</v>
      </c>
      <c r="F103" s="1" t="s">
        <v>432</v>
      </c>
      <c r="G103" s="1" t="s">
        <v>26</v>
      </c>
      <c r="H103" s="1" t="s">
        <v>27</v>
      </c>
      <c r="I103" s="1" t="s">
        <v>180</v>
      </c>
      <c r="J103" s="1" t="s">
        <v>28</v>
      </c>
      <c r="K103" s="1" t="s">
        <v>29</v>
      </c>
      <c r="L103" s="1" t="s">
        <v>30</v>
      </c>
      <c r="M103" s="1" t="s">
        <v>128</v>
      </c>
      <c r="N103" s="1" t="s">
        <v>129</v>
      </c>
      <c r="O103" s="1" t="s">
        <v>115</v>
      </c>
      <c r="P103" s="3">
        <v>1</v>
      </c>
      <c r="Q103" s="3">
        <v>12.157021</v>
      </c>
      <c r="R103" s="1" t="s">
        <v>34</v>
      </c>
      <c r="S103" s="1" t="s">
        <v>35</v>
      </c>
      <c r="T103" s="1" t="s">
        <v>36</v>
      </c>
      <c r="U103" s="1" t="s">
        <v>37</v>
      </c>
      <c r="V103" s="1" t="s">
        <v>69</v>
      </c>
      <c r="W103" s="1" t="s">
        <v>39</v>
      </c>
      <c r="X103" s="8" t="str">
        <f>+IFERROR(VLOOKUP(N103,[1]Hoja1!$B$2:$F$52,4,0)*P103,"")</f>
        <v/>
      </c>
      <c r="Y103" s="8" t="e">
        <f>+VLOOKUP(M103,[1]SKU!$B$3:$E$81,4,0)</f>
        <v>#N/A</v>
      </c>
      <c r="Z103" s="8" t="str">
        <f t="shared" si="1"/>
        <v>BEES</v>
      </c>
      <c r="AA103" s="8" t="str">
        <f>+VLOOKUP(I103,[1]SKU!$H$2:$I$97,2,0)</f>
        <v>PE07002</v>
      </c>
    </row>
    <row r="104" spans="1:27">
      <c r="A104" s="1" t="s">
        <v>51</v>
      </c>
      <c r="B104" s="2">
        <v>46295</v>
      </c>
      <c r="C104" s="1" t="s">
        <v>433</v>
      </c>
      <c r="D104" s="1" t="s">
        <v>52</v>
      </c>
      <c r="E104" s="1" t="s">
        <v>434</v>
      </c>
      <c r="F104" s="1" t="s">
        <v>435</v>
      </c>
      <c r="G104" s="1" t="s">
        <v>26</v>
      </c>
      <c r="H104" s="1" t="s">
        <v>27</v>
      </c>
      <c r="I104" s="1" t="s">
        <v>238</v>
      </c>
      <c r="J104" s="1" t="s">
        <v>28</v>
      </c>
      <c r="K104" s="1" t="s">
        <v>29</v>
      </c>
      <c r="L104" s="1" t="s">
        <v>30</v>
      </c>
      <c r="M104" s="1" t="s">
        <v>128</v>
      </c>
      <c r="N104" s="1" t="s">
        <v>129</v>
      </c>
      <c r="O104" s="1" t="s">
        <v>115</v>
      </c>
      <c r="P104" s="3">
        <v>1</v>
      </c>
      <c r="Q104" s="3">
        <v>12.157021</v>
      </c>
      <c r="R104" s="1" t="s">
        <v>34</v>
      </c>
      <c r="S104" s="1" t="s">
        <v>35</v>
      </c>
      <c r="T104" s="1" t="s">
        <v>36</v>
      </c>
      <c r="U104" s="1" t="s">
        <v>37</v>
      </c>
      <c r="V104" s="1" t="s">
        <v>69</v>
      </c>
      <c r="W104" s="1" t="s">
        <v>39</v>
      </c>
      <c r="X104" s="8" t="str">
        <f>+IFERROR(VLOOKUP(N104,[1]Hoja1!$B$2:$F$52,4,0)*P104,"")</f>
        <v/>
      </c>
      <c r="Y104" s="8" t="e">
        <f>+VLOOKUP(M104,[1]SKU!$B$3:$E$81,4,0)</f>
        <v>#N/A</v>
      </c>
      <c r="Z104" s="8" t="str">
        <f t="shared" si="1"/>
        <v>BEES</v>
      </c>
      <c r="AA104" s="8" t="str">
        <f>+VLOOKUP(I104,[1]SKU!$H$2:$I$97,2,0)</f>
        <v>PE07011</v>
      </c>
    </row>
    <row r="105" spans="1:27">
      <c r="A105" s="1" t="s">
        <v>24</v>
      </c>
      <c r="B105" s="2">
        <v>46295</v>
      </c>
      <c r="C105" s="1" t="s">
        <v>436</v>
      </c>
      <c r="D105" s="1" t="s">
        <v>25</v>
      </c>
      <c r="E105" s="1" t="s">
        <v>54</v>
      </c>
      <c r="F105" s="1" t="s">
        <v>55</v>
      </c>
      <c r="G105" s="1" t="s">
        <v>26</v>
      </c>
      <c r="H105" s="1" t="s">
        <v>27</v>
      </c>
      <c r="I105" s="1" t="s">
        <v>53</v>
      </c>
      <c r="J105" s="1" t="s">
        <v>28</v>
      </c>
      <c r="K105" s="1" t="s">
        <v>29</v>
      </c>
      <c r="L105" s="1" t="s">
        <v>30</v>
      </c>
      <c r="M105" s="1" t="s">
        <v>128</v>
      </c>
      <c r="N105" s="1" t="s">
        <v>129</v>
      </c>
      <c r="O105" s="1" t="s">
        <v>115</v>
      </c>
      <c r="P105" s="3">
        <v>1</v>
      </c>
      <c r="Q105" s="3">
        <v>12.157021</v>
      </c>
      <c r="R105" s="1" t="s">
        <v>34</v>
      </c>
      <c r="S105" s="1" t="s">
        <v>35</v>
      </c>
      <c r="T105" s="1" t="s">
        <v>36</v>
      </c>
      <c r="U105" s="1" t="s">
        <v>37</v>
      </c>
      <c r="V105" s="1" t="s">
        <v>69</v>
      </c>
      <c r="W105" s="1" t="s">
        <v>39</v>
      </c>
      <c r="X105" s="8" t="str">
        <f>+IFERROR(VLOOKUP(N105,[1]Hoja1!$B$2:$F$52,4,0)*P105,"")</f>
        <v/>
      </c>
      <c r="Y105" s="8" t="e">
        <f>+VLOOKUP(M105,[1]SKU!$B$3:$E$81,4,0)</f>
        <v>#N/A</v>
      </c>
      <c r="Z105" s="8" t="str">
        <f t="shared" si="1"/>
        <v>BEES</v>
      </c>
      <c r="AA105" s="8" t="str">
        <f>+VLOOKUP(I105,[1]SKU!$H$2:$I$97,2,0)</f>
        <v>PE07010</v>
      </c>
    </row>
    <row r="106" spans="1:27">
      <c r="A106" s="1" t="s">
        <v>51</v>
      </c>
      <c r="B106" s="2">
        <v>46295</v>
      </c>
      <c r="C106" s="1" t="s">
        <v>437</v>
      </c>
      <c r="D106" s="1" t="s">
        <v>52</v>
      </c>
      <c r="E106" s="1" t="s">
        <v>438</v>
      </c>
      <c r="F106" s="1" t="s">
        <v>439</v>
      </c>
      <c r="G106" s="1" t="s">
        <v>26</v>
      </c>
      <c r="H106" s="1" t="s">
        <v>27</v>
      </c>
      <c r="I106" s="1" t="s">
        <v>238</v>
      </c>
      <c r="J106" s="1" t="s">
        <v>28</v>
      </c>
      <c r="K106" s="1" t="s">
        <v>29</v>
      </c>
      <c r="L106" s="1" t="s">
        <v>30</v>
      </c>
      <c r="M106" s="1" t="s">
        <v>128</v>
      </c>
      <c r="N106" s="1" t="s">
        <v>129</v>
      </c>
      <c r="O106" s="1" t="s">
        <v>115</v>
      </c>
      <c r="P106" s="3">
        <v>1</v>
      </c>
      <c r="Q106" s="3">
        <v>12.157021</v>
      </c>
      <c r="R106" s="1" t="s">
        <v>34</v>
      </c>
      <c r="S106" s="1" t="s">
        <v>35</v>
      </c>
      <c r="T106" s="1" t="s">
        <v>36</v>
      </c>
      <c r="U106" s="1" t="s">
        <v>37</v>
      </c>
      <c r="V106" s="1" t="s">
        <v>69</v>
      </c>
      <c r="W106" s="1" t="s">
        <v>39</v>
      </c>
      <c r="X106" s="8" t="str">
        <f>+IFERROR(VLOOKUP(N106,[1]Hoja1!$B$2:$F$52,4,0)*P106,"")</f>
        <v/>
      </c>
      <c r="Y106" s="8" t="e">
        <f>+VLOOKUP(M106,[1]SKU!$B$3:$E$81,4,0)</f>
        <v>#N/A</v>
      </c>
      <c r="Z106" s="8" t="str">
        <f t="shared" si="1"/>
        <v>BEES</v>
      </c>
      <c r="AA106" s="8" t="str">
        <f>+VLOOKUP(I106,[1]SKU!$H$2:$I$97,2,0)</f>
        <v>PE07011</v>
      </c>
    </row>
    <row r="107" spans="1:27">
      <c r="A107" s="1" t="s">
        <v>42</v>
      </c>
      <c r="B107" s="2">
        <v>46295</v>
      </c>
      <c r="C107" s="1" t="s">
        <v>440</v>
      </c>
      <c r="D107" s="1" t="s">
        <v>43</v>
      </c>
      <c r="E107" s="1" t="s">
        <v>441</v>
      </c>
      <c r="F107" s="1" t="s">
        <v>442</v>
      </c>
      <c r="G107" s="1" t="s">
        <v>26</v>
      </c>
      <c r="H107" s="1" t="s">
        <v>27</v>
      </c>
      <c r="I107" s="1" t="s">
        <v>72</v>
      </c>
      <c r="J107" s="1" t="s">
        <v>28</v>
      </c>
      <c r="K107" s="1" t="s">
        <v>29</v>
      </c>
      <c r="L107" s="1" t="s">
        <v>30</v>
      </c>
      <c r="M107" s="1" t="s">
        <v>128</v>
      </c>
      <c r="N107" s="1" t="s">
        <v>129</v>
      </c>
      <c r="O107" s="1" t="s">
        <v>115</v>
      </c>
      <c r="P107" s="3">
        <v>1</v>
      </c>
      <c r="Q107" s="3">
        <v>12.157021</v>
      </c>
      <c r="R107" s="1" t="s">
        <v>34</v>
      </c>
      <c r="S107" s="1" t="s">
        <v>35</v>
      </c>
      <c r="T107" s="1" t="s">
        <v>36</v>
      </c>
      <c r="U107" s="1" t="s">
        <v>37</v>
      </c>
      <c r="V107" s="1" t="s">
        <v>69</v>
      </c>
      <c r="W107" s="1" t="s">
        <v>39</v>
      </c>
      <c r="X107" s="8" t="str">
        <f>+IFERROR(VLOOKUP(N107,[1]Hoja1!$B$2:$F$52,4,0)*P107,"")</f>
        <v/>
      </c>
      <c r="Y107" s="8" t="e">
        <f>+VLOOKUP(M107,[1]SKU!$B$3:$E$81,4,0)</f>
        <v>#N/A</v>
      </c>
      <c r="Z107" s="8" t="str">
        <f t="shared" si="1"/>
        <v>BEES</v>
      </c>
      <c r="AA107" s="8" t="str">
        <f>+VLOOKUP(I107,[1]SKU!$H$2:$I$97,2,0)</f>
        <v>PE07001</v>
      </c>
    </row>
    <row r="108" spans="1:27">
      <c r="A108" s="1" t="s">
        <v>51</v>
      </c>
      <c r="B108" s="2">
        <v>46295</v>
      </c>
      <c r="C108" s="1" t="s">
        <v>437</v>
      </c>
      <c r="D108" s="1" t="s">
        <v>52</v>
      </c>
      <c r="E108" s="1" t="s">
        <v>438</v>
      </c>
      <c r="F108" s="1" t="s">
        <v>439</v>
      </c>
      <c r="G108" s="1" t="s">
        <v>26</v>
      </c>
      <c r="H108" s="1" t="s">
        <v>27</v>
      </c>
      <c r="I108" s="1" t="s">
        <v>238</v>
      </c>
      <c r="J108" s="1" t="s">
        <v>28</v>
      </c>
      <c r="K108" s="1" t="s">
        <v>29</v>
      </c>
      <c r="L108" s="1" t="s">
        <v>30</v>
      </c>
      <c r="M108" s="1" t="s">
        <v>49</v>
      </c>
      <c r="N108" s="1" t="s">
        <v>50</v>
      </c>
      <c r="O108" s="1" t="s">
        <v>33</v>
      </c>
      <c r="P108" s="3">
        <v>8</v>
      </c>
      <c r="Q108" s="3">
        <v>582.71999900000003</v>
      </c>
      <c r="R108" s="1" t="s">
        <v>34</v>
      </c>
      <c r="S108" s="1" t="s">
        <v>35</v>
      </c>
      <c r="T108" s="1" t="s">
        <v>36</v>
      </c>
      <c r="U108" s="1" t="s">
        <v>37</v>
      </c>
      <c r="V108" s="1" t="s">
        <v>38</v>
      </c>
      <c r="W108" s="1" t="s">
        <v>39</v>
      </c>
      <c r="X108" s="8">
        <f>+IFERROR(VLOOKUP(N108,[1]Hoja1!$B$2:$F$52,4,0)*P108,"")</f>
        <v>8.129032258064516</v>
      </c>
      <c r="Y108" s="8" t="str">
        <f>+VLOOKUP(M108,[1]SKU!$B$3:$E$81,4,0)</f>
        <v>REGULAR</v>
      </c>
      <c r="Z108" s="8" t="str">
        <f t="shared" si="1"/>
        <v>BEES</v>
      </c>
      <c r="AA108" s="8" t="str">
        <f>+VLOOKUP(I108,[1]SKU!$H$2:$I$97,2,0)</f>
        <v>PE07011</v>
      </c>
    </row>
    <row r="109" spans="1:27">
      <c r="A109" s="1" t="s">
        <v>42</v>
      </c>
      <c r="B109" s="2">
        <v>46295</v>
      </c>
      <c r="C109" s="1" t="s">
        <v>443</v>
      </c>
      <c r="D109" s="1" t="s">
        <v>43</v>
      </c>
      <c r="E109" s="1" t="s">
        <v>444</v>
      </c>
      <c r="F109" s="1" t="s">
        <v>445</v>
      </c>
      <c r="G109" s="1" t="s">
        <v>26</v>
      </c>
      <c r="H109" s="1" t="s">
        <v>27</v>
      </c>
      <c r="I109" s="1" t="s">
        <v>267</v>
      </c>
      <c r="J109" s="1" t="s">
        <v>28</v>
      </c>
      <c r="K109" s="1" t="s">
        <v>29</v>
      </c>
      <c r="L109" s="1" t="s">
        <v>30</v>
      </c>
      <c r="M109" s="1" t="s">
        <v>49</v>
      </c>
      <c r="N109" s="1" t="s">
        <v>50</v>
      </c>
      <c r="O109" s="1" t="s">
        <v>33</v>
      </c>
      <c r="P109" s="3">
        <v>3</v>
      </c>
      <c r="Q109" s="3">
        <v>218.52</v>
      </c>
      <c r="R109" s="1" t="s">
        <v>34</v>
      </c>
      <c r="S109" s="1" t="s">
        <v>35</v>
      </c>
      <c r="T109" s="1" t="s">
        <v>36</v>
      </c>
      <c r="U109" s="1" t="s">
        <v>37</v>
      </c>
      <c r="V109" s="1" t="s">
        <v>38</v>
      </c>
      <c r="W109" s="1" t="s">
        <v>39</v>
      </c>
      <c r="X109" s="8">
        <f>+IFERROR(VLOOKUP(N109,[1]Hoja1!$B$2:$F$52,4,0)*P109,"")</f>
        <v>3.0483870967741935</v>
      </c>
      <c r="Y109" s="8" t="str">
        <f>+VLOOKUP(M109,[1]SKU!$B$3:$E$81,4,0)</f>
        <v>REGULAR</v>
      </c>
      <c r="Z109" s="8" t="str">
        <f t="shared" si="1"/>
        <v>BEES</v>
      </c>
      <c r="AA109" s="8" t="str">
        <f>+VLOOKUP(I109,[1]SKU!$H$2:$I$97,2,0)</f>
        <v>PE07006</v>
      </c>
    </row>
    <row r="110" spans="1:27">
      <c r="A110" s="1" t="s">
        <v>40</v>
      </c>
      <c r="B110" s="2">
        <v>46295</v>
      </c>
      <c r="C110" s="1" t="s">
        <v>446</v>
      </c>
      <c r="D110" s="1" t="s">
        <v>41</v>
      </c>
      <c r="E110" s="1" t="s">
        <v>447</v>
      </c>
      <c r="F110" s="1" t="s">
        <v>448</v>
      </c>
      <c r="G110" s="1" t="s">
        <v>26</v>
      </c>
      <c r="H110" s="1" t="s">
        <v>27</v>
      </c>
      <c r="I110" s="1" t="s">
        <v>422</v>
      </c>
      <c r="J110" s="1" t="s">
        <v>28</v>
      </c>
      <c r="K110" s="1" t="s">
        <v>29</v>
      </c>
      <c r="L110" s="1" t="s">
        <v>30</v>
      </c>
      <c r="M110" s="1" t="s">
        <v>49</v>
      </c>
      <c r="N110" s="1" t="s">
        <v>50</v>
      </c>
      <c r="O110" s="1" t="s">
        <v>33</v>
      </c>
      <c r="P110" s="3">
        <v>7</v>
      </c>
      <c r="Q110" s="3">
        <v>509.88</v>
      </c>
      <c r="R110" s="1" t="s">
        <v>34</v>
      </c>
      <c r="S110" s="1" t="s">
        <v>35</v>
      </c>
      <c r="T110" s="1" t="s">
        <v>36</v>
      </c>
      <c r="U110" s="1" t="s">
        <v>37</v>
      </c>
      <c r="V110" s="1" t="s">
        <v>38</v>
      </c>
      <c r="W110" s="1" t="s">
        <v>39</v>
      </c>
      <c r="X110" s="8">
        <f>+IFERROR(VLOOKUP(N110,[1]Hoja1!$B$2:$F$52,4,0)*P110,"")</f>
        <v>7.112903225806452</v>
      </c>
      <c r="Y110" s="8" t="str">
        <f>+VLOOKUP(M110,[1]SKU!$B$3:$E$81,4,0)</f>
        <v>REGULAR</v>
      </c>
      <c r="Z110" s="8" t="str">
        <f t="shared" si="1"/>
        <v>BEES</v>
      </c>
      <c r="AA110" s="8" t="str">
        <f>+VLOOKUP(I110,[1]SKU!$H$2:$I$97,2,0)</f>
        <v>PE07009</v>
      </c>
    </row>
    <row r="111" spans="1:27">
      <c r="A111" s="1" t="s">
        <v>24</v>
      </c>
      <c r="B111" s="2">
        <v>46295</v>
      </c>
      <c r="C111" s="1" t="s">
        <v>449</v>
      </c>
      <c r="D111" s="1" t="s">
        <v>25</v>
      </c>
      <c r="E111" s="1" t="s">
        <v>450</v>
      </c>
      <c r="F111" s="1" t="s">
        <v>451</v>
      </c>
      <c r="G111" s="1" t="s">
        <v>26</v>
      </c>
      <c r="H111" s="1" t="s">
        <v>27</v>
      </c>
      <c r="I111" s="1" t="s">
        <v>64</v>
      </c>
      <c r="J111" s="1" t="s">
        <v>28</v>
      </c>
      <c r="K111" s="1" t="s">
        <v>29</v>
      </c>
      <c r="L111" s="1" t="s">
        <v>30</v>
      </c>
      <c r="M111" s="1" t="s">
        <v>49</v>
      </c>
      <c r="N111" s="1" t="s">
        <v>50</v>
      </c>
      <c r="O111" s="1" t="s">
        <v>33</v>
      </c>
      <c r="P111" s="3">
        <v>3</v>
      </c>
      <c r="Q111" s="3">
        <v>218.52</v>
      </c>
      <c r="R111" s="1" t="s">
        <v>34</v>
      </c>
      <c r="S111" s="1" t="s">
        <v>35</v>
      </c>
      <c r="T111" s="1" t="s">
        <v>36</v>
      </c>
      <c r="U111" s="1" t="s">
        <v>37</v>
      </c>
      <c r="V111" s="1" t="s">
        <v>38</v>
      </c>
      <c r="W111" s="1" t="s">
        <v>39</v>
      </c>
      <c r="X111" s="8">
        <f>+IFERROR(VLOOKUP(N111,[1]Hoja1!$B$2:$F$52,4,0)*P111,"")</f>
        <v>3.0483870967741935</v>
      </c>
      <c r="Y111" s="8" t="str">
        <f>+VLOOKUP(M111,[1]SKU!$B$3:$E$81,4,0)</f>
        <v>REGULAR</v>
      </c>
      <c r="Z111" s="8" t="str">
        <f t="shared" si="1"/>
        <v>BEES</v>
      </c>
      <c r="AA111" s="8" t="str">
        <f>+VLOOKUP(I111,[1]SKU!$H$2:$I$97,2,0)</f>
        <v>PE07012</v>
      </c>
    </row>
    <row r="112" spans="1:27">
      <c r="A112" s="1" t="s">
        <v>24</v>
      </c>
      <c r="B112" s="2">
        <v>46295</v>
      </c>
      <c r="C112" s="1" t="s">
        <v>452</v>
      </c>
      <c r="D112" s="1" t="s">
        <v>25</v>
      </c>
      <c r="E112" s="1" t="s">
        <v>453</v>
      </c>
      <c r="F112" s="1" t="s">
        <v>454</v>
      </c>
      <c r="G112" s="1" t="s">
        <v>26</v>
      </c>
      <c r="H112" s="1" t="s">
        <v>27</v>
      </c>
      <c r="I112" s="1" t="s">
        <v>64</v>
      </c>
      <c r="J112" s="1" t="s">
        <v>28</v>
      </c>
      <c r="K112" s="1" t="s">
        <v>29</v>
      </c>
      <c r="L112" s="1" t="s">
        <v>30</v>
      </c>
      <c r="M112" s="1" t="s">
        <v>49</v>
      </c>
      <c r="N112" s="1" t="s">
        <v>50</v>
      </c>
      <c r="O112" s="1" t="s">
        <v>33</v>
      </c>
      <c r="P112" s="3">
        <v>2</v>
      </c>
      <c r="Q112" s="3">
        <v>145.68</v>
      </c>
      <c r="R112" s="1" t="s">
        <v>34</v>
      </c>
      <c r="S112" s="1" t="s">
        <v>35</v>
      </c>
      <c r="T112" s="1" t="s">
        <v>36</v>
      </c>
      <c r="U112" s="1" t="s">
        <v>37</v>
      </c>
      <c r="V112" s="1" t="s">
        <v>38</v>
      </c>
      <c r="W112" s="1" t="s">
        <v>39</v>
      </c>
      <c r="X112" s="8">
        <f>+IFERROR(VLOOKUP(N112,[1]Hoja1!$B$2:$F$52,4,0)*P112,"")</f>
        <v>2.032258064516129</v>
      </c>
      <c r="Y112" s="8" t="str">
        <f>+VLOOKUP(M112,[1]SKU!$B$3:$E$81,4,0)</f>
        <v>REGULAR</v>
      </c>
      <c r="Z112" s="8" t="str">
        <f t="shared" si="1"/>
        <v>BEES</v>
      </c>
      <c r="AA112" s="8" t="str">
        <f>+VLOOKUP(I112,[1]SKU!$H$2:$I$97,2,0)</f>
        <v>PE07012</v>
      </c>
    </row>
    <row r="113" spans="1:27">
      <c r="A113" s="1" t="s">
        <v>51</v>
      </c>
      <c r="B113" s="2">
        <v>46295</v>
      </c>
      <c r="C113" s="1" t="s">
        <v>455</v>
      </c>
      <c r="D113" s="1" t="s">
        <v>52</v>
      </c>
      <c r="E113" s="1" t="s">
        <v>456</v>
      </c>
      <c r="F113" s="1" t="s">
        <v>457</v>
      </c>
      <c r="G113" s="1" t="s">
        <v>26</v>
      </c>
      <c r="H113" s="1" t="s">
        <v>27</v>
      </c>
      <c r="I113" s="1" t="s">
        <v>238</v>
      </c>
      <c r="J113" s="1" t="s">
        <v>28</v>
      </c>
      <c r="K113" s="1" t="s">
        <v>29</v>
      </c>
      <c r="L113" s="1" t="s">
        <v>30</v>
      </c>
      <c r="M113" s="1" t="s">
        <v>49</v>
      </c>
      <c r="N113" s="1" t="s">
        <v>50</v>
      </c>
      <c r="O113" s="1" t="s">
        <v>33</v>
      </c>
      <c r="P113" s="3">
        <v>4</v>
      </c>
      <c r="Q113" s="3">
        <v>291.36</v>
      </c>
      <c r="R113" s="1" t="s">
        <v>34</v>
      </c>
      <c r="S113" s="1" t="s">
        <v>35</v>
      </c>
      <c r="T113" s="1" t="s">
        <v>36</v>
      </c>
      <c r="U113" s="1" t="s">
        <v>37</v>
      </c>
      <c r="V113" s="1" t="s">
        <v>38</v>
      </c>
      <c r="W113" s="1" t="s">
        <v>39</v>
      </c>
      <c r="X113" s="8">
        <f>+IFERROR(VLOOKUP(N113,[1]Hoja1!$B$2:$F$52,4,0)*P113,"")</f>
        <v>4.064516129032258</v>
      </c>
      <c r="Y113" s="8" t="str">
        <f>+VLOOKUP(M113,[1]SKU!$B$3:$E$81,4,0)</f>
        <v>REGULAR</v>
      </c>
      <c r="Z113" s="8" t="str">
        <f t="shared" si="1"/>
        <v>BEES</v>
      </c>
      <c r="AA113" s="8" t="str">
        <f>+VLOOKUP(I113,[1]SKU!$H$2:$I$97,2,0)</f>
        <v>PE07011</v>
      </c>
    </row>
    <row r="114" spans="1:27">
      <c r="A114" s="1" t="s">
        <v>40</v>
      </c>
      <c r="B114" s="2">
        <v>46295</v>
      </c>
      <c r="C114" s="1" t="s">
        <v>458</v>
      </c>
      <c r="D114" s="1" t="s">
        <v>41</v>
      </c>
      <c r="E114" s="1" t="s">
        <v>459</v>
      </c>
      <c r="F114" s="1" t="s">
        <v>460</v>
      </c>
      <c r="G114" s="1" t="s">
        <v>26</v>
      </c>
      <c r="H114" s="1" t="s">
        <v>27</v>
      </c>
      <c r="I114" s="1" t="s">
        <v>132</v>
      </c>
      <c r="J114" s="1" t="s">
        <v>28</v>
      </c>
      <c r="K114" s="1" t="s">
        <v>29</v>
      </c>
      <c r="L114" s="1" t="s">
        <v>30</v>
      </c>
      <c r="M114" s="1" t="s">
        <v>117</v>
      </c>
      <c r="N114" s="1" t="s">
        <v>118</v>
      </c>
      <c r="O114" s="1" t="s">
        <v>115</v>
      </c>
      <c r="P114" s="3">
        <v>4</v>
      </c>
      <c r="Q114" s="3">
        <v>48.233280000000001</v>
      </c>
      <c r="R114" s="1" t="s">
        <v>34</v>
      </c>
      <c r="S114" s="1" t="s">
        <v>35</v>
      </c>
      <c r="T114" s="1" t="s">
        <v>36</v>
      </c>
      <c r="U114" s="1" t="s">
        <v>37</v>
      </c>
      <c r="V114" s="1" t="s">
        <v>69</v>
      </c>
      <c r="W114" s="1" t="s">
        <v>39</v>
      </c>
      <c r="X114" s="8" t="str">
        <f>+IFERROR(VLOOKUP(N114,[1]Hoja1!$B$2:$F$52,4,0)*P114,"")</f>
        <v/>
      </c>
      <c r="Y114" s="8" t="e">
        <f>+VLOOKUP(M114,[1]SKU!$B$3:$E$81,4,0)</f>
        <v>#N/A</v>
      </c>
      <c r="Z114" s="8" t="str">
        <f t="shared" si="1"/>
        <v>BEES</v>
      </c>
      <c r="AA114" s="8" t="str">
        <f>+VLOOKUP(I114,[1]SKU!$H$2:$I$97,2,0)</f>
        <v>PE07009</v>
      </c>
    </row>
    <row r="115" spans="1:27">
      <c r="A115" s="1" t="s">
        <v>42</v>
      </c>
      <c r="B115" s="2">
        <v>46295</v>
      </c>
      <c r="C115" s="1" t="s">
        <v>276</v>
      </c>
      <c r="D115" s="1" t="s">
        <v>43</v>
      </c>
      <c r="E115" s="1" t="s">
        <v>277</v>
      </c>
      <c r="F115" s="1" t="s">
        <v>278</v>
      </c>
      <c r="G115" s="1" t="s">
        <v>26</v>
      </c>
      <c r="H115" s="1" t="s">
        <v>27</v>
      </c>
      <c r="I115" s="1" t="s">
        <v>180</v>
      </c>
      <c r="J115" s="1" t="s">
        <v>28</v>
      </c>
      <c r="K115" s="1" t="s">
        <v>29</v>
      </c>
      <c r="L115" s="1" t="s">
        <v>30</v>
      </c>
      <c r="M115" s="1" t="s">
        <v>117</v>
      </c>
      <c r="N115" s="1" t="s">
        <v>118</v>
      </c>
      <c r="O115" s="1" t="s">
        <v>115</v>
      </c>
      <c r="P115" s="3">
        <v>1</v>
      </c>
      <c r="Q115" s="3">
        <v>0</v>
      </c>
      <c r="R115" s="1" t="s">
        <v>77</v>
      </c>
      <c r="S115" s="1" t="s">
        <v>35</v>
      </c>
      <c r="T115" s="1" t="s">
        <v>36</v>
      </c>
      <c r="U115" s="1" t="s">
        <v>37</v>
      </c>
      <c r="V115" s="1" t="s">
        <v>69</v>
      </c>
      <c r="W115" s="1" t="s">
        <v>39</v>
      </c>
      <c r="X115" s="8" t="str">
        <f>+IFERROR(VLOOKUP(N115,[1]Hoja1!$B$2:$F$52,4,0)*P115,"")</f>
        <v/>
      </c>
      <c r="Y115" s="8" t="e">
        <f>+VLOOKUP(M115,[1]SKU!$B$3:$E$81,4,0)</f>
        <v>#N/A</v>
      </c>
      <c r="Z115" s="8" t="str">
        <f t="shared" si="1"/>
        <v>BEES</v>
      </c>
      <c r="AA115" s="8" t="str">
        <f>+VLOOKUP(I115,[1]SKU!$H$2:$I$97,2,0)</f>
        <v>PE07002</v>
      </c>
    </row>
    <row r="116" spans="1:27">
      <c r="A116" s="1" t="s">
        <v>42</v>
      </c>
      <c r="B116" s="2">
        <v>46295</v>
      </c>
      <c r="C116" s="1" t="s">
        <v>304</v>
      </c>
      <c r="D116" s="1" t="s">
        <v>43</v>
      </c>
      <c r="E116" s="1" t="s">
        <v>305</v>
      </c>
      <c r="F116" s="1" t="s">
        <v>306</v>
      </c>
      <c r="G116" s="1" t="s">
        <v>26</v>
      </c>
      <c r="H116" s="1" t="s">
        <v>27</v>
      </c>
      <c r="I116" s="1" t="s">
        <v>72</v>
      </c>
      <c r="J116" s="1" t="s">
        <v>28</v>
      </c>
      <c r="K116" s="1" t="s">
        <v>29</v>
      </c>
      <c r="L116" s="1" t="s">
        <v>30</v>
      </c>
      <c r="M116" s="1" t="s">
        <v>117</v>
      </c>
      <c r="N116" s="1" t="s">
        <v>118</v>
      </c>
      <c r="O116" s="1" t="s">
        <v>115</v>
      </c>
      <c r="P116" s="3">
        <v>1</v>
      </c>
      <c r="Q116" s="3">
        <v>12.058320999999999</v>
      </c>
      <c r="R116" s="1" t="s">
        <v>34</v>
      </c>
      <c r="S116" s="1" t="s">
        <v>35</v>
      </c>
      <c r="T116" s="1" t="s">
        <v>36</v>
      </c>
      <c r="U116" s="1" t="s">
        <v>37</v>
      </c>
      <c r="V116" s="1" t="s">
        <v>69</v>
      </c>
      <c r="W116" s="1" t="s">
        <v>39</v>
      </c>
      <c r="X116" s="8" t="str">
        <f>+IFERROR(VLOOKUP(N116,[1]Hoja1!$B$2:$F$52,4,0)*P116,"")</f>
        <v/>
      </c>
      <c r="Y116" s="8" t="e">
        <f>+VLOOKUP(M116,[1]SKU!$B$3:$E$81,4,0)</f>
        <v>#N/A</v>
      </c>
      <c r="Z116" s="8" t="str">
        <f t="shared" si="1"/>
        <v>BEES</v>
      </c>
      <c r="AA116" s="8" t="str">
        <f>+VLOOKUP(I116,[1]SKU!$H$2:$I$97,2,0)</f>
        <v>PE07001</v>
      </c>
    </row>
    <row r="117" spans="1:27">
      <c r="A117" s="1" t="s">
        <v>42</v>
      </c>
      <c r="B117" s="2">
        <v>46295</v>
      </c>
      <c r="C117" s="1" t="s">
        <v>443</v>
      </c>
      <c r="D117" s="1" t="s">
        <v>43</v>
      </c>
      <c r="E117" s="1" t="s">
        <v>444</v>
      </c>
      <c r="F117" s="1" t="s">
        <v>445</v>
      </c>
      <c r="G117" s="1" t="s">
        <v>26</v>
      </c>
      <c r="H117" s="1" t="s">
        <v>27</v>
      </c>
      <c r="I117" s="1" t="s">
        <v>267</v>
      </c>
      <c r="J117" s="1" t="s">
        <v>28</v>
      </c>
      <c r="K117" s="1" t="s">
        <v>29</v>
      </c>
      <c r="L117" s="1" t="s">
        <v>30</v>
      </c>
      <c r="M117" s="1" t="s">
        <v>73</v>
      </c>
      <c r="N117" s="1" t="s">
        <v>74</v>
      </c>
      <c r="O117" s="1" t="s">
        <v>33</v>
      </c>
      <c r="P117" s="3">
        <v>3</v>
      </c>
      <c r="Q117" s="3">
        <v>202.8</v>
      </c>
      <c r="R117" s="1" t="s">
        <v>34</v>
      </c>
      <c r="S117" s="1" t="s">
        <v>35</v>
      </c>
      <c r="T117" s="1" t="s">
        <v>36</v>
      </c>
      <c r="U117" s="1" t="s">
        <v>37</v>
      </c>
      <c r="V117" s="1" t="s">
        <v>38</v>
      </c>
      <c r="W117" s="1" t="s">
        <v>39</v>
      </c>
      <c r="X117" s="8">
        <f>+IFERROR(VLOOKUP(N117,[1]Hoja1!$B$2:$F$52,4,0)*P117,"")</f>
        <v>3.1451612903225805</v>
      </c>
      <c r="Y117" s="8" t="str">
        <f>+VLOOKUP(M117,[1]SKU!$B$3:$E$81,4,0)</f>
        <v>REGULAR</v>
      </c>
      <c r="Z117" s="8" t="str">
        <f t="shared" si="1"/>
        <v>BEES</v>
      </c>
      <c r="AA117" s="8" t="str">
        <f>+VLOOKUP(I117,[1]SKU!$H$2:$I$97,2,0)</f>
        <v>PE07006</v>
      </c>
    </row>
    <row r="118" spans="1:27">
      <c r="A118" s="1" t="s">
        <v>42</v>
      </c>
      <c r="B118" s="2">
        <v>46295</v>
      </c>
      <c r="C118" s="1" t="s">
        <v>276</v>
      </c>
      <c r="D118" s="1" t="s">
        <v>43</v>
      </c>
      <c r="E118" s="1" t="s">
        <v>277</v>
      </c>
      <c r="F118" s="1" t="s">
        <v>278</v>
      </c>
      <c r="G118" s="1" t="s">
        <v>26</v>
      </c>
      <c r="H118" s="1" t="s">
        <v>27</v>
      </c>
      <c r="I118" s="1" t="s">
        <v>180</v>
      </c>
      <c r="J118" s="1" t="s">
        <v>28</v>
      </c>
      <c r="K118" s="1" t="s">
        <v>29</v>
      </c>
      <c r="L118" s="1" t="s">
        <v>30</v>
      </c>
      <c r="M118" s="1" t="s">
        <v>73</v>
      </c>
      <c r="N118" s="1" t="s">
        <v>74</v>
      </c>
      <c r="O118" s="1" t="s">
        <v>33</v>
      </c>
      <c r="P118" s="3">
        <v>7</v>
      </c>
      <c r="Q118" s="3">
        <v>473.2</v>
      </c>
      <c r="R118" s="1" t="s">
        <v>34</v>
      </c>
      <c r="S118" s="1" t="s">
        <v>35</v>
      </c>
      <c r="T118" s="1" t="s">
        <v>36</v>
      </c>
      <c r="U118" s="1" t="s">
        <v>37</v>
      </c>
      <c r="V118" s="1" t="s">
        <v>38</v>
      </c>
      <c r="W118" s="1" t="s">
        <v>39</v>
      </c>
      <c r="X118" s="8">
        <f>+IFERROR(VLOOKUP(N118,[1]Hoja1!$B$2:$F$52,4,0)*P118,"")</f>
        <v>7.3387096774193541</v>
      </c>
      <c r="Y118" s="8" t="str">
        <f>+VLOOKUP(M118,[1]SKU!$B$3:$E$81,4,0)</f>
        <v>REGULAR</v>
      </c>
      <c r="Z118" s="8" t="str">
        <f t="shared" si="1"/>
        <v>BEES</v>
      </c>
      <c r="AA118" s="8" t="str">
        <f>+VLOOKUP(I118,[1]SKU!$H$2:$I$97,2,0)</f>
        <v>PE07002</v>
      </c>
    </row>
    <row r="119" spans="1:27">
      <c r="A119" s="1" t="s">
        <v>42</v>
      </c>
      <c r="B119" s="2">
        <v>46295</v>
      </c>
      <c r="C119" s="1" t="s">
        <v>461</v>
      </c>
      <c r="D119" s="1" t="s">
        <v>43</v>
      </c>
      <c r="E119" s="1" t="s">
        <v>462</v>
      </c>
      <c r="F119" s="1" t="s">
        <v>463</v>
      </c>
      <c r="G119" s="1" t="s">
        <v>26</v>
      </c>
      <c r="H119" s="1" t="s">
        <v>27</v>
      </c>
      <c r="I119" s="1" t="s">
        <v>180</v>
      </c>
      <c r="J119" s="1" t="s">
        <v>28</v>
      </c>
      <c r="K119" s="1" t="s">
        <v>29</v>
      </c>
      <c r="L119" s="1" t="s">
        <v>30</v>
      </c>
      <c r="M119" s="1" t="s">
        <v>73</v>
      </c>
      <c r="N119" s="1" t="s">
        <v>74</v>
      </c>
      <c r="O119" s="1" t="s">
        <v>33</v>
      </c>
      <c r="P119" s="3">
        <v>11</v>
      </c>
      <c r="Q119" s="3">
        <v>743.60000100000002</v>
      </c>
      <c r="R119" s="1" t="s">
        <v>34</v>
      </c>
      <c r="S119" s="1" t="s">
        <v>35</v>
      </c>
      <c r="T119" s="1" t="s">
        <v>36</v>
      </c>
      <c r="U119" s="1" t="s">
        <v>37</v>
      </c>
      <c r="V119" s="1" t="s">
        <v>38</v>
      </c>
      <c r="W119" s="1" t="s">
        <v>39</v>
      </c>
      <c r="X119" s="8">
        <f>+IFERROR(VLOOKUP(N119,[1]Hoja1!$B$2:$F$52,4,0)*P119,"")</f>
        <v>11.532258064516128</v>
      </c>
      <c r="Y119" s="8" t="str">
        <f>+VLOOKUP(M119,[1]SKU!$B$3:$E$81,4,0)</f>
        <v>REGULAR</v>
      </c>
      <c r="Z119" s="8" t="str">
        <f t="shared" si="1"/>
        <v>BEES</v>
      </c>
      <c r="AA119" s="8" t="str">
        <f>+VLOOKUP(I119,[1]SKU!$H$2:$I$97,2,0)</f>
        <v>PE07002</v>
      </c>
    </row>
    <row r="120" spans="1:27">
      <c r="A120" s="1" t="s">
        <v>44</v>
      </c>
      <c r="B120" s="2">
        <v>46295</v>
      </c>
      <c r="C120" s="1" t="s">
        <v>464</v>
      </c>
      <c r="D120" s="1" t="s">
        <v>45</v>
      </c>
      <c r="E120" s="1" t="s">
        <v>465</v>
      </c>
      <c r="F120" s="1" t="s">
        <v>466</v>
      </c>
      <c r="G120" s="1" t="s">
        <v>26</v>
      </c>
      <c r="H120" s="1" t="s">
        <v>46</v>
      </c>
      <c r="I120" s="1" t="s">
        <v>297</v>
      </c>
      <c r="J120" s="1" t="s">
        <v>47</v>
      </c>
      <c r="K120" s="1" t="s">
        <v>48</v>
      </c>
      <c r="L120" s="1" t="s">
        <v>30</v>
      </c>
      <c r="M120" s="1" t="s">
        <v>73</v>
      </c>
      <c r="N120" s="1" t="s">
        <v>74</v>
      </c>
      <c r="O120" s="1" t="s">
        <v>33</v>
      </c>
      <c r="P120" s="3">
        <v>5</v>
      </c>
      <c r="Q120" s="3">
        <v>338</v>
      </c>
      <c r="R120" s="1" t="s">
        <v>34</v>
      </c>
      <c r="S120" s="1" t="s">
        <v>35</v>
      </c>
      <c r="T120" s="1" t="s">
        <v>36</v>
      </c>
      <c r="U120" s="1" t="s">
        <v>37</v>
      </c>
      <c r="V120" s="1" t="s">
        <v>38</v>
      </c>
      <c r="W120" s="1" t="s">
        <v>39</v>
      </c>
      <c r="X120" s="8">
        <f>+IFERROR(VLOOKUP(N120,[1]Hoja1!$B$2:$F$52,4,0)*P120,"")</f>
        <v>5.241935483870968</v>
      </c>
      <c r="Y120" s="8" t="str">
        <f>+VLOOKUP(M120,[1]SKU!$B$3:$E$81,4,0)</f>
        <v>REGULAR</v>
      </c>
      <c r="Z120" s="8" t="str">
        <f t="shared" si="1"/>
        <v>FLEX</v>
      </c>
      <c r="AA120" s="8" t="str">
        <f>+VLOOKUP(I120,[1]SKU!$H$2:$I$97,2,0)</f>
        <v>PE07004</v>
      </c>
    </row>
    <row r="121" spans="1:27">
      <c r="A121" s="1" t="s">
        <v>42</v>
      </c>
      <c r="B121" s="2">
        <v>46295</v>
      </c>
      <c r="C121" s="1" t="s">
        <v>430</v>
      </c>
      <c r="D121" s="1" t="s">
        <v>43</v>
      </c>
      <c r="E121" s="1" t="s">
        <v>431</v>
      </c>
      <c r="F121" s="1" t="s">
        <v>432</v>
      </c>
      <c r="G121" s="1" t="s">
        <v>26</v>
      </c>
      <c r="H121" s="1" t="s">
        <v>27</v>
      </c>
      <c r="I121" s="1" t="s">
        <v>180</v>
      </c>
      <c r="J121" s="1" t="s">
        <v>28</v>
      </c>
      <c r="K121" s="1" t="s">
        <v>29</v>
      </c>
      <c r="L121" s="1" t="s">
        <v>30</v>
      </c>
      <c r="M121" s="1" t="s">
        <v>49</v>
      </c>
      <c r="N121" s="1" t="s">
        <v>50</v>
      </c>
      <c r="O121" s="1" t="s">
        <v>33</v>
      </c>
      <c r="P121" s="3">
        <v>1</v>
      </c>
      <c r="Q121" s="3">
        <v>72.840001000000001</v>
      </c>
      <c r="R121" s="1" t="s">
        <v>34</v>
      </c>
      <c r="S121" s="1" t="s">
        <v>35</v>
      </c>
      <c r="T121" s="1" t="s">
        <v>36</v>
      </c>
      <c r="U121" s="1" t="s">
        <v>37</v>
      </c>
      <c r="V121" s="1" t="s">
        <v>38</v>
      </c>
      <c r="W121" s="1" t="s">
        <v>39</v>
      </c>
      <c r="X121" s="8">
        <f>+IFERROR(VLOOKUP(N121,[1]Hoja1!$B$2:$F$52,4,0)*P121,"")</f>
        <v>1.0161290322580645</v>
      </c>
      <c r="Y121" s="8" t="str">
        <f>+VLOOKUP(M121,[1]SKU!$B$3:$E$81,4,0)</f>
        <v>REGULAR</v>
      </c>
      <c r="Z121" s="8" t="str">
        <f t="shared" si="1"/>
        <v>BEES</v>
      </c>
      <c r="AA121" s="8" t="str">
        <f>+VLOOKUP(I121,[1]SKU!$H$2:$I$97,2,0)</f>
        <v>PE07002</v>
      </c>
    </row>
    <row r="122" spans="1:27">
      <c r="A122" s="1" t="s">
        <v>40</v>
      </c>
      <c r="B122" s="2">
        <v>46295</v>
      </c>
      <c r="C122" s="1" t="s">
        <v>467</v>
      </c>
      <c r="D122" s="1" t="s">
        <v>41</v>
      </c>
      <c r="E122" s="1" t="s">
        <v>374</v>
      </c>
      <c r="F122" s="1" t="s">
        <v>375</v>
      </c>
      <c r="G122" s="1" t="s">
        <v>26</v>
      </c>
      <c r="H122" s="1" t="s">
        <v>27</v>
      </c>
      <c r="I122" s="1" t="s">
        <v>132</v>
      </c>
      <c r="J122" s="1" t="s">
        <v>28</v>
      </c>
      <c r="K122" s="1" t="s">
        <v>29</v>
      </c>
      <c r="L122" s="1" t="s">
        <v>30</v>
      </c>
      <c r="M122" s="1" t="s">
        <v>49</v>
      </c>
      <c r="N122" s="1" t="s">
        <v>50</v>
      </c>
      <c r="O122" s="1" t="s">
        <v>33</v>
      </c>
      <c r="P122" s="3">
        <v>25</v>
      </c>
      <c r="Q122" s="3">
        <v>1821</v>
      </c>
      <c r="R122" s="1" t="s">
        <v>34</v>
      </c>
      <c r="S122" s="1" t="s">
        <v>35</v>
      </c>
      <c r="T122" s="1" t="s">
        <v>36</v>
      </c>
      <c r="U122" s="1" t="s">
        <v>37</v>
      </c>
      <c r="V122" s="1" t="s">
        <v>38</v>
      </c>
      <c r="W122" s="1" t="s">
        <v>39</v>
      </c>
      <c r="X122" s="8">
        <f>+IFERROR(VLOOKUP(N122,[1]Hoja1!$B$2:$F$52,4,0)*P122,"")</f>
        <v>25.403225806451612</v>
      </c>
      <c r="Y122" s="8" t="str">
        <f>+VLOOKUP(M122,[1]SKU!$B$3:$E$81,4,0)</f>
        <v>REGULAR</v>
      </c>
      <c r="Z122" s="8" t="str">
        <f t="shared" si="1"/>
        <v>BEES</v>
      </c>
      <c r="AA122" s="8" t="str">
        <f>+VLOOKUP(I122,[1]SKU!$H$2:$I$97,2,0)</f>
        <v>PE07009</v>
      </c>
    </row>
    <row r="123" spans="1:27">
      <c r="A123" s="1" t="s">
        <v>40</v>
      </c>
      <c r="B123" s="2">
        <v>46295</v>
      </c>
      <c r="C123" s="1" t="s">
        <v>458</v>
      </c>
      <c r="D123" s="1" t="s">
        <v>41</v>
      </c>
      <c r="E123" s="1" t="s">
        <v>459</v>
      </c>
      <c r="F123" s="1" t="s">
        <v>460</v>
      </c>
      <c r="G123" s="1" t="s">
        <v>26</v>
      </c>
      <c r="H123" s="1" t="s">
        <v>27</v>
      </c>
      <c r="I123" s="1" t="s">
        <v>132</v>
      </c>
      <c r="J123" s="1" t="s">
        <v>28</v>
      </c>
      <c r="K123" s="1" t="s">
        <v>29</v>
      </c>
      <c r="L123" s="1" t="s">
        <v>30</v>
      </c>
      <c r="M123" s="1" t="s">
        <v>49</v>
      </c>
      <c r="N123" s="1" t="s">
        <v>50</v>
      </c>
      <c r="O123" s="1" t="s">
        <v>33</v>
      </c>
      <c r="P123" s="3">
        <v>5</v>
      </c>
      <c r="Q123" s="3">
        <v>364.2</v>
      </c>
      <c r="R123" s="1" t="s">
        <v>34</v>
      </c>
      <c r="S123" s="1" t="s">
        <v>35</v>
      </c>
      <c r="T123" s="1" t="s">
        <v>36</v>
      </c>
      <c r="U123" s="1" t="s">
        <v>37</v>
      </c>
      <c r="V123" s="1" t="s">
        <v>38</v>
      </c>
      <c r="W123" s="1" t="s">
        <v>39</v>
      </c>
      <c r="X123" s="8">
        <f>+IFERROR(VLOOKUP(N123,[1]Hoja1!$B$2:$F$52,4,0)*P123,"")</f>
        <v>5.0806451612903221</v>
      </c>
      <c r="Y123" s="8" t="str">
        <f>+VLOOKUP(M123,[1]SKU!$B$3:$E$81,4,0)</f>
        <v>REGULAR</v>
      </c>
      <c r="Z123" s="8" t="str">
        <f t="shared" si="1"/>
        <v>BEES</v>
      </c>
      <c r="AA123" s="8" t="str">
        <f>+VLOOKUP(I123,[1]SKU!$H$2:$I$97,2,0)</f>
        <v>PE07009</v>
      </c>
    </row>
    <row r="124" spans="1:27">
      <c r="A124" s="1" t="s">
        <v>51</v>
      </c>
      <c r="B124" s="2">
        <v>46295</v>
      </c>
      <c r="C124" s="1" t="s">
        <v>383</v>
      </c>
      <c r="D124" s="1" t="s">
        <v>52</v>
      </c>
      <c r="E124" s="1" t="s">
        <v>384</v>
      </c>
      <c r="F124" s="1" t="s">
        <v>385</v>
      </c>
      <c r="G124" s="1" t="s">
        <v>26</v>
      </c>
      <c r="H124" s="1" t="s">
        <v>27</v>
      </c>
      <c r="I124" s="1" t="s">
        <v>238</v>
      </c>
      <c r="J124" s="1" t="s">
        <v>28</v>
      </c>
      <c r="K124" s="1" t="s">
        <v>29</v>
      </c>
      <c r="L124" s="1" t="s">
        <v>30</v>
      </c>
      <c r="M124" s="1" t="s">
        <v>49</v>
      </c>
      <c r="N124" s="1" t="s">
        <v>50</v>
      </c>
      <c r="O124" s="1" t="s">
        <v>33</v>
      </c>
      <c r="P124" s="3">
        <v>4</v>
      </c>
      <c r="Q124" s="3">
        <v>291.36</v>
      </c>
      <c r="R124" s="1" t="s">
        <v>34</v>
      </c>
      <c r="S124" s="1" t="s">
        <v>35</v>
      </c>
      <c r="T124" s="1" t="s">
        <v>36</v>
      </c>
      <c r="U124" s="1" t="s">
        <v>37</v>
      </c>
      <c r="V124" s="1" t="s">
        <v>38</v>
      </c>
      <c r="W124" s="1" t="s">
        <v>39</v>
      </c>
      <c r="X124" s="8">
        <f>+IFERROR(VLOOKUP(N124,[1]Hoja1!$B$2:$F$52,4,0)*P124,"")</f>
        <v>4.064516129032258</v>
      </c>
      <c r="Y124" s="8" t="str">
        <f>+VLOOKUP(M124,[1]SKU!$B$3:$E$81,4,0)</f>
        <v>REGULAR</v>
      </c>
      <c r="Z124" s="8" t="str">
        <f t="shared" si="1"/>
        <v>BEES</v>
      </c>
      <c r="AA124" s="8" t="str">
        <f>+VLOOKUP(I124,[1]SKU!$H$2:$I$97,2,0)</f>
        <v>PE07011</v>
      </c>
    </row>
    <row r="125" spans="1:27">
      <c r="A125" s="1" t="s">
        <v>40</v>
      </c>
      <c r="B125" s="2">
        <v>46295</v>
      </c>
      <c r="C125" s="1" t="s">
        <v>468</v>
      </c>
      <c r="D125" s="1" t="s">
        <v>41</v>
      </c>
      <c r="E125" s="1" t="s">
        <v>469</v>
      </c>
      <c r="F125" s="1" t="s">
        <v>470</v>
      </c>
      <c r="G125" s="1" t="s">
        <v>26</v>
      </c>
      <c r="H125" s="1" t="s">
        <v>27</v>
      </c>
      <c r="I125" s="1" t="s">
        <v>132</v>
      </c>
      <c r="J125" s="1" t="s">
        <v>28</v>
      </c>
      <c r="K125" s="1" t="s">
        <v>29</v>
      </c>
      <c r="L125" s="1" t="s">
        <v>30</v>
      </c>
      <c r="M125" s="1" t="s">
        <v>49</v>
      </c>
      <c r="N125" s="1" t="s">
        <v>50</v>
      </c>
      <c r="O125" s="1" t="s">
        <v>33</v>
      </c>
      <c r="P125" s="3">
        <v>2</v>
      </c>
      <c r="Q125" s="3">
        <v>145.68</v>
      </c>
      <c r="R125" s="1" t="s">
        <v>34</v>
      </c>
      <c r="S125" s="1" t="s">
        <v>35</v>
      </c>
      <c r="T125" s="1" t="s">
        <v>36</v>
      </c>
      <c r="U125" s="1" t="s">
        <v>37</v>
      </c>
      <c r="V125" s="1" t="s">
        <v>38</v>
      </c>
      <c r="W125" s="1" t="s">
        <v>39</v>
      </c>
      <c r="X125" s="8">
        <f>+IFERROR(VLOOKUP(N125,[1]Hoja1!$B$2:$F$52,4,0)*P125,"")</f>
        <v>2.032258064516129</v>
      </c>
      <c r="Y125" s="8" t="str">
        <f>+VLOOKUP(M125,[1]SKU!$B$3:$E$81,4,0)</f>
        <v>REGULAR</v>
      </c>
      <c r="Z125" s="8" t="str">
        <f t="shared" si="1"/>
        <v>BEES</v>
      </c>
      <c r="AA125" s="8" t="str">
        <f>+VLOOKUP(I125,[1]SKU!$H$2:$I$97,2,0)</f>
        <v>PE07009</v>
      </c>
    </row>
    <row r="126" spans="1:27">
      <c r="A126" s="1" t="s">
        <v>42</v>
      </c>
      <c r="B126" s="2">
        <v>46295</v>
      </c>
      <c r="C126" s="1" t="s">
        <v>471</v>
      </c>
      <c r="D126" s="1" t="s">
        <v>43</v>
      </c>
      <c r="E126" s="1" t="s">
        <v>472</v>
      </c>
      <c r="F126" s="1" t="s">
        <v>473</v>
      </c>
      <c r="G126" s="1" t="s">
        <v>26</v>
      </c>
      <c r="H126" s="1" t="s">
        <v>27</v>
      </c>
      <c r="I126" s="1" t="s">
        <v>267</v>
      </c>
      <c r="J126" s="1" t="s">
        <v>28</v>
      </c>
      <c r="K126" s="1" t="s">
        <v>29</v>
      </c>
      <c r="L126" s="1" t="s">
        <v>30</v>
      </c>
      <c r="M126" s="1" t="s">
        <v>49</v>
      </c>
      <c r="N126" s="1" t="s">
        <v>50</v>
      </c>
      <c r="O126" s="1" t="s">
        <v>33</v>
      </c>
      <c r="P126" s="3">
        <v>9</v>
      </c>
      <c r="Q126" s="3">
        <v>655.56</v>
      </c>
      <c r="R126" s="1" t="s">
        <v>34</v>
      </c>
      <c r="S126" s="1" t="s">
        <v>35</v>
      </c>
      <c r="T126" s="1" t="s">
        <v>36</v>
      </c>
      <c r="U126" s="1" t="s">
        <v>37</v>
      </c>
      <c r="V126" s="1" t="s">
        <v>38</v>
      </c>
      <c r="W126" s="1" t="s">
        <v>39</v>
      </c>
      <c r="X126" s="8">
        <f>+IFERROR(VLOOKUP(N126,[1]Hoja1!$B$2:$F$52,4,0)*P126,"")</f>
        <v>9.1451612903225801</v>
      </c>
      <c r="Y126" s="8" t="str">
        <f>+VLOOKUP(M126,[1]SKU!$B$3:$E$81,4,0)</f>
        <v>REGULAR</v>
      </c>
      <c r="Z126" s="8" t="str">
        <f t="shared" si="1"/>
        <v>BEES</v>
      </c>
      <c r="AA126" s="8" t="str">
        <f>+VLOOKUP(I126,[1]SKU!$H$2:$I$97,2,0)</f>
        <v>PE07006</v>
      </c>
    </row>
    <row r="127" spans="1:27">
      <c r="A127" s="1" t="s">
        <v>51</v>
      </c>
      <c r="B127" s="2">
        <v>46295</v>
      </c>
      <c r="C127" s="1" t="s">
        <v>433</v>
      </c>
      <c r="D127" s="1" t="s">
        <v>52</v>
      </c>
      <c r="E127" s="1" t="s">
        <v>434</v>
      </c>
      <c r="F127" s="1" t="s">
        <v>435</v>
      </c>
      <c r="G127" s="1" t="s">
        <v>26</v>
      </c>
      <c r="H127" s="1" t="s">
        <v>27</v>
      </c>
      <c r="I127" s="1" t="s">
        <v>238</v>
      </c>
      <c r="J127" s="1" t="s">
        <v>28</v>
      </c>
      <c r="K127" s="1" t="s">
        <v>29</v>
      </c>
      <c r="L127" s="1" t="s">
        <v>30</v>
      </c>
      <c r="M127" s="1" t="s">
        <v>49</v>
      </c>
      <c r="N127" s="1" t="s">
        <v>50</v>
      </c>
      <c r="O127" s="1" t="s">
        <v>33</v>
      </c>
      <c r="P127" s="3">
        <v>1</v>
      </c>
      <c r="Q127" s="3">
        <v>72.840001000000001</v>
      </c>
      <c r="R127" s="1" t="s">
        <v>34</v>
      </c>
      <c r="S127" s="1" t="s">
        <v>35</v>
      </c>
      <c r="T127" s="1" t="s">
        <v>36</v>
      </c>
      <c r="U127" s="1" t="s">
        <v>37</v>
      </c>
      <c r="V127" s="1" t="s">
        <v>38</v>
      </c>
      <c r="W127" s="1" t="s">
        <v>39</v>
      </c>
      <c r="X127" s="8">
        <f>+IFERROR(VLOOKUP(N127,[1]Hoja1!$B$2:$F$52,4,0)*P127,"")</f>
        <v>1.0161290322580645</v>
      </c>
      <c r="Y127" s="8" t="str">
        <f>+VLOOKUP(M127,[1]SKU!$B$3:$E$81,4,0)</f>
        <v>REGULAR</v>
      </c>
      <c r="Z127" s="8" t="str">
        <f t="shared" si="1"/>
        <v>BEES</v>
      </c>
      <c r="AA127" s="8" t="str">
        <f>+VLOOKUP(I127,[1]SKU!$H$2:$I$97,2,0)</f>
        <v>PE07011</v>
      </c>
    </row>
    <row r="128" spans="1:27">
      <c r="A128" s="1" t="s">
        <v>42</v>
      </c>
      <c r="B128" s="2">
        <v>46295</v>
      </c>
      <c r="C128" s="1" t="s">
        <v>304</v>
      </c>
      <c r="D128" s="1" t="s">
        <v>43</v>
      </c>
      <c r="E128" s="1" t="s">
        <v>305</v>
      </c>
      <c r="F128" s="1" t="s">
        <v>306</v>
      </c>
      <c r="G128" s="1" t="s">
        <v>26</v>
      </c>
      <c r="H128" s="1" t="s">
        <v>27</v>
      </c>
      <c r="I128" s="1" t="s">
        <v>72</v>
      </c>
      <c r="J128" s="1" t="s">
        <v>28</v>
      </c>
      <c r="K128" s="1" t="s">
        <v>29</v>
      </c>
      <c r="L128" s="1" t="s">
        <v>30</v>
      </c>
      <c r="M128" s="1" t="s">
        <v>73</v>
      </c>
      <c r="N128" s="1" t="s">
        <v>74</v>
      </c>
      <c r="O128" s="1" t="s">
        <v>33</v>
      </c>
      <c r="P128" s="3">
        <v>5</v>
      </c>
      <c r="Q128" s="3">
        <v>338</v>
      </c>
      <c r="R128" s="1" t="s">
        <v>34</v>
      </c>
      <c r="S128" s="1" t="s">
        <v>35</v>
      </c>
      <c r="T128" s="1" t="s">
        <v>36</v>
      </c>
      <c r="U128" s="1" t="s">
        <v>37</v>
      </c>
      <c r="V128" s="1" t="s">
        <v>38</v>
      </c>
      <c r="W128" s="1" t="s">
        <v>39</v>
      </c>
      <c r="X128" s="8">
        <f>+IFERROR(VLOOKUP(N128,[1]Hoja1!$B$2:$F$52,4,0)*P128,"")</f>
        <v>5.241935483870968</v>
      </c>
      <c r="Y128" s="8" t="str">
        <f>+VLOOKUP(M128,[1]SKU!$B$3:$E$81,4,0)</f>
        <v>REGULAR</v>
      </c>
      <c r="Z128" s="8" t="str">
        <f t="shared" si="1"/>
        <v>BEES</v>
      </c>
      <c r="AA128" s="8" t="str">
        <f>+VLOOKUP(I128,[1]SKU!$H$2:$I$97,2,0)</f>
        <v>PE07001</v>
      </c>
    </row>
    <row r="129" spans="1:27">
      <c r="A129" s="1" t="s">
        <v>44</v>
      </c>
      <c r="B129" s="2">
        <v>46295</v>
      </c>
      <c r="C129" s="1" t="s">
        <v>474</v>
      </c>
      <c r="D129" s="1" t="s">
        <v>45</v>
      </c>
      <c r="E129" s="1" t="s">
        <v>475</v>
      </c>
      <c r="F129" s="1" t="s">
        <v>476</v>
      </c>
      <c r="G129" s="1" t="s">
        <v>26</v>
      </c>
      <c r="H129" s="1" t="s">
        <v>46</v>
      </c>
      <c r="I129" s="1" t="s">
        <v>297</v>
      </c>
      <c r="J129" s="1" t="s">
        <v>47</v>
      </c>
      <c r="K129" s="1" t="s">
        <v>48</v>
      </c>
      <c r="L129" s="1" t="s">
        <v>30</v>
      </c>
      <c r="M129" s="1" t="s">
        <v>73</v>
      </c>
      <c r="N129" s="1" t="s">
        <v>74</v>
      </c>
      <c r="O129" s="1" t="s">
        <v>33</v>
      </c>
      <c r="P129" s="3">
        <v>4</v>
      </c>
      <c r="Q129" s="3">
        <v>270.39999999999998</v>
      </c>
      <c r="R129" s="1" t="s">
        <v>34</v>
      </c>
      <c r="S129" s="1" t="s">
        <v>35</v>
      </c>
      <c r="T129" s="1" t="s">
        <v>36</v>
      </c>
      <c r="U129" s="1" t="s">
        <v>37</v>
      </c>
      <c r="V129" s="1" t="s">
        <v>38</v>
      </c>
      <c r="W129" s="1" t="s">
        <v>39</v>
      </c>
      <c r="X129" s="8">
        <f>+IFERROR(VLOOKUP(N129,[1]Hoja1!$B$2:$F$52,4,0)*P129,"")</f>
        <v>4.193548387096774</v>
      </c>
      <c r="Y129" s="8" t="str">
        <f>+VLOOKUP(M129,[1]SKU!$B$3:$E$81,4,0)</f>
        <v>REGULAR</v>
      </c>
      <c r="Z129" s="8" t="str">
        <f t="shared" si="1"/>
        <v>FLEX</v>
      </c>
      <c r="AA129" s="8" t="str">
        <f>+VLOOKUP(I129,[1]SKU!$H$2:$I$97,2,0)</f>
        <v>PE07004</v>
      </c>
    </row>
    <row r="130" spans="1:27">
      <c r="A130" s="1" t="s">
        <v>44</v>
      </c>
      <c r="B130" s="2">
        <v>46295</v>
      </c>
      <c r="C130" s="1" t="s">
        <v>404</v>
      </c>
      <c r="D130" s="1" t="s">
        <v>58</v>
      </c>
      <c r="E130" s="1" t="s">
        <v>405</v>
      </c>
      <c r="F130" s="1" t="s">
        <v>406</v>
      </c>
      <c r="G130" s="1" t="s">
        <v>26</v>
      </c>
      <c r="H130" s="1" t="s">
        <v>27</v>
      </c>
      <c r="I130" s="1" t="s">
        <v>297</v>
      </c>
      <c r="J130" s="1" t="s">
        <v>28</v>
      </c>
      <c r="K130" s="1" t="s">
        <v>29</v>
      </c>
      <c r="L130" s="1" t="s">
        <v>30</v>
      </c>
      <c r="M130" s="1" t="s">
        <v>73</v>
      </c>
      <c r="N130" s="1" t="s">
        <v>74</v>
      </c>
      <c r="O130" s="1" t="s">
        <v>33</v>
      </c>
      <c r="P130" s="3">
        <v>2</v>
      </c>
      <c r="Q130" s="3">
        <v>135.19999999999999</v>
      </c>
      <c r="R130" s="1" t="s">
        <v>34</v>
      </c>
      <c r="S130" s="1" t="s">
        <v>35</v>
      </c>
      <c r="T130" s="1" t="s">
        <v>36</v>
      </c>
      <c r="U130" s="1" t="s">
        <v>37</v>
      </c>
      <c r="V130" s="1" t="s">
        <v>38</v>
      </c>
      <c r="W130" s="1" t="s">
        <v>39</v>
      </c>
      <c r="X130" s="8">
        <f>+IFERROR(VLOOKUP(N130,[1]Hoja1!$B$2:$F$52,4,0)*P130,"")</f>
        <v>2.096774193548387</v>
      </c>
      <c r="Y130" s="8" t="str">
        <f>+VLOOKUP(M130,[1]SKU!$B$3:$E$81,4,0)</f>
        <v>REGULAR</v>
      </c>
      <c r="Z130" s="8" t="str">
        <f t="shared" si="1"/>
        <v>BEES</v>
      </c>
      <c r="AA130" s="8" t="str">
        <f>+VLOOKUP(I130,[1]SKU!$H$2:$I$97,2,0)</f>
        <v>PE07004</v>
      </c>
    </row>
    <row r="131" spans="1:27">
      <c r="A131" s="1" t="s">
        <v>42</v>
      </c>
      <c r="B131" s="2">
        <v>46295</v>
      </c>
      <c r="C131" s="1" t="s">
        <v>361</v>
      </c>
      <c r="D131" s="1" t="s">
        <v>43</v>
      </c>
      <c r="E131" s="1" t="s">
        <v>362</v>
      </c>
      <c r="F131" s="1" t="s">
        <v>363</v>
      </c>
      <c r="G131" s="1" t="s">
        <v>26</v>
      </c>
      <c r="H131" s="1" t="s">
        <v>27</v>
      </c>
      <c r="I131" s="1" t="s">
        <v>180</v>
      </c>
      <c r="J131" s="1" t="s">
        <v>28</v>
      </c>
      <c r="K131" s="1" t="s">
        <v>29</v>
      </c>
      <c r="L131" s="1" t="s">
        <v>30</v>
      </c>
      <c r="M131" s="1" t="s">
        <v>73</v>
      </c>
      <c r="N131" s="1" t="s">
        <v>74</v>
      </c>
      <c r="O131" s="1" t="s">
        <v>33</v>
      </c>
      <c r="P131" s="3">
        <v>3</v>
      </c>
      <c r="Q131" s="3">
        <v>202.8</v>
      </c>
      <c r="R131" s="1" t="s">
        <v>34</v>
      </c>
      <c r="S131" s="1" t="s">
        <v>35</v>
      </c>
      <c r="T131" s="1" t="s">
        <v>36</v>
      </c>
      <c r="U131" s="1" t="s">
        <v>37</v>
      </c>
      <c r="V131" s="1" t="s">
        <v>38</v>
      </c>
      <c r="W131" s="1" t="s">
        <v>39</v>
      </c>
      <c r="X131" s="8">
        <f>+IFERROR(VLOOKUP(N131,[1]Hoja1!$B$2:$F$52,4,0)*P131,"")</f>
        <v>3.1451612903225805</v>
      </c>
      <c r="Y131" s="8" t="str">
        <f>+VLOOKUP(M131,[1]SKU!$B$3:$E$81,4,0)</f>
        <v>REGULAR</v>
      </c>
      <c r="Z131" s="8" t="str">
        <f t="shared" ref="Z131:Z194" si="2">+IF(J131="VB01                          ","BEES","FLEX")</f>
        <v>BEES</v>
      </c>
      <c r="AA131" s="8" t="str">
        <f>+VLOOKUP(I131,[1]SKU!$H$2:$I$97,2,0)</f>
        <v>PE07002</v>
      </c>
    </row>
    <row r="132" spans="1:27">
      <c r="A132" s="1" t="s">
        <v>42</v>
      </c>
      <c r="B132" s="2">
        <v>46295</v>
      </c>
      <c r="C132" s="1" t="s">
        <v>477</v>
      </c>
      <c r="D132" s="1" t="s">
        <v>43</v>
      </c>
      <c r="E132" s="1" t="s">
        <v>478</v>
      </c>
      <c r="F132" s="1" t="s">
        <v>479</v>
      </c>
      <c r="G132" s="1" t="s">
        <v>26</v>
      </c>
      <c r="H132" s="1" t="s">
        <v>27</v>
      </c>
      <c r="I132" s="1" t="s">
        <v>180</v>
      </c>
      <c r="J132" s="1" t="s">
        <v>28</v>
      </c>
      <c r="K132" s="1" t="s">
        <v>29</v>
      </c>
      <c r="L132" s="1" t="s">
        <v>30</v>
      </c>
      <c r="M132" s="1" t="s">
        <v>73</v>
      </c>
      <c r="N132" s="1" t="s">
        <v>74</v>
      </c>
      <c r="O132" s="1" t="s">
        <v>33</v>
      </c>
      <c r="P132" s="3">
        <v>3</v>
      </c>
      <c r="Q132" s="3">
        <v>202.8</v>
      </c>
      <c r="R132" s="1" t="s">
        <v>34</v>
      </c>
      <c r="S132" s="1" t="s">
        <v>35</v>
      </c>
      <c r="T132" s="1" t="s">
        <v>36</v>
      </c>
      <c r="U132" s="1" t="s">
        <v>37</v>
      </c>
      <c r="V132" s="1" t="s">
        <v>38</v>
      </c>
      <c r="W132" s="1" t="s">
        <v>39</v>
      </c>
      <c r="X132" s="8">
        <f>+IFERROR(VLOOKUP(N132,[1]Hoja1!$B$2:$F$52,4,0)*P132,"")</f>
        <v>3.1451612903225805</v>
      </c>
      <c r="Y132" s="8" t="str">
        <f>+VLOOKUP(M132,[1]SKU!$B$3:$E$81,4,0)</f>
        <v>REGULAR</v>
      </c>
      <c r="Z132" s="8" t="str">
        <f t="shared" si="2"/>
        <v>BEES</v>
      </c>
      <c r="AA132" s="8" t="str">
        <f>+VLOOKUP(I132,[1]SKU!$H$2:$I$97,2,0)</f>
        <v>PE07002</v>
      </c>
    </row>
    <row r="133" spans="1:27">
      <c r="A133" s="1" t="s">
        <v>42</v>
      </c>
      <c r="B133" s="2">
        <v>46295</v>
      </c>
      <c r="C133" s="1" t="s">
        <v>398</v>
      </c>
      <c r="D133" s="1" t="s">
        <v>43</v>
      </c>
      <c r="E133" s="1" t="s">
        <v>399</v>
      </c>
      <c r="F133" s="1" t="s">
        <v>400</v>
      </c>
      <c r="G133" s="1" t="s">
        <v>26</v>
      </c>
      <c r="H133" s="1" t="s">
        <v>27</v>
      </c>
      <c r="I133" s="1" t="s">
        <v>65</v>
      </c>
      <c r="J133" s="1" t="s">
        <v>28</v>
      </c>
      <c r="K133" s="1" t="s">
        <v>29</v>
      </c>
      <c r="L133" s="1" t="s">
        <v>30</v>
      </c>
      <c r="M133" s="1" t="s">
        <v>73</v>
      </c>
      <c r="N133" s="1" t="s">
        <v>74</v>
      </c>
      <c r="O133" s="1" t="s">
        <v>33</v>
      </c>
      <c r="P133" s="3">
        <v>2</v>
      </c>
      <c r="Q133" s="3">
        <v>135.19999999999999</v>
      </c>
      <c r="R133" s="1" t="s">
        <v>34</v>
      </c>
      <c r="S133" s="1" t="s">
        <v>35</v>
      </c>
      <c r="T133" s="1" t="s">
        <v>36</v>
      </c>
      <c r="U133" s="1" t="s">
        <v>37</v>
      </c>
      <c r="V133" s="1" t="s">
        <v>38</v>
      </c>
      <c r="W133" s="1" t="s">
        <v>39</v>
      </c>
      <c r="X133" s="8">
        <f>+IFERROR(VLOOKUP(N133,[1]Hoja1!$B$2:$F$52,4,0)*P133,"")</f>
        <v>2.096774193548387</v>
      </c>
      <c r="Y133" s="8" t="str">
        <f>+VLOOKUP(M133,[1]SKU!$B$3:$E$81,4,0)</f>
        <v>REGULAR</v>
      </c>
      <c r="Z133" s="8" t="str">
        <f t="shared" si="2"/>
        <v>BEES</v>
      </c>
      <c r="AA133" s="8" t="str">
        <f>+VLOOKUP(I133,[1]SKU!$H$2:$I$97,2,0)</f>
        <v>PE07003</v>
      </c>
    </row>
    <row r="134" spans="1:27">
      <c r="A134" s="1" t="s">
        <v>44</v>
      </c>
      <c r="B134" s="2">
        <v>46295</v>
      </c>
      <c r="C134" s="1" t="s">
        <v>370</v>
      </c>
      <c r="D134" s="1" t="s">
        <v>58</v>
      </c>
      <c r="E134" s="1" t="s">
        <v>371</v>
      </c>
      <c r="F134" s="1" t="s">
        <v>372</v>
      </c>
      <c r="G134" s="1" t="s">
        <v>26</v>
      </c>
      <c r="H134" s="1" t="s">
        <v>27</v>
      </c>
      <c r="I134" s="1" t="s">
        <v>297</v>
      </c>
      <c r="J134" s="1" t="s">
        <v>28</v>
      </c>
      <c r="K134" s="1" t="s">
        <v>29</v>
      </c>
      <c r="L134" s="1" t="s">
        <v>30</v>
      </c>
      <c r="M134" s="1" t="s">
        <v>73</v>
      </c>
      <c r="N134" s="1" t="s">
        <v>74</v>
      </c>
      <c r="O134" s="1" t="s">
        <v>33</v>
      </c>
      <c r="P134" s="3">
        <v>1</v>
      </c>
      <c r="Q134" s="3">
        <v>66.401961</v>
      </c>
      <c r="R134" s="1" t="s">
        <v>34</v>
      </c>
      <c r="S134" s="1" t="s">
        <v>35</v>
      </c>
      <c r="T134" s="1" t="s">
        <v>36</v>
      </c>
      <c r="U134" s="1" t="s">
        <v>37</v>
      </c>
      <c r="V134" s="1" t="s">
        <v>38</v>
      </c>
      <c r="W134" s="1" t="s">
        <v>39</v>
      </c>
      <c r="X134" s="8">
        <f>+IFERROR(VLOOKUP(N134,[1]Hoja1!$B$2:$F$52,4,0)*P134,"")</f>
        <v>1.0483870967741935</v>
      </c>
      <c r="Y134" s="8" t="str">
        <f>+VLOOKUP(M134,[1]SKU!$B$3:$E$81,4,0)</f>
        <v>REGULAR</v>
      </c>
      <c r="Z134" s="8" t="str">
        <f t="shared" si="2"/>
        <v>BEES</v>
      </c>
      <c r="AA134" s="8" t="str">
        <f>+VLOOKUP(I134,[1]SKU!$H$2:$I$97,2,0)</f>
        <v>PE07004</v>
      </c>
    </row>
    <row r="135" spans="1:27">
      <c r="A135" s="1" t="s">
        <v>51</v>
      </c>
      <c r="B135" s="2">
        <v>46295</v>
      </c>
      <c r="C135" s="1" t="s">
        <v>480</v>
      </c>
      <c r="D135" s="1" t="s">
        <v>52</v>
      </c>
      <c r="E135" s="1" t="s">
        <v>481</v>
      </c>
      <c r="F135" s="1" t="s">
        <v>482</v>
      </c>
      <c r="G135" s="1" t="s">
        <v>26</v>
      </c>
      <c r="H135" s="1" t="s">
        <v>27</v>
      </c>
      <c r="I135" s="1" t="s">
        <v>238</v>
      </c>
      <c r="J135" s="1" t="s">
        <v>28</v>
      </c>
      <c r="K135" s="1" t="s">
        <v>29</v>
      </c>
      <c r="L135" s="1" t="s">
        <v>30</v>
      </c>
      <c r="M135" s="1" t="s">
        <v>49</v>
      </c>
      <c r="N135" s="1" t="s">
        <v>50</v>
      </c>
      <c r="O135" s="1" t="s">
        <v>33</v>
      </c>
      <c r="P135" s="3">
        <v>1</v>
      </c>
      <c r="Q135" s="3">
        <v>72.840001000000001</v>
      </c>
      <c r="R135" s="1" t="s">
        <v>34</v>
      </c>
      <c r="S135" s="1" t="s">
        <v>35</v>
      </c>
      <c r="T135" s="1" t="s">
        <v>36</v>
      </c>
      <c r="U135" s="1" t="s">
        <v>37</v>
      </c>
      <c r="V135" s="1" t="s">
        <v>38</v>
      </c>
      <c r="W135" s="1" t="s">
        <v>39</v>
      </c>
      <c r="X135" s="8">
        <f>+IFERROR(VLOOKUP(N135,[1]Hoja1!$B$2:$F$52,4,0)*P135,"")</f>
        <v>1.0161290322580645</v>
      </c>
      <c r="Y135" s="8" t="str">
        <f>+VLOOKUP(M135,[1]SKU!$B$3:$E$81,4,0)</f>
        <v>REGULAR</v>
      </c>
      <c r="Z135" s="8" t="str">
        <f t="shared" si="2"/>
        <v>BEES</v>
      </c>
      <c r="AA135" s="8" t="str">
        <f>+VLOOKUP(I135,[1]SKU!$H$2:$I$97,2,0)</f>
        <v>PE07011</v>
      </c>
    </row>
    <row r="136" spans="1:27">
      <c r="A136" s="1" t="s">
        <v>40</v>
      </c>
      <c r="B136" s="2">
        <v>46295</v>
      </c>
      <c r="C136" s="1" t="s">
        <v>279</v>
      </c>
      <c r="D136" s="1" t="s">
        <v>41</v>
      </c>
      <c r="E136" s="1" t="s">
        <v>139</v>
      </c>
      <c r="F136" s="1" t="s">
        <v>140</v>
      </c>
      <c r="G136" s="1" t="s">
        <v>26</v>
      </c>
      <c r="H136" s="1" t="s">
        <v>27</v>
      </c>
      <c r="I136" s="1" t="s">
        <v>132</v>
      </c>
      <c r="J136" s="1" t="s">
        <v>28</v>
      </c>
      <c r="K136" s="1" t="s">
        <v>29</v>
      </c>
      <c r="L136" s="1" t="s">
        <v>30</v>
      </c>
      <c r="M136" s="1" t="s">
        <v>49</v>
      </c>
      <c r="N136" s="1" t="s">
        <v>50</v>
      </c>
      <c r="O136" s="1" t="s">
        <v>33</v>
      </c>
      <c r="P136" s="3">
        <v>3</v>
      </c>
      <c r="Q136" s="3">
        <v>218.52</v>
      </c>
      <c r="R136" s="1" t="s">
        <v>34</v>
      </c>
      <c r="S136" s="1" t="s">
        <v>35</v>
      </c>
      <c r="T136" s="1" t="s">
        <v>36</v>
      </c>
      <c r="U136" s="1" t="s">
        <v>37</v>
      </c>
      <c r="V136" s="1" t="s">
        <v>38</v>
      </c>
      <c r="W136" s="1" t="s">
        <v>39</v>
      </c>
      <c r="X136" s="8">
        <f>+IFERROR(VLOOKUP(N136,[1]Hoja1!$B$2:$F$52,4,0)*P136,"")</f>
        <v>3.0483870967741935</v>
      </c>
      <c r="Y136" s="8" t="str">
        <f>+VLOOKUP(M136,[1]SKU!$B$3:$E$81,4,0)</f>
        <v>REGULAR</v>
      </c>
      <c r="Z136" s="8" t="str">
        <f t="shared" si="2"/>
        <v>BEES</v>
      </c>
      <c r="AA136" s="8" t="str">
        <f>+VLOOKUP(I136,[1]SKU!$H$2:$I$97,2,0)</f>
        <v>PE07009</v>
      </c>
    </row>
    <row r="137" spans="1:27">
      <c r="A137" s="1" t="s">
        <v>51</v>
      </c>
      <c r="B137" s="2">
        <v>46295</v>
      </c>
      <c r="C137" s="1" t="s">
        <v>483</v>
      </c>
      <c r="D137" s="1" t="s">
        <v>52</v>
      </c>
      <c r="E137" s="1" t="s">
        <v>484</v>
      </c>
      <c r="F137" s="1" t="s">
        <v>485</v>
      </c>
      <c r="G137" s="1" t="s">
        <v>26</v>
      </c>
      <c r="H137" s="1" t="s">
        <v>27</v>
      </c>
      <c r="I137" s="1" t="s">
        <v>238</v>
      </c>
      <c r="J137" s="1" t="s">
        <v>28</v>
      </c>
      <c r="K137" s="1" t="s">
        <v>29</v>
      </c>
      <c r="L137" s="1" t="s">
        <v>30</v>
      </c>
      <c r="M137" s="1" t="s">
        <v>49</v>
      </c>
      <c r="N137" s="1" t="s">
        <v>50</v>
      </c>
      <c r="O137" s="1" t="s">
        <v>33</v>
      </c>
      <c r="P137" s="3">
        <v>5</v>
      </c>
      <c r="Q137" s="3">
        <v>364.2</v>
      </c>
      <c r="R137" s="1" t="s">
        <v>34</v>
      </c>
      <c r="S137" s="1" t="s">
        <v>35</v>
      </c>
      <c r="T137" s="1" t="s">
        <v>36</v>
      </c>
      <c r="U137" s="1" t="s">
        <v>37</v>
      </c>
      <c r="V137" s="1" t="s">
        <v>38</v>
      </c>
      <c r="W137" s="1" t="s">
        <v>39</v>
      </c>
      <c r="X137" s="8">
        <f>+IFERROR(VLOOKUP(N137,[1]Hoja1!$B$2:$F$52,4,0)*P137,"")</f>
        <v>5.0806451612903221</v>
      </c>
      <c r="Y137" s="8" t="str">
        <f>+VLOOKUP(M137,[1]SKU!$B$3:$E$81,4,0)</f>
        <v>REGULAR</v>
      </c>
      <c r="Z137" s="8" t="str">
        <f t="shared" si="2"/>
        <v>BEES</v>
      </c>
      <c r="AA137" s="8" t="str">
        <f>+VLOOKUP(I137,[1]SKU!$H$2:$I$97,2,0)</f>
        <v>PE07011</v>
      </c>
    </row>
    <row r="138" spans="1:27">
      <c r="A138" s="1" t="s">
        <v>40</v>
      </c>
      <c r="B138" s="2">
        <v>46295</v>
      </c>
      <c r="C138" s="1" t="s">
        <v>486</v>
      </c>
      <c r="D138" s="1" t="s">
        <v>41</v>
      </c>
      <c r="E138" s="1" t="s">
        <v>487</v>
      </c>
      <c r="F138" s="1" t="s">
        <v>488</v>
      </c>
      <c r="G138" s="1" t="s">
        <v>26</v>
      </c>
      <c r="H138" s="1" t="s">
        <v>27</v>
      </c>
      <c r="I138" s="1" t="s">
        <v>132</v>
      </c>
      <c r="J138" s="1" t="s">
        <v>28</v>
      </c>
      <c r="K138" s="1" t="s">
        <v>29</v>
      </c>
      <c r="L138" s="1" t="s">
        <v>30</v>
      </c>
      <c r="M138" s="1" t="s">
        <v>49</v>
      </c>
      <c r="N138" s="1" t="s">
        <v>50</v>
      </c>
      <c r="O138" s="1" t="s">
        <v>33</v>
      </c>
      <c r="P138" s="3">
        <v>3</v>
      </c>
      <c r="Q138" s="3">
        <v>218.52</v>
      </c>
      <c r="R138" s="1" t="s">
        <v>34</v>
      </c>
      <c r="S138" s="1" t="s">
        <v>35</v>
      </c>
      <c r="T138" s="1" t="s">
        <v>36</v>
      </c>
      <c r="U138" s="1" t="s">
        <v>37</v>
      </c>
      <c r="V138" s="1" t="s">
        <v>38</v>
      </c>
      <c r="W138" s="1" t="s">
        <v>39</v>
      </c>
      <c r="X138" s="8">
        <f>+IFERROR(VLOOKUP(N138,[1]Hoja1!$B$2:$F$52,4,0)*P138,"")</f>
        <v>3.0483870967741935</v>
      </c>
      <c r="Y138" s="8" t="str">
        <f>+VLOOKUP(M138,[1]SKU!$B$3:$E$81,4,0)</f>
        <v>REGULAR</v>
      </c>
      <c r="Z138" s="8" t="str">
        <f t="shared" si="2"/>
        <v>BEES</v>
      </c>
      <c r="AA138" s="8" t="str">
        <f>+VLOOKUP(I138,[1]SKU!$H$2:$I$97,2,0)</f>
        <v>PE07009</v>
      </c>
    </row>
    <row r="139" spans="1:27">
      <c r="A139" s="1" t="s">
        <v>42</v>
      </c>
      <c r="B139" s="2">
        <v>46295</v>
      </c>
      <c r="C139" s="1" t="s">
        <v>471</v>
      </c>
      <c r="D139" s="1" t="s">
        <v>43</v>
      </c>
      <c r="E139" s="1" t="s">
        <v>472</v>
      </c>
      <c r="F139" s="1" t="s">
        <v>473</v>
      </c>
      <c r="G139" s="1" t="s">
        <v>26</v>
      </c>
      <c r="H139" s="1" t="s">
        <v>27</v>
      </c>
      <c r="I139" s="1" t="s">
        <v>267</v>
      </c>
      <c r="J139" s="1" t="s">
        <v>28</v>
      </c>
      <c r="K139" s="1" t="s">
        <v>29</v>
      </c>
      <c r="L139" s="1" t="s">
        <v>30</v>
      </c>
      <c r="M139" s="1" t="s">
        <v>49</v>
      </c>
      <c r="N139" s="1" t="s">
        <v>50</v>
      </c>
      <c r="O139" s="1" t="s">
        <v>33</v>
      </c>
      <c r="P139" s="3">
        <v>1</v>
      </c>
      <c r="Q139" s="3">
        <v>71.637254999999996</v>
      </c>
      <c r="R139" s="1" t="s">
        <v>34</v>
      </c>
      <c r="S139" s="1" t="s">
        <v>35</v>
      </c>
      <c r="T139" s="1" t="s">
        <v>36</v>
      </c>
      <c r="U139" s="1" t="s">
        <v>37</v>
      </c>
      <c r="V139" s="1" t="s">
        <v>38</v>
      </c>
      <c r="W139" s="1" t="s">
        <v>39</v>
      </c>
      <c r="X139" s="8">
        <f>+IFERROR(VLOOKUP(N139,[1]Hoja1!$B$2:$F$52,4,0)*P139,"")</f>
        <v>1.0161290322580645</v>
      </c>
      <c r="Y139" s="8" t="str">
        <f>+VLOOKUP(M139,[1]SKU!$B$3:$E$81,4,0)</f>
        <v>REGULAR</v>
      </c>
      <c r="Z139" s="8" t="str">
        <f t="shared" si="2"/>
        <v>BEES</v>
      </c>
      <c r="AA139" s="8" t="str">
        <f>+VLOOKUP(I139,[1]SKU!$H$2:$I$97,2,0)</f>
        <v>PE07006</v>
      </c>
    </row>
    <row r="140" spans="1:27">
      <c r="A140" s="1" t="s">
        <v>44</v>
      </c>
      <c r="B140" s="2">
        <v>46295</v>
      </c>
      <c r="C140" s="1" t="s">
        <v>380</v>
      </c>
      <c r="D140" s="1" t="s">
        <v>58</v>
      </c>
      <c r="E140" s="1" t="s">
        <v>381</v>
      </c>
      <c r="F140" s="1" t="s">
        <v>382</v>
      </c>
      <c r="G140" s="1" t="s">
        <v>26</v>
      </c>
      <c r="H140" s="1" t="s">
        <v>27</v>
      </c>
      <c r="I140" s="1" t="s">
        <v>297</v>
      </c>
      <c r="J140" s="1" t="s">
        <v>28</v>
      </c>
      <c r="K140" s="1" t="s">
        <v>29</v>
      </c>
      <c r="L140" s="1" t="s">
        <v>30</v>
      </c>
      <c r="M140" s="1" t="s">
        <v>49</v>
      </c>
      <c r="N140" s="1" t="s">
        <v>50</v>
      </c>
      <c r="O140" s="1" t="s">
        <v>33</v>
      </c>
      <c r="P140" s="3">
        <v>1</v>
      </c>
      <c r="Q140" s="3">
        <v>71.637254999999996</v>
      </c>
      <c r="R140" s="1" t="s">
        <v>34</v>
      </c>
      <c r="S140" s="1" t="s">
        <v>35</v>
      </c>
      <c r="T140" s="1" t="s">
        <v>36</v>
      </c>
      <c r="U140" s="1" t="s">
        <v>37</v>
      </c>
      <c r="V140" s="1" t="s">
        <v>38</v>
      </c>
      <c r="W140" s="1" t="s">
        <v>39</v>
      </c>
      <c r="X140" s="8">
        <f>+IFERROR(VLOOKUP(N140,[1]Hoja1!$B$2:$F$52,4,0)*P140,"")</f>
        <v>1.0161290322580645</v>
      </c>
      <c r="Y140" s="8" t="str">
        <f>+VLOOKUP(M140,[1]SKU!$B$3:$E$81,4,0)</f>
        <v>REGULAR</v>
      </c>
      <c r="Z140" s="8" t="str">
        <f t="shared" si="2"/>
        <v>BEES</v>
      </c>
      <c r="AA140" s="8" t="str">
        <f>+VLOOKUP(I140,[1]SKU!$H$2:$I$97,2,0)</f>
        <v>PE07004</v>
      </c>
    </row>
    <row r="141" spans="1:27">
      <c r="A141" s="1" t="s">
        <v>42</v>
      </c>
      <c r="B141" s="2">
        <v>46295</v>
      </c>
      <c r="C141" s="1" t="s">
        <v>489</v>
      </c>
      <c r="D141" s="1" t="s">
        <v>43</v>
      </c>
      <c r="E141" s="1" t="s">
        <v>490</v>
      </c>
      <c r="F141" s="1" t="s">
        <v>491</v>
      </c>
      <c r="G141" s="1" t="s">
        <v>26</v>
      </c>
      <c r="H141" s="1" t="s">
        <v>27</v>
      </c>
      <c r="I141" s="1" t="s">
        <v>267</v>
      </c>
      <c r="J141" s="1" t="s">
        <v>28</v>
      </c>
      <c r="K141" s="1" t="s">
        <v>29</v>
      </c>
      <c r="L141" s="1" t="s">
        <v>30</v>
      </c>
      <c r="M141" s="1" t="s">
        <v>49</v>
      </c>
      <c r="N141" s="1" t="s">
        <v>50</v>
      </c>
      <c r="O141" s="1" t="s">
        <v>33</v>
      </c>
      <c r="P141" s="3">
        <v>5</v>
      </c>
      <c r="Q141" s="3">
        <v>364.2</v>
      </c>
      <c r="R141" s="1" t="s">
        <v>34</v>
      </c>
      <c r="S141" s="1" t="s">
        <v>35</v>
      </c>
      <c r="T141" s="1" t="s">
        <v>36</v>
      </c>
      <c r="U141" s="1" t="s">
        <v>37</v>
      </c>
      <c r="V141" s="1" t="s">
        <v>38</v>
      </c>
      <c r="W141" s="1" t="s">
        <v>39</v>
      </c>
      <c r="X141" s="8">
        <f>+IFERROR(VLOOKUP(N141,[1]Hoja1!$B$2:$F$52,4,0)*P141,"")</f>
        <v>5.0806451612903221</v>
      </c>
      <c r="Y141" s="8" t="str">
        <f>+VLOOKUP(M141,[1]SKU!$B$3:$E$81,4,0)</f>
        <v>REGULAR</v>
      </c>
      <c r="Z141" s="8" t="str">
        <f t="shared" si="2"/>
        <v>BEES</v>
      </c>
      <c r="AA141" s="8" t="str">
        <f>+VLOOKUP(I141,[1]SKU!$H$2:$I$97,2,0)</f>
        <v>PE07006</v>
      </c>
    </row>
    <row r="142" spans="1:27">
      <c r="A142" s="1" t="s">
        <v>42</v>
      </c>
      <c r="B142" s="2">
        <v>46295</v>
      </c>
      <c r="C142" s="1" t="s">
        <v>492</v>
      </c>
      <c r="D142" s="1" t="s">
        <v>43</v>
      </c>
      <c r="E142" s="1" t="s">
        <v>176</v>
      </c>
      <c r="F142" s="1" t="s">
        <v>177</v>
      </c>
      <c r="G142" s="1" t="s">
        <v>26</v>
      </c>
      <c r="H142" s="1" t="s">
        <v>27</v>
      </c>
      <c r="I142" s="1" t="s">
        <v>65</v>
      </c>
      <c r="J142" s="1" t="s">
        <v>28</v>
      </c>
      <c r="K142" s="1" t="s">
        <v>29</v>
      </c>
      <c r="L142" s="1" t="s">
        <v>30</v>
      </c>
      <c r="M142" s="1" t="s">
        <v>73</v>
      </c>
      <c r="N142" s="1" t="s">
        <v>74</v>
      </c>
      <c r="O142" s="1" t="s">
        <v>33</v>
      </c>
      <c r="P142" s="3">
        <v>1</v>
      </c>
      <c r="Q142" s="3">
        <v>67.599999999999994</v>
      </c>
      <c r="R142" s="1" t="s">
        <v>34</v>
      </c>
      <c r="S142" s="1" t="s">
        <v>35</v>
      </c>
      <c r="T142" s="1" t="s">
        <v>36</v>
      </c>
      <c r="U142" s="1" t="s">
        <v>37</v>
      </c>
      <c r="V142" s="1" t="s">
        <v>38</v>
      </c>
      <c r="W142" s="1" t="s">
        <v>39</v>
      </c>
      <c r="X142" s="8">
        <f>+IFERROR(VLOOKUP(N142,[1]Hoja1!$B$2:$F$52,4,0)*P142,"")</f>
        <v>1.0483870967741935</v>
      </c>
      <c r="Y142" s="8" t="str">
        <f>+VLOOKUP(M142,[1]SKU!$B$3:$E$81,4,0)</f>
        <v>REGULAR</v>
      </c>
      <c r="Z142" s="8" t="str">
        <f t="shared" si="2"/>
        <v>BEES</v>
      </c>
      <c r="AA142" s="8" t="str">
        <f>+VLOOKUP(I142,[1]SKU!$H$2:$I$97,2,0)</f>
        <v>PE07003</v>
      </c>
    </row>
    <row r="143" spans="1:27">
      <c r="A143" s="1" t="s">
        <v>42</v>
      </c>
      <c r="B143" s="2">
        <v>46295</v>
      </c>
      <c r="C143" s="1" t="s">
        <v>323</v>
      </c>
      <c r="D143" s="1" t="s">
        <v>43</v>
      </c>
      <c r="E143" s="1" t="s">
        <v>324</v>
      </c>
      <c r="F143" s="1" t="s">
        <v>325</v>
      </c>
      <c r="G143" s="1" t="s">
        <v>26</v>
      </c>
      <c r="H143" s="1" t="s">
        <v>27</v>
      </c>
      <c r="I143" s="1" t="s">
        <v>72</v>
      </c>
      <c r="J143" s="1" t="s">
        <v>28</v>
      </c>
      <c r="K143" s="1" t="s">
        <v>29</v>
      </c>
      <c r="L143" s="1" t="s">
        <v>30</v>
      </c>
      <c r="M143" s="1" t="s">
        <v>73</v>
      </c>
      <c r="N143" s="1" t="s">
        <v>74</v>
      </c>
      <c r="O143" s="1" t="s">
        <v>33</v>
      </c>
      <c r="P143" s="3">
        <v>5</v>
      </c>
      <c r="Q143" s="3">
        <v>338</v>
      </c>
      <c r="R143" s="1" t="s">
        <v>34</v>
      </c>
      <c r="S143" s="1" t="s">
        <v>35</v>
      </c>
      <c r="T143" s="1" t="s">
        <v>36</v>
      </c>
      <c r="U143" s="1" t="s">
        <v>37</v>
      </c>
      <c r="V143" s="1" t="s">
        <v>38</v>
      </c>
      <c r="W143" s="1" t="s">
        <v>39</v>
      </c>
      <c r="X143" s="8">
        <f>+IFERROR(VLOOKUP(N143,[1]Hoja1!$B$2:$F$52,4,0)*P143,"")</f>
        <v>5.241935483870968</v>
      </c>
      <c r="Y143" s="8" t="str">
        <f>+VLOOKUP(M143,[1]SKU!$B$3:$E$81,4,0)</f>
        <v>REGULAR</v>
      </c>
      <c r="Z143" s="8" t="str">
        <f t="shared" si="2"/>
        <v>BEES</v>
      </c>
      <c r="AA143" s="8" t="str">
        <f>+VLOOKUP(I143,[1]SKU!$H$2:$I$97,2,0)</f>
        <v>PE07001</v>
      </c>
    </row>
    <row r="144" spans="1:27">
      <c r="A144" s="1" t="s">
        <v>42</v>
      </c>
      <c r="B144" s="2">
        <v>46295</v>
      </c>
      <c r="C144" s="1" t="s">
        <v>493</v>
      </c>
      <c r="D144" s="1" t="s">
        <v>43</v>
      </c>
      <c r="E144" s="1" t="s">
        <v>494</v>
      </c>
      <c r="F144" s="1" t="s">
        <v>495</v>
      </c>
      <c r="G144" s="1" t="s">
        <v>26</v>
      </c>
      <c r="H144" s="1" t="s">
        <v>27</v>
      </c>
      <c r="I144" s="1" t="s">
        <v>65</v>
      </c>
      <c r="J144" s="1" t="s">
        <v>28</v>
      </c>
      <c r="K144" s="1" t="s">
        <v>29</v>
      </c>
      <c r="L144" s="1" t="s">
        <v>30</v>
      </c>
      <c r="M144" s="1" t="s">
        <v>73</v>
      </c>
      <c r="N144" s="1" t="s">
        <v>74</v>
      </c>
      <c r="O144" s="1" t="s">
        <v>33</v>
      </c>
      <c r="P144" s="3">
        <v>5</v>
      </c>
      <c r="Q144" s="3">
        <v>338</v>
      </c>
      <c r="R144" s="1" t="s">
        <v>34</v>
      </c>
      <c r="S144" s="1" t="s">
        <v>35</v>
      </c>
      <c r="T144" s="1" t="s">
        <v>36</v>
      </c>
      <c r="U144" s="1" t="s">
        <v>37</v>
      </c>
      <c r="V144" s="1" t="s">
        <v>38</v>
      </c>
      <c r="W144" s="1" t="s">
        <v>39</v>
      </c>
      <c r="X144" s="8">
        <f>+IFERROR(VLOOKUP(N144,[1]Hoja1!$B$2:$F$52,4,0)*P144,"")</f>
        <v>5.241935483870968</v>
      </c>
      <c r="Y144" s="8" t="str">
        <f>+VLOOKUP(M144,[1]SKU!$B$3:$E$81,4,0)</f>
        <v>REGULAR</v>
      </c>
      <c r="Z144" s="8" t="str">
        <f t="shared" si="2"/>
        <v>BEES</v>
      </c>
      <c r="AA144" s="8" t="str">
        <f>+VLOOKUP(I144,[1]SKU!$H$2:$I$97,2,0)</f>
        <v>PE07003</v>
      </c>
    </row>
    <row r="145" spans="1:27">
      <c r="A145" s="1" t="s">
        <v>42</v>
      </c>
      <c r="B145" s="2">
        <v>46295</v>
      </c>
      <c r="C145" s="1" t="s">
        <v>496</v>
      </c>
      <c r="D145" s="1" t="s">
        <v>43</v>
      </c>
      <c r="E145" s="1" t="s">
        <v>497</v>
      </c>
      <c r="F145" s="1" t="s">
        <v>498</v>
      </c>
      <c r="G145" s="1" t="s">
        <v>26</v>
      </c>
      <c r="H145" s="1" t="s">
        <v>27</v>
      </c>
      <c r="I145" s="1" t="s">
        <v>180</v>
      </c>
      <c r="J145" s="1" t="s">
        <v>28</v>
      </c>
      <c r="K145" s="1" t="s">
        <v>29</v>
      </c>
      <c r="L145" s="1" t="s">
        <v>30</v>
      </c>
      <c r="M145" s="1" t="s">
        <v>73</v>
      </c>
      <c r="N145" s="1" t="s">
        <v>74</v>
      </c>
      <c r="O145" s="1" t="s">
        <v>33</v>
      </c>
      <c r="P145" s="3">
        <v>5</v>
      </c>
      <c r="Q145" s="3">
        <v>338</v>
      </c>
      <c r="R145" s="1" t="s">
        <v>34</v>
      </c>
      <c r="S145" s="1" t="s">
        <v>35</v>
      </c>
      <c r="T145" s="1" t="s">
        <v>36</v>
      </c>
      <c r="U145" s="1" t="s">
        <v>37</v>
      </c>
      <c r="V145" s="1" t="s">
        <v>38</v>
      </c>
      <c r="W145" s="1" t="s">
        <v>39</v>
      </c>
      <c r="X145" s="8">
        <f>+IFERROR(VLOOKUP(N145,[1]Hoja1!$B$2:$F$52,4,0)*P145,"")</f>
        <v>5.241935483870968</v>
      </c>
      <c r="Y145" s="8" t="str">
        <f>+VLOOKUP(M145,[1]SKU!$B$3:$E$81,4,0)</f>
        <v>REGULAR</v>
      </c>
      <c r="Z145" s="8" t="str">
        <f t="shared" si="2"/>
        <v>BEES</v>
      </c>
      <c r="AA145" s="8" t="str">
        <f>+VLOOKUP(I145,[1]SKU!$H$2:$I$97,2,0)</f>
        <v>PE07002</v>
      </c>
    </row>
    <row r="146" spans="1:27">
      <c r="A146" s="1" t="s">
        <v>44</v>
      </c>
      <c r="B146" s="2">
        <v>46295</v>
      </c>
      <c r="C146" s="1" t="s">
        <v>499</v>
      </c>
      <c r="D146" s="1" t="s">
        <v>58</v>
      </c>
      <c r="E146" s="1" t="s">
        <v>500</v>
      </c>
      <c r="F146" s="1" t="s">
        <v>501</v>
      </c>
      <c r="G146" s="1" t="s">
        <v>26</v>
      </c>
      <c r="H146" s="1" t="s">
        <v>27</v>
      </c>
      <c r="I146" s="1" t="s">
        <v>297</v>
      </c>
      <c r="J146" s="1" t="s">
        <v>28</v>
      </c>
      <c r="K146" s="1" t="s">
        <v>29</v>
      </c>
      <c r="L146" s="1" t="s">
        <v>30</v>
      </c>
      <c r="M146" s="1" t="s">
        <v>73</v>
      </c>
      <c r="N146" s="1" t="s">
        <v>74</v>
      </c>
      <c r="O146" s="1" t="s">
        <v>33</v>
      </c>
      <c r="P146" s="3">
        <v>3</v>
      </c>
      <c r="Q146" s="3">
        <v>202.8</v>
      </c>
      <c r="R146" s="1" t="s">
        <v>34</v>
      </c>
      <c r="S146" s="1" t="s">
        <v>35</v>
      </c>
      <c r="T146" s="1" t="s">
        <v>36</v>
      </c>
      <c r="U146" s="1" t="s">
        <v>37</v>
      </c>
      <c r="V146" s="1" t="s">
        <v>38</v>
      </c>
      <c r="W146" s="1" t="s">
        <v>39</v>
      </c>
      <c r="X146" s="8">
        <f>+IFERROR(VLOOKUP(N146,[1]Hoja1!$B$2:$F$52,4,0)*P146,"")</f>
        <v>3.1451612903225805</v>
      </c>
      <c r="Y146" s="8" t="str">
        <f>+VLOOKUP(M146,[1]SKU!$B$3:$E$81,4,0)</f>
        <v>REGULAR</v>
      </c>
      <c r="Z146" s="8" t="str">
        <f t="shared" si="2"/>
        <v>BEES</v>
      </c>
      <c r="AA146" s="8" t="str">
        <f>+VLOOKUP(I146,[1]SKU!$H$2:$I$97,2,0)</f>
        <v>PE07004</v>
      </c>
    </row>
    <row r="147" spans="1:27">
      <c r="A147" s="1" t="s">
        <v>44</v>
      </c>
      <c r="B147" s="2">
        <v>46295</v>
      </c>
      <c r="C147" s="1" t="s">
        <v>404</v>
      </c>
      <c r="D147" s="1" t="s">
        <v>58</v>
      </c>
      <c r="E147" s="1" t="s">
        <v>405</v>
      </c>
      <c r="F147" s="1" t="s">
        <v>406</v>
      </c>
      <c r="G147" s="1" t="s">
        <v>26</v>
      </c>
      <c r="H147" s="1" t="s">
        <v>27</v>
      </c>
      <c r="I147" s="1" t="s">
        <v>297</v>
      </c>
      <c r="J147" s="1" t="s">
        <v>28</v>
      </c>
      <c r="K147" s="1" t="s">
        <v>29</v>
      </c>
      <c r="L147" s="1" t="s">
        <v>30</v>
      </c>
      <c r="M147" s="1" t="s">
        <v>73</v>
      </c>
      <c r="N147" s="1" t="s">
        <v>74</v>
      </c>
      <c r="O147" s="1" t="s">
        <v>33</v>
      </c>
      <c r="P147" s="3">
        <v>1</v>
      </c>
      <c r="Q147" s="3">
        <v>65.598038000000003</v>
      </c>
      <c r="R147" s="1" t="s">
        <v>34</v>
      </c>
      <c r="S147" s="1" t="s">
        <v>35</v>
      </c>
      <c r="T147" s="1" t="s">
        <v>36</v>
      </c>
      <c r="U147" s="1" t="s">
        <v>37</v>
      </c>
      <c r="V147" s="1" t="s">
        <v>38</v>
      </c>
      <c r="W147" s="1" t="s">
        <v>39</v>
      </c>
      <c r="X147" s="8">
        <f>+IFERROR(VLOOKUP(N147,[1]Hoja1!$B$2:$F$52,4,0)*P147,"")</f>
        <v>1.0483870967741935</v>
      </c>
      <c r="Y147" s="8" t="str">
        <f>+VLOOKUP(M147,[1]SKU!$B$3:$E$81,4,0)</f>
        <v>REGULAR</v>
      </c>
      <c r="Z147" s="8" t="str">
        <f t="shared" si="2"/>
        <v>BEES</v>
      </c>
      <c r="AA147" s="8" t="str">
        <f>+VLOOKUP(I147,[1]SKU!$H$2:$I$97,2,0)</f>
        <v>PE07004</v>
      </c>
    </row>
    <row r="148" spans="1:27">
      <c r="A148" s="1" t="s">
        <v>42</v>
      </c>
      <c r="B148" s="2">
        <v>46295</v>
      </c>
      <c r="C148" s="1" t="s">
        <v>307</v>
      </c>
      <c r="D148" s="1" t="s">
        <v>43</v>
      </c>
      <c r="E148" s="1" t="s">
        <v>86</v>
      </c>
      <c r="F148" s="1" t="s">
        <v>87</v>
      </c>
      <c r="G148" s="1" t="s">
        <v>26</v>
      </c>
      <c r="H148" s="1" t="s">
        <v>27</v>
      </c>
      <c r="I148" s="1" t="s">
        <v>72</v>
      </c>
      <c r="J148" s="1" t="s">
        <v>28</v>
      </c>
      <c r="K148" s="1" t="s">
        <v>29</v>
      </c>
      <c r="L148" s="1" t="s">
        <v>30</v>
      </c>
      <c r="M148" s="1" t="s">
        <v>73</v>
      </c>
      <c r="N148" s="1" t="s">
        <v>74</v>
      </c>
      <c r="O148" s="1" t="s">
        <v>33</v>
      </c>
      <c r="P148" s="3">
        <v>10</v>
      </c>
      <c r="Q148" s="3">
        <v>676</v>
      </c>
      <c r="R148" s="1" t="s">
        <v>34</v>
      </c>
      <c r="S148" s="1" t="s">
        <v>35</v>
      </c>
      <c r="T148" s="1" t="s">
        <v>36</v>
      </c>
      <c r="U148" s="1" t="s">
        <v>37</v>
      </c>
      <c r="V148" s="1" t="s">
        <v>38</v>
      </c>
      <c r="W148" s="1" t="s">
        <v>39</v>
      </c>
      <c r="X148" s="8">
        <f>+IFERROR(VLOOKUP(N148,[1]Hoja1!$B$2:$F$52,4,0)*P148,"")</f>
        <v>10.483870967741936</v>
      </c>
      <c r="Y148" s="8" t="str">
        <f>+VLOOKUP(M148,[1]SKU!$B$3:$E$81,4,0)</f>
        <v>REGULAR</v>
      </c>
      <c r="Z148" s="8" t="str">
        <f t="shared" si="2"/>
        <v>BEES</v>
      </c>
      <c r="AA148" s="8" t="str">
        <f>+VLOOKUP(I148,[1]SKU!$H$2:$I$97,2,0)</f>
        <v>PE07001</v>
      </c>
    </row>
    <row r="149" spans="1:27">
      <c r="A149" s="1" t="s">
        <v>40</v>
      </c>
      <c r="B149" s="2">
        <v>46295</v>
      </c>
      <c r="C149" s="1" t="s">
        <v>298</v>
      </c>
      <c r="D149" s="1" t="s">
        <v>41</v>
      </c>
      <c r="E149" s="1" t="s">
        <v>299</v>
      </c>
      <c r="F149" s="1" t="s">
        <v>300</v>
      </c>
      <c r="G149" s="1" t="s">
        <v>26</v>
      </c>
      <c r="H149" s="1" t="s">
        <v>27</v>
      </c>
      <c r="I149" s="1" t="s">
        <v>132</v>
      </c>
      <c r="J149" s="1" t="s">
        <v>28</v>
      </c>
      <c r="K149" s="1" t="s">
        <v>29</v>
      </c>
      <c r="L149" s="1" t="s">
        <v>30</v>
      </c>
      <c r="M149" s="1" t="s">
        <v>49</v>
      </c>
      <c r="N149" s="1" t="s">
        <v>50</v>
      </c>
      <c r="O149" s="1" t="s">
        <v>33</v>
      </c>
      <c r="P149" s="3">
        <v>2</v>
      </c>
      <c r="Q149" s="3">
        <v>143.28431399999999</v>
      </c>
      <c r="R149" s="1" t="s">
        <v>34</v>
      </c>
      <c r="S149" s="1" t="s">
        <v>35</v>
      </c>
      <c r="T149" s="1" t="s">
        <v>36</v>
      </c>
      <c r="U149" s="1" t="s">
        <v>37</v>
      </c>
      <c r="V149" s="1" t="s">
        <v>38</v>
      </c>
      <c r="W149" s="1" t="s">
        <v>39</v>
      </c>
      <c r="X149" s="8">
        <f>+IFERROR(VLOOKUP(N149,[1]Hoja1!$B$2:$F$52,4,0)*P149,"")</f>
        <v>2.032258064516129</v>
      </c>
      <c r="Y149" s="8" t="str">
        <f>+VLOOKUP(M149,[1]SKU!$B$3:$E$81,4,0)</f>
        <v>REGULAR</v>
      </c>
      <c r="Z149" s="8" t="str">
        <f t="shared" si="2"/>
        <v>BEES</v>
      </c>
      <c r="AA149" s="8" t="str">
        <f>+VLOOKUP(I149,[1]SKU!$H$2:$I$97,2,0)</f>
        <v>PE07009</v>
      </c>
    </row>
    <row r="150" spans="1:27">
      <c r="A150" s="1" t="s">
        <v>42</v>
      </c>
      <c r="B150" s="2">
        <v>46295</v>
      </c>
      <c r="C150" s="1" t="s">
        <v>502</v>
      </c>
      <c r="D150" s="1" t="s">
        <v>43</v>
      </c>
      <c r="E150" s="1" t="s">
        <v>503</v>
      </c>
      <c r="F150" s="1" t="s">
        <v>504</v>
      </c>
      <c r="G150" s="1" t="s">
        <v>26</v>
      </c>
      <c r="H150" s="1" t="s">
        <v>27</v>
      </c>
      <c r="I150" s="1" t="s">
        <v>72</v>
      </c>
      <c r="J150" s="1" t="s">
        <v>28</v>
      </c>
      <c r="K150" s="1" t="s">
        <v>29</v>
      </c>
      <c r="L150" s="1" t="s">
        <v>30</v>
      </c>
      <c r="M150" s="1" t="s">
        <v>49</v>
      </c>
      <c r="N150" s="1" t="s">
        <v>50</v>
      </c>
      <c r="O150" s="1" t="s">
        <v>33</v>
      </c>
      <c r="P150" s="3">
        <v>1</v>
      </c>
      <c r="Q150" s="3">
        <v>72.840001000000001</v>
      </c>
      <c r="R150" s="1" t="s">
        <v>34</v>
      </c>
      <c r="S150" s="1" t="s">
        <v>35</v>
      </c>
      <c r="T150" s="1" t="s">
        <v>36</v>
      </c>
      <c r="U150" s="1" t="s">
        <v>37</v>
      </c>
      <c r="V150" s="1" t="s">
        <v>38</v>
      </c>
      <c r="W150" s="1" t="s">
        <v>39</v>
      </c>
      <c r="X150" s="8">
        <f>+IFERROR(VLOOKUP(N150,[1]Hoja1!$B$2:$F$52,4,0)*P150,"")</f>
        <v>1.0161290322580645</v>
      </c>
      <c r="Y150" s="8" t="str">
        <f>+VLOOKUP(M150,[1]SKU!$B$3:$E$81,4,0)</f>
        <v>REGULAR</v>
      </c>
      <c r="Z150" s="8" t="str">
        <f t="shared" si="2"/>
        <v>BEES</v>
      </c>
      <c r="AA150" s="8" t="str">
        <f>+VLOOKUP(I150,[1]SKU!$H$2:$I$97,2,0)</f>
        <v>PE07001</v>
      </c>
    </row>
    <row r="151" spans="1:27">
      <c r="A151" s="1" t="s">
        <v>40</v>
      </c>
      <c r="B151" s="2">
        <v>46295</v>
      </c>
      <c r="C151" s="1" t="s">
        <v>424</v>
      </c>
      <c r="D151" s="1" t="s">
        <v>41</v>
      </c>
      <c r="E151" s="1" t="s">
        <v>425</v>
      </c>
      <c r="F151" s="1" t="s">
        <v>426</v>
      </c>
      <c r="G151" s="1" t="s">
        <v>26</v>
      </c>
      <c r="H151" s="1" t="s">
        <v>27</v>
      </c>
      <c r="I151" s="1" t="s">
        <v>422</v>
      </c>
      <c r="J151" s="1" t="s">
        <v>28</v>
      </c>
      <c r="K151" s="1" t="s">
        <v>29</v>
      </c>
      <c r="L151" s="1" t="s">
        <v>30</v>
      </c>
      <c r="M151" s="1" t="s">
        <v>49</v>
      </c>
      <c r="N151" s="1" t="s">
        <v>50</v>
      </c>
      <c r="O151" s="1" t="s">
        <v>33</v>
      </c>
      <c r="P151" s="3">
        <v>1</v>
      </c>
      <c r="Q151" s="3">
        <v>71.637254999999996</v>
      </c>
      <c r="R151" s="1" t="s">
        <v>34</v>
      </c>
      <c r="S151" s="1" t="s">
        <v>35</v>
      </c>
      <c r="T151" s="1" t="s">
        <v>36</v>
      </c>
      <c r="U151" s="1" t="s">
        <v>37</v>
      </c>
      <c r="V151" s="1" t="s">
        <v>38</v>
      </c>
      <c r="W151" s="1" t="s">
        <v>39</v>
      </c>
      <c r="X151" s="8">
        <f>+IFERROR(VLOOKUP(N151,[1]Hoja1!$B$2:$F$52,4,0)*P151,"")</f>
        <v>1.0161290322580645</v>
      </c>
      <c r="Y151" s="8" t="str">
        <f>+VLOOKUP(M151,[1]SKU!$B$3:$E$81,4,0)</f>
        <v>REGULAR</v>
      </c>
      <c r="Z151" s="8" t="str">
        <f t="shared" si="2"/>
        <v>BEES</v>
      </c>
      <c r="AA151" s="8" t="str">
        <f>+VLOOKUP(I151,[1]SKU!$H$2:$I$97,2,0)</f>
        <v>PE07009</v>
      </c>
    </row>
    <row r="152" spans="1:27">
      <c r="A152" s="1" t="s">
        <v>42</v>
      </c>
      <c r="B152" s="2">
        <v>46295</v>
      </c>
      <c r="C152" s="1" t="s">
        <v>505</v>
      </c>
      <c r="D152" s="1" t="s">
        <v>43</v>
      </c>
      <c r="E152" s="1" t="s">
        <v>506</v>
      </c>
      <c r="F152" s="1" t="s">
        <v>507</v>
      </c>
      <c r="G152" s="1" t="s">
        <v>26</v>
      </c>
      <c r="H152" s="1" t="s">
        <v>27</v>
      </c>
      <c r="I152" s="1" t="s">
        <v>65</v>
      </c>
      <c r="J152" s="1" t="s">
        <v>28</v>
      </c>
      <c r="K152" s="1" t="s">
        <v>29</v>
      </c>
      <c r="L152" s="1" t="s">
        <v>30</v>
      </c>
      <c r="M152" s="1" t="s">
        <v>49</v>
      </c>
      <c r="N152" s="1" t="s">
        <v>50</v>
      </c>
      <c r="O152" s="1" t="s">
        <v>33</v>
      </c>
      <c r="P152" s="3">
        <v>2</v>
      </c>
      <c r="Q152" s="3">
        <v>145.68</v>
      </c>
      <c r="R152" s="1" t="s">
        <v>34</v>
      </c>
      <c r="S152" s="1" t="s">
        <v>35</v>
      </c>
      <c r="T152" s="1" t="s">
        <v>36</v>
      </c>
      <c r="U152" s="1" t="s">
        <v>37</v>
      </c>
      <c r="V152" s="1" t="s">
        <v>38</v>
      </c>
      <c r="W152" s="1" t="s">
        <v>39</v>
      </c>
      <c r="X152" s="8">
        <f>+IFERROR(VLOOKUP(N152,[1]Hoja1!$B$2:$F$52,4,0)*P152,"")</f>
        <v>2.032258064516129</v>
      </c>
      <c r="Y152" s="8" t="str">
        <f>+VLOOKUP(M152,[1]SKU!$B$3:$E$81,4,0)</f>
        <v>REGULAR</v>
      </c>
      <c r="Z152" s="8" t="str">
        <f t="shared" si="2"/>
        <v>BEES</v>
      </c>
      <c r="AA152" s="8" t="str">
        <f>+VLOOKUP(I152,[1]SKU!$H$2:$I$97,2,0)</f>
        <v>PE07003</v>
      </c>
    </row>
    <row r="153" spans="1:27">
      <c r="A153" s="1" t="s">
        <v>42</v>
      </c>
      <c r="B153" s="2">
        <v>46295</v>
      </c>
      <c r="C153" s="1" t="s">
        <v>508</v>
      </c>
      <c r="D153" s="1" t="s">
        <v>43</v>
      </c>
      <c r="E153" s="1" t="s">
        <v>196</v>
      </c>
      <c r="F153" s="1" t="s">
        <v>197</v>
      </c>
      <c r="G153" s="1" t="s">
        <v>26</v>
      </c>
      <c r="H153" s="1" t="s">
        <v>27</v>
      </c>
      <c r="I153" s="1" t="s">
        <v>72</v>
      </c>
      <c r="J153" s="1" t="s">
        <v>28</v>
      </c>
      <c r="K153" s="1" t="s">
        <v>29</v>
      </c>
      <c r="L153" s="1" t="s">
        <v>30</v>
      </c>
      <c r="M153" s="1" t="s">
        <v>49</v>
      </c>
      <c r="N153" s="1" t="s">
        <v>50</v>
      </c>
      <c r="O153" s="1" t="s">
        <v>33</v>
      </c>
      <c r="P153" s="3">
        <v>10</v>
      </c>
      <c r="Q153" s="3">
        <v>728.4</v>
      </c>
      <c r="R153" s="1" t="s">
        <v>34</v>
      </c>
      <c r="S153" s="1" t="s">
        <v>35</v>
      </c>
      <c r="T153" s="1" t="s">
        <v>36</v>
      </c>
      <c r="U153" s="1" t="s">
        <v>37</v>
      </c>
      <c r="V153" s="1" t="s">
        <v>38</v>
      </c>
      <c r="W153" s="1" t="s">
        <v>39</v>
      </c>
      <c r="X153" s="8">
        <f>+IFERROR(VLOOKUP(N153,[1]Hoja1!$B$2:$F$52,4,0)*P153,"")</f>
        <v>10.161290322580644</v>
      </c>
      <c r="Y153" s="8" t="str">
        <f>+VLOOKUP(M153,[1]SKU!$B$3:$E$81,4,0)</f>
        <v>REGULAR</v>
      </c>
      <c r="Z153" s="8" t="str">
        <f t="shared" si="2"/>
        <v>BEES</v>
      </c>
      <c r="AA153" s="8" t="str">
        <f>+VLOOKUP(I153,[1]SKU!$H$2:$I$97,2,0)</f>
        <v>PE07001</v>
      </c>
    </row>
    <row r="154" spans="1:27">
      <c r="A154" s="1" t="s">
        <v>24</v>
      </c>
      <c r="B154" s="2">
        <v>46295</v>
      </c>
      <c r="C154" s="1" t="s">
        <v>392</v>
      </c>
      <c r="D154" s="1" t="s">
        <v>25</v>
      </c>
      <c r="E154" s="1" t="s">
        <v>393</v>
      </c>
      <c r="F154" s="1" t="s">
        <v>394</v>
      </c>
      <c r="G154" s="1" t="s">
        <v>26</v>
      </c>
      <c r="H154" s="1" t="s">
        <v>27</v>
      </c>
      <c r="I154" s="1" t="s">
        <v>53</v>
      </c>
      <c r="J154" s="1" t="s">
        <v>28</v>
      </c>
      <c r="K154" s="1" t="s">
        <v>29</v>
      </c>
      <c r="L154" s="1" t="s">
        <v>30</v>
      </c>
      <c r="M154" s="1" t="s">
        <v>49</v>
      </c>
      <c r="N154" s="1" t="s">
        <v>50</v>
      </c>
      <c r="O154" s="1" t="s">
        <v>33</v>
      </c>
      <c r="P154" s="3">
        <v>1</v>
      </c>
      <c r="Q154" s="3">
        <v>70.843136999999999</v>
      </c>
      <c r="R154" s="1" t="s">
        <v>34</v>
      </c>
      <c r="S154" s="1" t="s">
        <v>35</v>
      </c>
      <c r="T154" s="1" t="s">
        <v>36</v>
      </c>
      <c r="U154" s="1" t="s">
        <v>37</v>
      </c>
      <c r="V154" s="1" t="s">
        <v>38</v>
      </c>
      <c r="W154" s="1" t="s">
        <v>39</v>
      </c>
      <c r="X154" s="8">
        <f>+IFERROR(VLOOKUP(N154,[1]Hoja1!$B$2:$F$52,4,0)*P154,"")</f>
        <v>1.0161290322580645</v>
      </c>
      <c r="Y154" s="8" t="str">
        <f>+VLOOKUP(M154,[1]SKU!$B$3:$E$81,4,0)</f>
        <v>REGULAR</v>
      </c>
      <c r="Z154" s="8" t="str">
        <f t="shared" si="2"/>
        <v>BEES</v>
      </c>
      <c r="AA154" s="8" t="str">
        <f>+VLOOKUP(I154,[1]SKU!$H$2:$I$97,2,0)</f>
        <v>PE07010</v>
      </c>
    </row>
    <row r="155" spans="1:27">
      <c r="A155" s="1" t="s">
        <v>40</v>
      </c>
      <c r="B155" s="2">
        <v>46295</v>
      </c>
      <c r="C155" s="1" t="s">
        <v>373</v>
      </c>
      <c r="D155" s="1" t="s">
        <v>41</v>
      </c>
      <c r="E155" s="1" t="s">
        <v>374</v>
      </c>
      <c r="F155" s="1" t="s">
        <v>375</v>
      </c>
      <c r="G155" s="1" t="s">
        <v>26</v>
      </c>
      <c r="H155" s="1" t="s">
        <v>27</v>
      </c>
      <c r="I155" s="1" t="s">
        <v>132</v>
      </c>
      <c r="J155" s="1" t="s">
        <v>28</v>
      </c>
      <c r="K155" s="1" t="s">
        <v>29</v>
      </c>
      <c r="L155" s="1" t="s">
        <v>30</v>
      </c>
      <c r="M155" s="1" t="s">
        <v>49</v>
      </c>
      <c r="N155" s="1" t="s">
        <v>50</v>
      </c>
      <c r="O155" s="1" t="s">
        <v>33</v>
      </c>
      <c r="P155" s="3">
        <v>2</v>
      </c>
      <c r="Q155" s="3">
        <v>143.28431399999999</v>
      </c>
      <c r="R155" s="1" t="s">
        <v>34</v>
      </c>
      <c r="S155" s="1" t="s">
        <v>35</v>
      </c>
      <c r="T155" s="1" t="s">
        <v>36</v>
      </c>
      <c r="U155" s="1" t="s">
        <v>37</v>
      </c>
      <c r="V155" s="1" t="s">
        <v>38</v>
      </c>
      <c r="W155" s="1" t="s">
        <v>39</v>
      </c>
      <c r="X155" s="8">
        <f>+IFERROR(VLOOKUP(N155,[1]Hoja1!$B$2:$F$52,4,0)*P155,"")</f>
        <v>2.032258064516129</v>
      </c>
      <c r="Y155" s="8" t="str">
        <f>+VLOOKUP(M155,[1]SKU!$B$3:$E$81,4,0)</f>
        <v>REGULAR</v>
      </c>
      <c r="Z155" s="8" t="str">
        <f t="shared" si="2"/>
        <v>BEES</v>
      </c>
      <c r="AA155" s="8" t="str">
        <f>+VLOOKUP(I155,[1]SKU!$H$2:$I$97,2,0)</f>
        <v>PE07009</v>
      </c>
    </row>
    <row r="156" spans="1:27">
      <c r="A156" s="1" t="s">
        <v>42</v>
      </c>
      <c r="B156" s="2">
        <v>46295</v>
      </c>
      <c r="C156" s="1" t="s">
        <v>268</v>
      </c>
      <c r="D156" s="1" t="s">
        <v>43</v>
      </c>
      <c r="E156" s="1" t="s">
        <v>174</v>
      </c>
      <c r="F156" s="1" t="s">
        <v>175</v>
      </c>
      <c r="G156" s="1" t="s">
        <v>26</v>
      </c>
      <c r="H156" s="1" t="s">
        <v>27</v>
      </c>
      <c r="I156" s="1" t="s">
        <v>65</v>
      </c>
      <c r="J156" s="1" t="s">
        <v>28</v>
      </c>
      <c r="K156" s="1" t="s">
        <v>29</v>
      </c>
      <c r="L156" s="1" t="s">
        <v>30</v>
      </c>
      <c r="M156" s="1" t="s">
        <v>73</v>
      </c>
      <c r="N156" s="1" t="s">
        <v>74</v>
      </c>
      <c r="O156" s="1" t="s">
        <v>33</v>
      </c>
      <c r="P156" s="3">
        <v>1</v>
      </c>
      <c r="Q156" s="3">
        <v>67.599999999999994</v>
      </c>
      <c r="R156" s="1" t="s">
        <v>34</v>
      </c>
      <c r="S156" s="1" t="s">
        <v>35</v>
      </c>
      <c r="T156" s="1" t="s">
        <v>36</v>
      </c>
      <c r="U156" s="1" t="s">
        <v>37</v>
      </c>
      <c r="V156" s="1" t="s">
        <v>38</v>
      </c>
      <c r="W156" s="1" t="s">
        <v>39</v>
      </c>
      <c r="X156" s="8">
        <f>+IFERROR(VLOOKUP(N156,[1]Hoja1!$B$2:$F$52,4,0)*P156,"")</f>
        <v>1.0483870967741935</v>
      </c>
      <c r="Y156" s="8" t="str">
        <f>+VLOOKUP(M156,[1]SKU!$B$3:$E$81,4,0)</f>
        <v>REGULAR</v>
      </c>
      <c r="Z156" s="8" t="str">
        <f t="shared" si="2"/>
        <v>BEES</v>
      </c>
      <c r="AA156" s="8" t="str">
        <f>+VLOOKUP(I156,[1]SKU!$H$2:$I$97,2,0)</f>
        <v>PE07003</v>
      </c>
    </row>
    <row r="157" spans="1:27">
      <c r="A157" s="1" t="s">
        <v>42</v>
      </c>
      <c r="B157" s="2">
        <v>46295</v>
      </c>
      <c r="C157" s="1" t="s">
        <v>427</v>
      </c>
      <c r="D157" s="1" t="s">
        <v>43</v>
      </c>
      <c r="E157" s="1" t="s">
        <v>428</v>
      </c>
      <c r="F157" s="1" t="s">
        <v>429</v>
      </c>
      <c r="G157" s="1" t="s">
        <v>26</v>
      </c>
      <c r="H157" s="1" t="s">
        <v>27</v>
      </c>
      <c r="I157" s="1" t="s">
        <v>65</v>
      </c>
      <c r="J157" s="1" t="s">
        <v>28</v>
      </c>
      <c r="K157" s="1" t="s">
        <v>29</v>
      </c>
      <c r="L157" s="1" t="s">
        <v>30</v>
      </c>
      <c r="M157" s="1" t="s">
        <v>73</v>
      </c>
      <c r="N157" s="1" t="s">
        <v>74</v>
      </c>
      <c r="O157" s="1" t="s">
        <v>33</v>
      </c>
      <c r="P157" s="3">
        <v>6</v>
      </c>
      <c r="Q157" s="3">
        <v>405.60000100000002</v>
      </c>
      <c r="R157" s="1" t="s">
        <v>34</v>
      </c>
      <c r="S157" s="1" t="s">
        <v>35</v>
      </c>
      <c r="T157" s="1" t="s">
        <v>36</v>
      </c>
      <c r="U157" s="1" t="s">
        <v>37</v>
      </c>
      <c r="V157" s="1" t="s">
        <v>38</v>
      </c>
      <c r="W157" s="1" t="s">
        <v>39</v>
      </c>
      <c r="X157" s="8">
        <f>+IFERROR(VLOOKUP(N157,[1]Hoja1!$B$2:$F$52,4,0)*P157,"")</f>
        <v>6.290322580645161</v>
      </c>
      <c r="Y157" s="8" t="str">
        <f>+VLOOKUP(M157,[1]SKU!$B$3:$E$81,4,0)</f>
        <v>REGULAR</v>
      </c>
      <c r="Z157" s="8" t="str">
        <f t="shared" si="2"/>
        <v>BEES</v>
      </c>
      <c r="AA157" s="8" t="str">
        <f>+VLOOKUP(I157,[1]SKU!$H$2:$I$97,2,0)</f>
        <v>PE07003</v>
      </c>
    </row>
    <row r="158" spans="1:27">
      <c r="A158" s="1" t="s">
        <v>42</v>
      </c>
      <c r="B158" s="2">
        <v>46295</v>
      </c>
      <c r="C158" s="1" t="s">
        <v>509</v>
      </c>
      <c r="D158" s="1" t="s">
        <v>43</v>
      </c>
      <c r="E158" s="1" t="s">
        <v>151</v>
      </c>
      <c r="F158" s="1" t="s">
        <v>152</v>
      </c>
      <c r="G158" s="1" t="s">
        <v>26</v>
      </c>
      <c r="H158" s="1" t="s">
        <v>27</v>
      </c>
      <c r="I158" s="1" t="s">
        <v>72</v>
      </c>
      <c r="J158" s="1" t="s">
        <v>28</v>
      </c>
      <c r="K158" s="1" t="s">
        <v>29</v>
      </c>
      <c r="L158" s="1" t="s">
        <v>30</v>
      </c>
      <c r="M158" s="1" t="s">
        <v>73</v>
      </c>
      <c r="N158" s="1" t="s">
        <v>74</v>
      </c>
      <c r="O158" s="1" t="s">
        <v>33</v>
      </c>
      <c r="P158" s="3">
        <v>1</v>
      </c>
      <c r="Q158" s="3">
        <v>65.598038000000003</v>
      </c>
      <c r="R158" s="1" t="s">
        <v>34</v>
      </c>
      <c r="S158" s="1" t="s">
        <v>35</v>
      </c>
      <c r="T158" s="1" t="s">
        <v>36</v>
      </c>
      <c r="U158" s="1" t="s">
        <v>37</v>
      </c>
      <c r="V158" s="1" t="s">
        <v>38</v>
      </c>
      <c r="W158" s="1" t="s">
        <v>39</v>
      </c>
      <c r="X158" s="8">
        <f>+IFERROR(VLOOKUP(N158,[1]Hoja1!$B$2:$F$52,4,0)*P158,"")</f>
        <v>1.0483870967741935</v>
      </c>
      <c r="Y158" s="8" t="str">
        <f>+VLOOKUP(M158,[1]SKU!$B$3:$E$81,4,0)</f>
        <v>REGULAR</v>
      </c>
      <c r="Z158" s="8" t="str">
        <f t="shared" si="2"/>
        <v>BEES</v>
      </c>
      <c r="AA158" s="8" t="str">
        <f>+VLOOKUP(I158,[1]SKU!$H$2:$I$97,2,0)</f>
        <v>PE07001</v>
      </c>
    </row>
    <row r="159" spans="1:27">
      <c r="A159" s="1" t="s">
        <v>44</v>
      </c>
      <c r="B159" s="2">
        <v>46295</v>
      </c>
      <c r="C159" s="1" t="s">
        <v>510</v>
      </c>
      <c r="D159" s="1" t="s">
        <v>45</v>
      </c>
      <c r="E159" s="1" t="s">
        <v>511</v>
      </c>
      <c r="F159" s="1" t="s">
        <v>512</v>
      </c>
      <c r="G159" s="1" t="s">
        <v>26</v>
      </c>
      <c r="H159" s="1" t="s">
        <v>46</v>
      </c>
      <c r="I159" s="1" t="s">
        <v>297</v>
      </c>
      <c r="J159" s="1" t="s">
        <v>47</v>
      </c>
      <c r="K159" s="1" t="s">
        <v>48</v>
      </c>
      <c r="L159" s="1" t="s">
        <v>30</v>
      </c>
      <c r="M159" s="1" t="s">
        <v>73</v>
      </c>
      <c r="N159" s="1" t="s">
        <v>74</v>
      </c>
      <c r="O159" s="1" t="s">
        <v>33</v>
      </c>
      <c r="P159" s="3">
        <v>4</v>
      </c>
      <c r="Q159" s="3">
        <v>270.39999999999998</v>
      </c>
      <c r="R159" s="1" t="s">
        <v>34</v>
      </c>
      <c r="S159" s="1" t="s">
        <v>35</v>
      </c>
      <c r="T159" s="1" t="s">
        <v>36</v>
      </c>
      <c r="U159" s="1" t="s">
        <v>37</v>
      </c>
      <c r="V159" s="1" t="s">
        <v>38</v>
      </c>
      <c r="W159" s="1" t="s">
        <v>39</v>
      </c>
      <c r="X159" s="8">
        <f>+IFERROR(VLOOKUP(N159,[1]Hoja1!$B$2:$F$52,4,0)*P159,"")</f>
        <v>4.193548387096774</v>
      </c>
      <c r="Y159" s="8" t="str">
        <f>+VLOOKUP(M159,[1]SKU!$B$3:$E$81,4,0)</f>
        <v>REGULAR</v>
      </c>
      <c r="Z159" s="8" t="str">
        <f t="shared" si="2"/>
        <v>FLEX</v>
      </c>
      <c r="AA159" s="8" t="str">
        <f>+VLOOKUP(I159,[1]SKU!$H$2:$I$97,2,0)</f>
        <v>PE07004</v>
      </c>
    </row>
    <row r="160" spans="1:27">
      <c r="A160" s="1" t="s">
        <v>44</v>
      </c>
      <c r="B160" s="2">
        <v>46295</v>
      </c>
      <c r="C160" s="1" t="s">
        <v>333</v>
      </c>
      <c r="D160" s="1" t="s">
        <v>58</v>
      </c>
      <c r="E160" s="1" t="s">
        <v>334</v>
      </c>
      <c r="F160" s="1" t="s">
        <v>335</v>
      </c>
      <c r="G160" s="1" t="s">
        <v>26</v>
      </c>
      <c r="H160" s="1" t="s">
        <v>27</v>
      </c>
      <c r="I160" s="1" t="s">
        <v>297</v>
      </c>
      <c r="J160" s="1" t="s">
        <v>28</v>
      </c>
      <c r="K160" s="1" t="s">
        <v>29</v>
      </c>
      <c r="L160" s="1" t="s">
        <v>30</v>
      </c>
      <c r="M160" s="1" t="s">
        <v>73</v>
      </c>
      <c r="N160" s="1" t="s">
        <v>74</v>
      </c>
      <c r="O160" s="1" t="s">
        <v>33</v>
      </c>
      <c r="P160" s="3">
        <v>1</v>
      </c>
      <c r="Q160" s="3">
        <v>65.598038000000003</v>
      </c>
      <c r="R160" s="1" t="s">
        <v>34</v>
      </c>
      <c r="S160" s="1" t="s">
        <v>35</v>
      </c>
      <c r="T160" s="1" t="s">
        <v>36</v>
      </c>
      <c r="U160" s="1" t="s">
        <v>37</v>
      </c>
      <c r="V160" s="1" t="s">
        <v>38</v>
      </c>
      <c r="W160" s="1" t="s">
        <v>39</v>
      </c>
      <c r="X160" s="8">
        <f>+IFERROR(VLOOKUP(N160,[1]Hoja1!$B$2:$F$52,4,0)*P160,"")</f>
        <v>1.0483870967741935</v>
      </c>
      <c r="Y160" s="8" t="str">
        <f>+VLOOKUP(M160,[1]SKU!$B$3:$E$81,4,0)</f>
        <v>REGULAR</v>
      </c>
      <c r="Z160" s="8" t="str">
        <f t="shared" si="2"/>
        <v>BEES</v>
      </c>
      <c r="AA160" s="8" t="str">
        <f>+VLOOKUP(I160,[1]SKU!$H$2:$I$97,2,0)</f>
        <v>PE07004</v>
      </c>
    </row>
    <row r="161" spans="1:27">
      <c r="A161" s="1" t="s">
        <v>42</v>
      </c>
      <c r="B161" s="2">
        <v>46295</v>
      </c>
      <c r="C161" s="1" t="s">
        <v>280</v>
      </c>
      <c r="D161" s="1" t="s">
        <v>43</v>
      </c>
      <c r="E161" s="1" t="s">
        <v>281</v>
      </c>
      <c r="F161" s="1" t="s">
        <v>282</v>
      </c>
      <c r="G161" s="1" t="s">
        <v>26</v>
      </c>
      <c r="H161" s="1" t="s">
        <v>27</v>
      </c>
      <c r="I161" s="1" t="s">
        <v>267</v>
      </c>
      <c r="J161" s="1" t="s">
        <v>28</v>
      </c>
      <c r="K161" s="1" t="s">
        <v>29</v>
      </c>
      <c r="L161" s="1" t="s">
        <v>30</v>
      </c>
      <c r="M161" s="1" t="s">
        <v>73</v>
      </c>
      <c r="N161" s="1" t="s">
        <v>74</v>
      </c>
      <c r="O161" s="1" t="s">
        <v>33</v>
      </c>
      <c r="P161" s="3">
        <v>2</v>
      </c>
      <c r="Q161" s="3">
        <v>135.19999999999999</v>
      </c>
      <c r="R161" s="1" t="s">
        <v>34</v>
      </c>
      <c r="S161" s="1" t="s">
        <v>35</v>
      </c>
      <c r="T161" s="1" t="s">
        <v>36</v>
      </c>
      <c r="U161" s="1" t="s">
        <v>37</v>
      </c>
      <c r="V161" s="1" t="s">
        <v>38</v>
      </c>
      <c r="W161" s="1" t="s">
        <v>39</v>
      </c>
      <c r="X161" s="8">
        <f>+IFERROR(VLOOKUP(N161,[1]Hoja1!$B$2:$F$52,4,0)*P161,"")</f>
        <v>2.096774193548387</v>
      </c>
      <c r="Y161" s="8" t="str">
        <f>+VLOOKUP(M161,[1]SKU!$B$3:$E$81,4,0)</f>
        <v>REGULAR</v>
      </c>
      <c r="Z161" s="8" t="str">
        <f t="shared" si="2"/>
        <v>BEES</v>
      </c>
      <c r="AA161" s="8" t="str">
        <f>+VLOOKUP(I161,[1]SKU!$H$2:$I$97,2,0)</f>
        <v>PE07006</v>
      </c>
    </row>
    <row r="162" spans="1:27">
      <c r="A162" s="1" t="s">
        <v>42</v>
      </c>
      <c r="B162" s="2">
        <v>46295</v>
      </c>
      <c r="C162" s="1" t="s">
        <v>513</v>
      </c>
      <c r="D162" s="1" t="s">
        <v>43</v>
      </c>
      <c r="E162" s="1" t="s">
        <v>514</v>
      </c>
      <c r="F162" s="1" t="s">
        <v>515</v>
      </c>
      <c r="G162" s="1" t="s">
        <v>26</v>
      </c>
      <c r="H162" s="1" t="s">
        <v>27</v>
      </c>
      <c r="I162" s="1" t="s">
        <v>322</v>
      </c>
      <c r="J162" s="1" t="s">
        <v>28</v>
      </c>
      <c r="K162" s="1" t="s">
        <v>29</v>
      </c>
      <c r="L162" s="1" t="s">
        <v>30</v>
      </c>
      <c r="M162" s="1" t="s">
        <v>73</v>
      </c>
      <c r="N162" s="1" t="s">
        <v>74</v>
      </c>
      <c r="O162" s="1" t="s">
        <v>33</v>
      </c>
      <c r="P162" s="3">
        <v>5</v>
      </c>
      <c r="Q162" s="3">
        <v>338</v>
      </c>
      <c r="R162" s="1" t="s">
        <v>34</v>
      </c>
      <c r="S162" s="1" t="s">
        <v>35</v>
      </c>
      <c r="T162" s="1" t="s">
        <v>36</v>
      </c>
      <c r="U162" s="1" t="s">
        <v>37</v>
      </c>
      <c r="V162" s="1" t="s">
        <v>38</v>
      </c>
      <c r="W162" s="1" t="s">
        <v>39</v>
      </c>
      <c r="X162" s="8">
        <f>+IFERROR(VLOOKUP(N162,[1]Hoja1!$B$2:$F$52,4,0)*P162,"")</f>
        <v>5.241935483870968</v>
      </c>
      <c r="Y162" s="8" t="str">
        <f>+VLOOKUP(M162,[1]SKU!$B$3:$E$81,4,0)</f>
        <v>REGULAR</v>
      </c>
      <c r="Z162" s="8" t="str">
        <f t="shared" si="2"/>
        <v>BEES</v>
      </c>
      <c r="AA162" s="8" t="str">
        <f>+VLOOKUP(I162,[1]SKU!$H$2:$I$97,2,0)</f>
        <v>PE07006</v>
      </c>
    </row>
    <row r="163" spans="1:27">
      <c r="A163" s="1" t="s">
        <v>40</v>
      </c>
      <c r="B163" s="2">
        <v>46295</v>
      </c>
      <c r="C163" s="1" t="s">
        <v>424</v>
      </c>
      <c r="D163" s="1" t="s">
        <v>41</v>
      </c>
      <c r="E163" s="1" t="s">
        <v>425</v>
      </c>
      <c r="F163" s="1" t="s">
        <v>426</v>
      </c>
      <c r="G163" s="1" t="s">
        <v>26</v>
      </c>
      <c r="H163" s="1" t="s">
        <v>27</v>
      </c>
      <c r="I163" s="1" t="s">
        <v>422</v>
      </c>
      <c r="J163" s="1" t="s">
        <v>28</v>
      </c>
      <c r="K163" s="1" t="s">
        <v>29</v>
      </c>
      <c r="L163" s="1" t="s">
        <v>30</v>
      </c>
      <c r="M163" s="1" t="s">
        <v>49</v>
      </c>
      <c r="N163" s="1" t="s">
        <v>50</v>
      </c>
      <c r="O163" s="1" t="s">
        <v>33</v>
      </c>
      <c r="P163" s="3">
        <v>1</v>
      </c>
      <c r="Q163" s="3">
        <v>72.840001000000001</v>
      </c>
      <c r="R163" s="1" t="s">
        <v>34</v>
      </c>
      <c r="S163" s="1" t="s">
        <v>35</v>
      </c>
      <c r="T163" s="1" t="s">
        <v>36</v>
      </c>
      <c r="U163" s="1" t="s">
        <v>37</v>
      </c>
      <c r="V163" s="1" t="s">
        <v>38</v>
      </c>
      <c r="W163" s="1" t="s">
        <v>39</v>
      </c>
      <c r="X163" s="8">
        <f>+IFERROR(VLOOKUP(N163,[1]Hoja1!$B$2:$F$52,4,0)*P163,"")</f>
        <v>1.0161290322580645</v>
      </c>
      <c r="Y163" s="8" t="str">
        <f>+VLOOKUP(M163,[1]SKU!$B$3:$E$81,4,0)</f>
        <v>REGULAR</v>
      </c>
      <c r="Z163" s="8" t="str">
        <f t="shared" si="2"/>
        <v>BEES</v>
      </c>
      <c r="AA163" s="8" t="str">
        <f>+VLOOKUP(I163,[1]SKU!$H$2:$I$97,2,0)</f>
        <v>PE07009</v>
      </c>
    </row>
    <row r="164" spans="1:27">
      <c r="A164" s="1" t="s">
        <v>24</v>
      </c>
      <c r="B164" s="2">
        <v>46295</v>
      </c>
      <c r="C164" s="1" t="s">
        <v>516</v>
      </c>
      <c r="D164" s="1" t="s">
        <v>25</v>
      </c>
      <c r="E164" s="1" t="s">
        <v>517</v>
      </c>
      <c r="F164" s="1" t="s">
        <v>518</v>
      </c>
      <c r="G164" s="1" t="s">
        <v>26</v>
      </c>
      <c r="H164" s="1" t="s">
        <v>27</v>
      </c>
      <c r="I164" s="1" t="s">
        <v>53</v>
      </c>
      <c r="J164" s="1" t="s">
        <v>28</v>
      </c>
      <c r="K164" s="1" t="s">
        <v>29</v>
      </c>
      <c r="L164" s="1" t="s">
        <v>30</v>
      </c>
      <c r="M164" s="1" t="s">
        <v>49</v>
      </c>
      <c r="N164" s="1" t="s">
        <v>50</v>
      </c>
      <c r="O164" s="1" t="s">
        <v>33</v>
      </c>
      <c r="P164" s="3">
        <v>4</v>
      </c>
      <c r="Q164" s="3">
        <v>291.36</v>
      </c>
      <c r="R164" s="1" t="s">
        <v>34</v>
      </c>
      <c r="S164" s="1" t="s">
        <v>35</v>
      </c>
      <c r="T164" s="1" t="s">
        <v>36</v>
      </c>
      <c r="U164" s="1" t="s">
        <v>37</v>
      </c>
      <c r="V164" s="1" t="s">
        <v>38</v>
      </c>
      <c r="W164" s="1" t="s">
        <v>39</v>
      </c>
      <c r="X164" s="8">
        <f>+IFERROR(VLOOKUP(N164,[1]Hoja1!$B$2:$F$52,4,0)*P164,"")</f>
        <v>4.064516129032258</v>
      </c>
      <c r="Y164" s="8" t="str">
        <f>+VLOOKUP(M164,[1]SKU!$B$3:$E$81,4,0)</f>
        <v>REGULAR</v>
      </c>
      <c r="Z164" s="8" t="str">
        <f t="shared" si="2"/>
        <v>BEES</v>
      </c>
      <c r="AA164" s="8" t="str">
        <f>+VLOOKUP(I164,[1]SKU!$H$2:$I$97,2,0)</f>
        <v>PE07010</v>
      </c>
    </row>
    <row r="165" spans="1:27">
      <c r="A165" s="1" t="s">
        <v>42</v>
      </c>
      <c r="B165" s="2">
        <v>46295</v>
      </c>
      <c r="C165" s="1" t="s">
        <v>413</v>
      </c>
      <c r="D165" s="1" t="s">
        <v>43</v>
      </c>
      <c r="E165" s="1" t="s">
        <v>414</v>
      </c>
      <c r="F165" s="1" t="s">
        <v>415</v>
      </c>
      <c r="G165" s="1" t="s">
        <v>26</v>
      </c>
      <c r="H165" s="1" t="s">
        <v>27</v>
      </c>
      <c r="I165" s="1" t="s">
        <v>267</v>
      </c>
      <c r="J165" s="1" t="s">
        <v>28</v>
      </c>
      <c r="K165" s="1" t="s">
        <v>29</v>
      </c>
      <c r="L165" s="1" t="s">
        <v>30</v>
      </c>
      <c r="M165" s="1" t="s">
        <v>49</v>
      </c>
      <c r="N165" s="1" t="s">
        <v>50</v>
      </c>
      <c r="O165" s="1" t="s">
        <v>33</v>
      </c>
      <c r="P165" s="3">
        <v>5</v>
      </c>
      <c r="Q165" s="3">
        <v>364.2</v>
      </c>
      <c r="R165" s="1" t="s">
        <v>34</v>
      </c>
      <c r="S165" s="1" t="s">
        <v>35</v>
      </c>
      <c r="T165" s="1" t="s">
        <v>36</v>
      </c>
      <c r="U165" s="1" t="s">
        <v>37</v>
      </c>
      <c r="V165" s="1" t="s">
        <v>38</v>
      </c>
      <c r="W165" s="1" t="s">
        <v>39</v>
      </c>
      <c r="X165" s="8">
        <f>+IFERROR(VLOOKUP(N165,[1]Hoja1!$B$2:$F$52,4,0)*P165,"")</f>
        <v>5.0806451612903221</v>
      </c>
      <c r="Y165" s="8" t="str">
        <f>+VLOOKUP(M165,[1]SKU!$B$3:$E$81,4,0)</f>
        <v>REGULAR</v>
      </c>
      <c r="Z165" s="8" t="str">
        <f t="shared" si="2"/>
        <v>BEES</v>
      </c>
      <c r="AA165" s="8" t="str">
        <f>+VLOOKUP(I165,[1]SKU!$H$2:$I$97,2,0)</f>
        <v>PE07006</v>
      </c>
    </row>
    <row r="166" spans="1:27">
      <c r="A166" s="1" t="s">
        <v>42</v>
      </c>
      <c r="B166" s="2">
        <v>46295</v>
      </c>
      <c r="C166" s="1" t="s">
        <v>407</v>
      </c>
      <c r="D166" s="1" t="s">
        <v>43</v>
      </c>
      <c r="E166" s="1" t="s">
        <v>408</v>
      </c>
      <c r="F166" s="1" t="s">
        <v>409</v>
      </c>
      <c r="G166" s="1" t="s">
        <v>26</v>
      </c>
      <c r="H166" s="1" t="s">
        <v>27</v>
      </c>
      <c r="I166" s="1" t="s">
        <v>180</v>
      </c>
      <c r="J166" s="1" t="s">
        <v>28</v>
      </c>
      <c r="K166" s="1" t="s">
        <v>29</v>
      </c>
      <c r="L166" s="1" t="s">
        <v>30</v>
      </c>
      <c r="M166" s="1" t="s">
        <v>49</v>
      </c>
      <c r="N166" s="1" t="s">
        <v>50</v>
      </c>
      <c r="O166" s="1" t="s">
        <v>33</v>
      </c>
      <c r="P166" s="3">
        <v>2</v>
      </c>
      <c r="Q166" s="3">
        <v>145.68</v>
      </c>
      <c r="R166" s="1" t="s">
        <v>34</v>
      </c>
      <c r="S166" s="1" t="s">
        <v>35</v>
      </c>
      <c r="T166" s="1" t="s">
        <v>36</v>
      </c>
      <c r="U166" s="1" t="s">
        <v>37</v>
      </c>
      <c r="V166" s="1" t="s">
        <v>38</v>
      </c>
      <c r="W166" s="1" t="s">
        <v>39</v>
      </c>
      <c r="X166" s="8">
        <f>+IFERROR(VLOOKUP(N166,[1]Hoja1!$B$2:$F$52,4,0)*P166,"")</f>
        <v>2.032258064516129</v>
      </c>
      <c r="Y166" s="8" t="str">
        <f>+VLOOKUP(M166,[1]SKU!$B$3:$E$81,4,0)</f>
        <v>REGULAR</v>
      </c>
      <c r="Z166" s="8" t="str">
        <f t="shared" si="2"/>
        <v>BEES</v>
      </c>
      <c r="AA166" s="8" t="str">
        <f>+VLOOKUP(I166,[1]SKU!$H$2:$I$97,2,0)</f>
        <v>PE07002</v>
      </c>
    </row>
    <row r="167" spans="1:27">
      <c r="A167" s="1" t="s">
        <v>42</v>
      </c>
      <c r="B167" s="2">
        <v>46295</v>
      </c>
      <c r="C167" s="1" t="s">
        <v>519</v>
      </c>
      <c r="D167" s="1" t="s">
        <v>43</v>
      </c>
      <c r="E167" s="1" t="s">
        <v>520</v>
      </c>
      <c r="F167" s="1" t="s">
        <v>521</v>
      </c>
      <c r="G167" s="1" t="s">
        <v>26</v>
      </c>
      <c r="H167" s="1" t="s">
        <v>27</v>
      </c>
      <c r="I167" s="1" t="s">
        <v>72</v>
      </c>
      <c r="J167" s="1" t="s">
        <v>28</v>
      </c>
      <c r="K167" s="1" t="s">
        <v>29</v>
      </c>
      <c r="L167" s="1" t="s">
        <v>30</v>
      </c>
      <c r="M167" s="1" t="s">
        <v>49</v>
      </c>
      <c r="N167" s="1" t="s">
        <v>50</v>
      </c>
      <c r="O167" s="1" t="s">
        <v>33</v>
      </c>
      <c r="P167" s="3">
        <v>7</v>
      </c>
      <c r="Q167" s="3">
        <v>509.88</v>
      </c>
      <c r="R167" s="1" t="s">
        <v>34</v>
      </c>
      <c r="S167" s="1" t="s">
        <v>35</v>
      </c>
      <c r="T167" s="1" t="s">
        <v>36</v>
      </c>
      <c r="U167" s="1" t="s">
        <v>37</v>
      </c>
      <c r="V167" s="1" t="s">
        <v>38</v>
      </c>
      <c r="W167" s="1" t="s">
        <v>39</v>
      </c>
      <c r="X167" s="8">
        <f>+IFERROR(VLOOKUP(N167,[1]Hoja1!$B$2:$F$52,4,0)*P167,"")</f>
        <v>7.112903225806452</v>
      </c>
      <c r="Y167" s="8" t="str">
        <f>+VLOOKUP(M167,[1]SKU!$B$3:$E$81,4,0)</f>
        <v>REGULAR</v>
      </c>
      <c r="Z167" s="8" t="str">
        <f t="shared" si="2"/>
        <v>BEES</v>
      </c>
      <c r="AA167" s="8" t="str">
        <f>+VLOOKUP(I167,[1]SKU!$H$2:$I$97,2,0)</f>
        <v>PE07001</v>
      </c>
    </row>
    <row r="168" spans="1:27">
      <c r="A168" s="1" t="s">
        <v>40</v>
      </c>
      <c r="B168" s="2">
        <v>46295</v>
      </c>
      <c r="C168" s="1" t="s">
        <v>522</v>
      </c>
      <c r="D168" s="1" t="s">
        <v>41</v>
      </c>
      <c r="E168" s="1" t="s">
        <v>523</v>
      </c>
      <c r="F168" s="1" t="s">
        <v>524</v>
      </c>
      <c r="G168" s="1" t="s">
        <v>26</v>
      </c>
      <c r="H168" s="1" t="s">
        <v>27</v>
      </c>
      <c r="I168" s="1" t="s">
        <v>422</v>
      </c>
      <c r="J168" s="1" t="s">
        <v>28</v>
      </c>
      <c r="K168" s="1" t="s">
        <v>29</v>
      </c>
      <c r="L168" s="1" t="s">
        <v>30</v>
      </c>
      <c r="M168" s="1" t="s">
        <v>49</v>
      </c>
      <c r="N168" s="1" t="s">
        <v>50</v>
      </c>
      <c r="O168" s="1" t="s">
        <v>33</v>
      </c>
      <c r="P168" s="3">
        <v>6</v>
      </c>
      <c r="Q168" s="3">
        <v>437.04</v>
      </c>
      <c r="R168" s="1" t="s">
        <v>34</v>
      </c>
      <c r="S168" s="1" t="s">
        <v>35</v>
      </c>
      <c r="T168" s="1" t="s">
        <v>36</v>
      </c>
      <c r="U168" s="1" t="s">
        <v>37</v>
      </c>
      <c r="V168" s="1" t="s">
        <v>38</v>
      </c>
      <c r="W168" s="1" t="s">
        <v>39</v>
      </c>
      <c r="X168" s="8">
        <f>+IFERROR(VLOOKUP(N168,[1]Hoja1!$B$2:$F$52,4,0)*P168,"")</f>
        <v>6.096774193548387</v>
      </c>
      <c r="Y168" s="8" t="str">
        <f>+VLOOKUP(M168,[1]SKU!$B$3:$E$81,4,0)</f>
        <v>REGULAR</v>
      </c>
      <c r="Z168" s="8" t="str">
        <f t="shared" si="2"/>
        <v>BEES</v>
      </c>
      <c r="AA168" s="8" t="str">
        <f>+VLOOKUP(I168,[1]SKU!$H$2:$I$97,2,0)</f>
        <v>PE07009</v>
      </c>
    </row>
    <row r="169" spans="1:27">
      <c r="A169" s="1" t="s">
        <v>40</v>
      </c>
      <c r="B169" s="2">
        <v>46295</v>
      </c>
      <c r="C169" s="1" t="s">
        <v>289</v>
      </c>
      <c r="D169" s="1" t="s">
        <v>41</v>
      </c>
      <c r="E169" s="1" t="s">
        <v>133</v>
      </c>
      <c r="F169" s="1" t="s">
        <v>134</v>
      </c>
      <c r="G169" s="1" t="s">
        <v>26</v>
      </c>
      <c r="H169" s="1" t="s">
        <v>27</v>
      </c>
      <c r="I169" s="1" t="s">
        <v>132</v>
      </c>
      <c r="J169" s="1" t="s">
        <v>28</v>
      </c>
      <c r="K169" s="1" t="s">
        <v>29</v>
      </c>
      <c r="L169" s="1" t="s">
        <v>30</v>
      </c>
      <c r="M169" s="1" t="s">
        <v>49</v>
      </c>
      <c r="N169" s="1" t="s">
        <v>50</v>
      </c>
      <c r="O169" s="1" t="s">
        <v>33</v>
      </c>
      <c r="P169" s="3">
        <v>17</v>
      </c>
      <c r="Q169" s="3">
        <v>1238.2800010000001</v>
      </c>
      <c r="R169" s="1" t="s">
        <v>34</v>
      </c>
      <c r="S169" s="1" t="s">
        <v>35</v>
      </c>
      <c r="T169" s="1" t="s">
        <v>36</v>
      </c>
      <c r="U169" s="1" t="s">
        <v>37</v>
      </c>
      <c r="V169" s="1" t="s">
        <v>38</v>
      </c>
      <c r="W169" s="1" t="s">
        <v>39</v>
      </c>
      <c r="X169" s="8">
        <f>+IFERROR(VLOOKUP(N169,[1]Hoja1!$B$2:$F$52,4,0)*P169,"")</f>
        <v>17.274193548387096</v>
      </c>
      <c r="Y169" s="8" t="str">
        <f>+VLOOKUP(M169,[1]SKU!$B$3:$E$81,4,0)</f>
        <v>REGULAR</v>
      </c>
      <c r="Z169" s="8" t="str">
        <f t="shared" si="2"/>
        <v>BEES</v>
      </c>
      <c r="AA169" s="8" t="str">
        <f>+VLOOKUP(I169,[1]SKU!$H$2:$I$97,2,0)</f>
        <v>PE07009</v>
      </c>
    </row>
    <row r="170" spans="1:27">
      <c r="A170" s="1" t="s">
        <v>42</v>
      </c>
      <c r="B170" s="2">
        <v>46295</v>
      </c>
      <c r="C170" s="1" t="s">
        <v>513</v>
      </c>
      <c r="D170" s="1" t="s">
        <v>43</v>
      </c>
      <c r="E170" s="1" t="s">
        <v>514</v>
      </c>
      <c r="F170" s="1" t="s">
        <v>515</v>
      </c>
      <c r="G170" s="1" t="s">
        <v>26</v>
      </c>
      <c r="H170" s="1" t="s">
        <v>27</v>
      </c>
      <c r="I170" s="1" t="s">
        <v>322</v>
      </c>
      <c r="J170" s="1" t="s">
        <v>28</v>
      </c>
      <c r="K170" s="1" t="s">
        <v>29</v>
      </c>
      <c r="L170" s="1" t="s">
        <v>30</v>
      </c>
      <c r="M170" s="1" t="s">
        <v>73</v>
      </c>
      <c r="N170" s="1" t="s">
        <v>74</v>
      </c>
      <c r="O170" s="1" t="s">
        <v>33</v>
      </c>
      <c r="P170" s="3">
        <v>1</v>
      </c>
      <c r="Q170" s="3">
        <v>65.598038000000003</v>
      </c>
      <c r="R170" s="1" t="s">
        <v>34</v>
      </c>
      <c r="S170" s="1" t="s">
        <v>35</v>
      </c>
      <c r="T170" s="1" t="s">
        <v>36</v>
      </c>
      <c r="U170" s="1" t="s">
        <v>37</v>
      </c>
      <c r="V170" s="1" t="s">
        <v>38</v>
      </c>
      <c r="W170" s="1" t="s">
        <v>39</v>
      </c>
      <c r="X170" s="8">
        <f>+IFERROR(VLOOKUP(N170,[1]Hoja1!$B$2:$F$52,4,0)*P170,"")</f>
        <v>1.0483870967741935</v>
      </c>
      <c r="Y170" s="8" t="str">
        <f>+VLOOKUP(M170,[1]SKU!$B$3:$E$81,4,0)</f>
        <v>REGULAR</v>
      </c>
      <c r="Z170" s="8" t="str">
        <f t="shared" si="2"/>
        <v>BEES</v>
      </c>
      <c r="AA170" s="8" t="str">
        <f>+VLOOKUP(I170,[1]SKU!$H$2:$I$97,2,0)</f>
        <v>PE07006</v>
      </c>
    </row>
    <row r="171" spans="1:27">
      <c r="A171" s="1" t="s">
        <v>42</v>
      </c>
      <c r="B171" s="2">
        <v>46295</v>
      </c>
      <c r="C171" s="1" t="s">
        <v>505</v>
      </c>
      <c r="D171" s="1" t="s">
        <v>43</v>
      </c>
      <c r="E171" s="1" t="s">
        <v>506</v>
      </c>
      <c r="F171" s="1" t="s">
        <v>507</v>
      </c>
      <c r="G171" s="1" t="s">
        <v>26</v>
      </c>
      <c r="H171" s="1" t="s">
        <v>27</v>
      </c>
      <c r="I171" s="1" t="s">
        <v>65</v>
      </c>
      <c r="J171" s="1" t="s">
        <v>28</v>
      </c>
      <c r="K171" s="1" t="s">
        <v>29</v>
      </c>
      <c r="L171" s="1" t="s">
        <v>30</v>
      </c>
      <c r="M171" s="1" t="s">
        <v>73</v>
      </c>
      <c r="N171" s="1" t="s">
        <v>74</v>
      </c>
      <c r="O171" s="1" t="s">
        <v>33</v>
      </c>
      <c r="P171" s="3">
        <v>4</v>
      </c>
      <c r="Q171" s="3">
        <v>270.39999999999998</v>
      </c>
      <c r="R171" s="1" t="s">
        <v>34</v>
      </c>
      <c r="S171" s="1" t="s">
        <v>35</v>
      </c>
      <c r="T171" s="1" t="s">
        <v>36</v>
      </c>
      <c r="U171" s="1" t="s">
        <v>37</v>
      </c>
      <c r="V171" s="1" t="s">
        <v>38</v>
      </c>
      <c r="W171" s="1" t="s">
        <v>39</v>
      </c>
      <c r="X171" s="8">
        <f>+IFERROR(VLOOKUP(N171,[1]Hoja1!$B$2:$F$52,4,0)*P171,"")</f>
        <v>4.193548387096774</v>
      </c>
      <c r="Y171" s="8" t="str">
        <f>+VLOOKUP(M171,[1]SKU!$B$3:$E$81,4,0)</f>
        <v>REGULAR</v>
      </c>
      <c r="Z171" s="8" t="str">
        <f t="shared" si="2"/>
        <v>BEES</v>
      </c>
      <c r="AA171" s="8" t="str">
        <f>+VLOOKUP(I171,[1]SKU!$H$2:$I$97,2,0)</f>
        <v>PE07003</v>
      </c>
    </row>
    <row r="172" spans="1:27">
      <c r="A172" s="1" t="s">
        <v>42</v>
      </c>
      <c r="B172" s="2">
        <v>46295</v>
      </c>
      <c r="C172" s="1" t="s">
        <v>264</v>
      </c>
      <c r="D172" s="1" t="s">
        <v>43</v>
      </c>
      <c r="E172" s="1" t="s">
        <v>265</v>
      </c>
      <c r="F172" s="1" t="s">
        <v>266</v>
      </c>
      <c r="G172" s="1" t="s">
        <v>26</v>
      </c>
      <c r="H172" s="1" t="s">
        <v>27</v>
      </c>
      <c r="I172" s="1" t="s">
        <v>267</v>
      </c>
      <c r="J172" s="1" t="s">
        <v>28</v>
      </c>
      <c r="K172" s="1" t="s">
        <v>29</v>
      </c>
      <c r="L172" s="1" t="s">
        <v>30</v>
      </c>
      <c r="M172" s="1" t="s">
        <v>73</v>
      </c>
      <c r="N172" s="1" t="s">
        <v>74</v>
      </c>
      <c r="O172" s="1" t="s">
        <v>33</v>
      </c>
      <c r="P172" s="3">
        <v>10</v>
      </c>
      <c r="Q172" s="3">
        <v>676</v>
      </c>
      <c r="R172" s="1" t="s">
        <v>34</v>
      </c>
      <c r="S172" s="1" t="s">
        <v>35</v>
      </c>
      <c r="T172" s="1" t="s">
        <v>36</v>
      </c>
      <c r="U172" s="1" t="s">
        <v>37</v>
      </c>
      <c r="V172" s="1" t="s">
        <v>38</v>
      </c>
      <c r="W172" s="1" t="s">
        <v>39</v>
      </c>
      <c r="X172" s="8">
        <f>+IFERROR(VLOOKUP(N172,[1]Hoja1!$B$2:$F$52,4,0)*P172,"")</f>
        <v>10.483870967741936</v>
      </c>
      <c r="Y172" s="8" t="str">
        <f>+VLOOKUP(M172,[1]SKU!$B$3:$E$81,4,0)</f>
        <v>REGULAR</v>
      </c>
      <c r="Z172" s="8" t="str">
        <f t="shared" si="2"/>
        <v>BEES</v>
      </c>
      <c r="AA172" s="8" t="str">
        <f>+VLOOKUP(I172,[1]SKU!$H$2:$I$97,2,0)</f>
        <v>PE07006</v>
      </c>
    </row>
    <row r="173" spans="1:27">
      <c r="A173" s="1" t="s">
        <v>42</v>
      </c>
      <c r="B173" s="2">
        <v>46295</v>
      </c>
      <c r="C173" s="1" t="s">
        <v>358</v>
      </c>
      <c r="D173" s="1" t="s">
        <v>43</v>
      </c>
      <c r="E173" s="1" t="s">
        <v>359</v>
      </c>
      <c r="F173" s="1" t="s">
        <v>360</v>
      </c>
      <c r="G173" s="1" t="s">
        <v>26</v>
      </c>
      <c r="H173" s="1" t="s">
        <v>27</v>
      </c>
      <c r="I173" s="1" t="s">
        <v>65</v>
      </c>
      <c r="J173" s="1" t="s">
        <v>28</v>
      </c>
      <c r="K173" s="1" t="s">
        <v>29</v>
      </c>
      <c r="L173" s="1" t="s">
        <v>30</v>
      </c>
      <c r="M173" s="1" t="s">
        <v>73</v>
      </c>
      <c r="N173" s="1" t="s">
        <v>74</v>
      </c>
      <c r="O173" s="1" t="s">
        <v>33</v>
      </c>
      <c r="P173" s="3">
        <v>5</v>
      </c>
      <c r="Q173" s="3">
        <v>338</v>
      </c>
      <c r="R173" s="1" t="s">
        <v>34</v>
      </c>
      <c r="S173" s="1" t="s">
        <v>35</v>
      </c>
      <c r="T173" s="1" t="s">
        <v>36</v>
      </c>
      <c r="U173" s="1" t="s">
        <v>37</v>
      </c>
      <c r="V173" s="1" t="s">
        <v>38</v>
      </c>
      <c r="W173" s="1" t="s">
        <v>39</v>
      </c>
      <c r="X173" s="8">
        <f>+IFERROR(VLOOKUP(N173,[1]Hoja1!$B$2:$F$52,4,0)*P173,"")</f>
        <v>5.241935483870968</v>
      </c>
      <c r="Y173" s="8" t="str">
        <f>+VLOOKUP(M173,[1]SKU!$B$3:$E$81,4,0)</f>
        <v>REGULAR</v>
      </c>
      <c r="Z173" s="8" t="str">
        <f t="shared" si="2"/>
        <v>BEES</v>
      </c>
      <c r="AA173" s="8" t="str">
        <f>+VLOOKUP(I173,[1]SKU!$H$2:$I$97,2,0)</f>
        <v>PE07003</v>
      </c>
    </row>
    <row r="174" spans="1:27">
      <c r="A174" s="1" t="s">
        <v>42</v>
      </c>
      <c r="B174" s="2">
        <v>46295</v>
      </c>
      <c r="C174" s="1" t="s">
        <v>525</v>
      </c>
      <c r="D174" s="1" t="s">
        <v>43</v>
      </c>
      <c r="E174" s="1" t="s">
        <v>526</v>
      </c>
      <c r="F174" s="1" t="s">
        <v>527</v>
      </c>
      <c r="G174" s="1" t="s">
        <v>26</v>
      </c>
      <c r="H174" s="1" t="s">
        <v>27</v>
      </c>
      <c r="I174" s="1" t="s">
        <v>72</v>
      </c>
      <c r="J174" s="1" t="s">
        <v>28</v>
      </c>
      <c r="K174" s="1" t="s">
        <v>29</v>
      </c>
      <c r="L174" s="1" t="s">
        <v>30</v>
      </c>
      <c r="M174" s="1" t="s">
        <v>73</v>
      </c>
      <c r="N174" s="1" t="s">
        <v>74</v>
      </c>
      <c r="O174" s="1" t="s">
        <v>33</v>
      </c>
      <c r="P174" s="3">
        <v>3</v>
      </c>
      <c r="Q174" s="3">
        <v>202.8</v>
      </c>
      <c r="R174" s="1" t="s">
        <v>34</v>
      </c>
      <c r="S174" s="1" t="s">
        <v>35</v>
      </c>
      <c r="T174" s="1" t="s">
        <v>36</v>
      </c>
      <c r="U174" s="1" t="s">
        <v>37</v>
      </c>
      <c r="V174" s="1" t="s">
        <v>38</v>
      </c>
      <c r="W174" s="1" t="s">
        <v>39</v>
      </c>
      <c r="X174" s="8">
        <f>+IFERROR(VLOOKUP(N174,[1]Hoja1!$B$2:$F$52,4,0)*P174,"")</f>
        <v>3.1451612903225805</v>
      </c>
      <c r="Y174" s="8" t="str">
        <f>+VLOOKUP(M174,[1]SKU!$B$3:$E$81,4,0)</f>
        <v>REGULAR</v>
      </c>
      <c r="Z174" s="8" t="str">
        <f t="shared" si="2"/>
        <v>BEES</v>
      </c>
      <c r="AA174" s="8" t="str">
        <f>+VLOOKUP(I174,[1]SKU!$H$2:$I$97,2,0)</f>
        <v>PE07001</v>
      </c>
    </row>
    <row r="175" spans="1:27">
      <c r="A175" s="1" t="s">
        <v>42</v>
      </c>
      <c r="B175" s="2">
        <v>46295</v>
      </c>
      <c r="C175" s="1" t="s">
        <v>528</v>
      </c>
      <c r="D175" s="1" t="s">
        <v>43</v>
      </c>
      <c r="E175" s="1" t="s">
        <v>94</v>
      </c>
      <c r="F175" s="1" t="s">
        <v>95</v>
      </c>
      <c r="G175" s="1" t="s">
        <v>26</v>
      </c>
      <c r="H175" s="1" t="s">
        <v>27</v>
      </c>
      <c r="I175" s="1" t="s">
        <v>65</v>
      </c>
      <c r="J175" s="1" t="s">
        <v>28</v>
      </c>
      <c r="K175" s="1" t="s">
        <v>29</v>
      </c>
      <c r="L175" s="1" t="s">
        <v>30</v>
      </c>
      <c r="M175" s="1" t="s">
        <v>73</v>
      </c>
      <c r="N175" s="1" t="s">
        <v>74</v>
      </c>
      <c r="O175" s="1" t="s">
        <v>33</v>
      </c>
      <c r="P175" s="3">
        <v>4</v>
      </c>
      <c r="Q175" s="3">
        <v>270.39999999999998</v>
      </c>
      <c r="R175" s="1" t="s">
        <v>34</v>
      </c>
      <c r="S175" s="1" t="s">
        <v>35</v>
      </c>
      <c r="T175" s="1" t="s">
        <v>36</v>
      </c>
      <c r="U175" s="1" t="s">
        <v>37</v>
      </c>
      <c r="V175" s="1" t="s">
        <v>38</v>
      </c>
      <c r="W175" s="1" t="s">
        <v>39</v>
      </c>
      <c r="X175" s="8">
        <f>+IFERROR(VLOOKUP(N175,[1]Hoja1!$B$2:$F$52,4,0)*P175,"")</f>
        <v>4.193548387096774</v>
      </c>
      <c r="Y175" s="8" t="str">
        <f>+VLOOKUP(M175,[1]SKU!$B$3:$E$81,4,0)</f>
        <v>REGULAR</v>
      </c>
      <c r="Z175" s="8" t="str">
        <f t="shared" si="2"/>
        <v>BEES</v>
      </c>
      <c r="AA175" s="8" t="str">
        <f>+VLOOKUP(I175,[1]SKU!$H$2:$I$97,2,0)</f>
        <v>PE07003</v>
      </c>
    </row>
    <row r="176" spans="1:27">
      <c r="A176" s="1" t="s">
        <v>42</v>
      </c>
      <c r="B176" s="2">
        <v>46295</v>
      </c>
      <c r="C176" s="1" t="s">
        <v>529</v>
      </c>
      <c r="D176" s="1" t="s">
        <v>43</v>
      </c>
      <c r="E176" s="1" t="s">
        <v>124</v>
      </c>
      <c r="F176" s="1" t="s">
        <v>125</v>
      </c>
      <c r="G176" s="1" t="s">
        <v>26</v>
      </c>
      <c r="H176" s="1" t="s">
        <v>27</v>
      </c>
      <c r="I176" s="1" t="s">
        <v>72</v>
      </c>
      <c r="J176" s="1" t="s">
        <v>28</v>
      </c>
      <c r="K176" s="1" t="s">
        <v>29</v>
      </c>
      <c r="L176" s="1" t="s">
        <v>30</v>
      </c>
      <c r="M176" s="1" t="s">
        <v>73</v>
      </c>
      <c r="N176" s="1" t="s">
        <v>74</v>
      </c>
      <c r="O176" s="1" t="s">
        <v>33</v>
      </c>
      <c r="P176" s="3">
        <v>3</v>
      </c>
      <c r="Q176" s="3">
        <v>202.8</v>
      </c>
      <c r="R176" s="1" t="s">
        <v>34</v>
      </c>
      <c r="S176" s="1" t="s">
        <v>35</v>
      </c>
      <c r="T176" s="1" t="s">
        <v>36</v>
      </c>
      <c r="U176" s="1" t="s">
        <v>37</v>
      </c>
      <c r="V176" s="1" t="s">
        <v>38</v>
      </c>
      <c r="W176" s="1" t="s">
        <v>39</v>
      </c>
      <c r="X176" s="8">
        <f>+IFERROR(VLOOKUP(N176,[1]Hoja1!$B$2:$F$52,4,0)*P176,"")</f>
        <v>3.1451612903225805</v>
      </c>
      <c r="Y176" s="8" t="str">
        <f>+VLOOKUP(M176,[1]SKU!$B$3:$E$81,4,0)</f>
        <v>REGULAR</v>
      </c>
      <c r="Z176" s="8" t="str">
        <f t="shared" si="2"/>
        <v>BEES</v>
      </c>
      <c r="AA176" s="8" t="str">
        <f>+VLOOKUP(I176,[1]SKU!$H$2:$I$97,2,0)</f>
        <v>PE07001</v>
      </c>
    </row>
    <row r="177" spans="1:27">
      <c r="A177" s="1" t="s">
        <v>44</v>
      </c>
      <c r="B177" s="2">
        <v>46295</v>
      </c>
      <c r="C177" s="1" t="s">
        <v>404</v>
      </c>
      <c r="D177" s="1" t="s">
        <v>58</v>
      </c>
      <c r="E177" s="1" t="s">
        <v>405</v>
      </c>
      <c r="F177" s="1" t="s">
        <v>406</v>
      </c>
      <c r="G177" s="1" t="s">
        <v>26</v>
      </c>
      <c r="H177" s="1" t="s">
        <v>27</v>
      </c>
      <c r="I177" s="1" t="s">
        <v>297</v>
      </c>
      <c r="J177" s="1" t="s">
        <v>28</v>
      </c>
      <c r="K177" s="1" t="s">
        <v>29</v>
      </c>
      <c r="L177" s="1" t="s">
        <v>30</v>
      </c>
      <c r="M177" s="1" t="s">
        <v>31</v>
      </c>
      <c r="N177" s="1" t="s">
        <v>32</v>
      </c>
      <c r="O177" s="1" t="s">
        <v>33</v>
      </c>
      <c r="P177" s="3">
        <v>1</v>
      </c>
      <c r="Q177" s="3">
        <v>76.210800000000006</v>
      </c>
      <c r="R177" s="1" t="s">
        <v>34</v>
      </c>
      <c r="S177" s="1" t="s">
        <v>35</v>
      </c>
      <c r="T177" s="1" t="s">
        <v>36</v>
      </c>
      <c r="U177" s="1" t="s">
        <v>37</v>
      </c>
      <c r="V177" s="1" t="s">
        <v>38</v>
      </c>
      <c r="W177" s="1" t="s">
        <v>39</v>
      </c>
      <c r="X177" s="8">
        <f>+IFERROR(VLOOKUP(N177,[1]Hoja1!$B$2:$F$52,4,0)*P177,"")</f>
        <v>1</v>
      </c>
      <c r="Y177" s="8" t="str">
        <f>+VLOOKUP(M177,[1]SKU!$B$3:$E$81,4,0)</f>
        <v>REGULAR</v>
      </c>
      <c r="Z177" s="8" t="str">
        <f t="shared" si="2"/>
        <v>BEES</v>
      </c>
      <c r="AA177" s="8" t="str">
        <f>+VLOOKUP(I177,[1]SKU!$H$2:$I$97,2,0)</f>
        <v>PE07004</v>
      </c>
    </row>
    <row r="178" spans="1:27">
      <c r="A178" s="1" t="s">
        <v>40</v>
      </c>
      <c r="B178" s="2">
        <v>46295</v>
      </c>
      <c r="C178" s="1" t="s">
        <v>468</v>
      </c>
      <c r="D178" s="1" t="s">
        <v>41</v>
      </c>
      <c r="E178" s="1" t="s">
        <v>469</v>
      </c>
      <c r="F178" s="1" t="s">
        <v>470</v>
      </c>
      <c r="G178" s="1" t="s">
        <v>26</v>
      </c>
      <c r="H178" s="1" t="s">
        <v>27</v>
      </c>
      <c r="I178" s="1" t="s">
        <v>132</v>
      </c>
      <c r="J178" s="1" t="s">
        <v>28</v>
      </c>
      <c r="K178" s="1" t="s">
        <v>29</v>
      </c>
      <c r="L178" s="1" t="s">
        <v>30</v>
      </c>
      <c r="M178" s="1" t="s">
        <v>31</v>
      </c>
      <c r="N178" s="1" t="s">
        <v>32</v>
      </c>
      <c r="O178" s="1" t="s">
        <v>33</v>
      </c>
      <c r="P178" s="3">
        <v>4</v>
      </c>
      <c r="Q178" s="3">
        <v>303.29419999999999</v>
      </c>
      <c r="R178" s="1" t="s">
        <v>34</v>
      </c>
      <c r="S178" s="1" t="s">
        <v>35</v>
      </c>
      <c r="T178" s="1" t="s">
        <v>36</v>
      </c>
      <c r="U178" s="1" t="s">
        <v>37</v>
      </c>
      <c r="V178" s="1" t="s">
        <v>38</v>
      </c>
      <c r="W178" s="1" t="s">
        <v>39</v>
      </c>
      <c r="X178" s="8">
        <f>+IFERROR(VLOOKUP(N178,[1]Hoja1!$B$2:$F$52,4,0)*P178,"")</f>
        <v>4</v>
      </c>
      <c r="Y178" s="8" t="str">
        <f>+VLOOKUP(M178,[1]SKU!$B$3:$E$81,4,0)</f>
        <v>REGULAR</v>
      </c>
      <c r="Z178" s="8" t="str">
        <f t="shared" si="2"/>
        <v>BEES</v>
      </c>
      <c r="AA178" s="8" t="str">
        <f>+VLOOKUP(I178,[1]SKU!$H$2:$I$97,2,0)</f>
        <v>PE07009</v>
      </c>
    </row>
    <row r="179" spans="1:27">
      <c r="A179" s="1" t="s">
        <v>42</v>
      </c>
      <c r="B179" s="2">
        <v>46295</v>
      </c>
      <c r="C179" s="1" t="s">
        <v>505</v>
      </c>
      <c r="D179" s="1" t="s">
        <v>43</v>
      </c>
      <c r="E179" s="1" t="s">
        <v>506</v>
      </c>
      <c r="F179" s="1" t="s">
        <v>507</v>
      </c>
      <c r="G179" s="1" t="s">
        <v>26</v>
      </c>
      <c r="H179" s="1" t="s">
        <v>27</v>
      </c>
      <c r="I179" s="1" t="s">
        <v>65</v>
      </c>
      <c r="J179" s="1" t="s">
        <v>28</v>
      </c>
      <c r="K179" s="1" t="s">
        <v>29</v>
      </c>
      <c r="L179" s="1" t="s">
        <v>30</v>
      </c>
      <c r="M179" s="1" t="s">
        <v>31</v>
      </c>
      <c r="N179" s="1" t="s">
        <v>32</v>
      </c>
      <c r="O179" s="1" t="s">
        <v>33</v>
      </c>
      <c r="P179" s="3">
        <v>1</v>
      </c>
      <c r="Q179" s="3">
        <v>76.210800000000006</v>
      </c>
      <c r="R179" s="1" t="s">
        <v>34</v>
      </c>
      <c r="S179" s="1" t="s">
        <v>35</v>
      </c>
      <c r="T179" s="1" t="s">
        <v>36</v>
      </c>
      <c r="U179" s="1" t="s">
        <v>37</v>
      </c>
      <c r="V179" s="1" t="s">
        <v>38</v>
      </c>
      <c r="W179" s="1" t="s">
        <v>39</v>
      </c>
      <c r="X179" s="8">
        <f>+IFERROR(VLOOKUP(N179,[1]Hoja1!$B$2:$F$52,4,0)*P179,"")</f>
        <v>1</v>
      </c>
      <c r="Y179" s="8" t="str">
        <f>+VLOOKUP(M179,[1]SKU!$B$3:$E$81,4,0)</f>
        <v>REGULAR</v>
      </c>
      <c r="Z179" s="8" t="str">
        <f t="shared" si="2"/>
        <v>BEES</v>
      </c>
      <c r="AA179" s="8" t="str">
        <f>+VLOOKUP(I179,[1]SKU!$H$2:$I$97,2,0)</f>
        <v>PE07003</v>
      </c>
    </row>
    <row r="180" spans="1:27">
      <c r="A180" s="1" t="s">
        <v>42</v>
      </c>
      <c r="B180" s="2">
        <v>46295</v>
      </c>
      <c r="C180" s="1" t="s">
        <v>502</v>
      </c>
      <c r="D180" s="1" t="s">
        <v>43</v>
      </c>
      <c r="E180" s="1" t="s">
        <v>503</v>
      </c>
      <c r="F180" s="1" t="s">
        <v>504</v>
      </c>
      <c r="G180" s="1" t="s">
        <v>26</v>
      </c>
      <c r="H180" s="1" t="s">
        <v>27</v>
      </c>
      <c r="I180" s="1" t="s">
        <v>72</v>
      </c>
      <c r="J180" s="1" t="s">
        <v>28</v>
      </c>
      <c r="K180" s="1" t="s">
        <v>29</v>
      </c>
      <c r="L180" s="1" t="s">
        <v>30</v>
      </c>
      <c r="M180" s="1" t="s">
        <v>31</v>
      </c>
      <c r="N180" s="1" t="s">
        <v>32</v>
      </c>
      <c r="O180" s="1" t="s">
        <v>33</v>
      </c>
      <c r="P180" s="3">
        <v>1</v>
      </c>
      <c r="Q180" s="3">
        <v>74.323530000000005</v>
      </c>
      <c r="R180" s="1" t="s">
        <v>34</v>
      </c>
      <c r="S180" s="1" t="s">
        <v>35</v>
      </c>
      <c r="T180" s="1" t="s">
        <v>36</v>
      </c>
      <c r="U180" s="1" t="s">
        <v>37</v>
      </c>
      <c r="V180" s="1" t="s">
        <v>38</v>
      </c>
      <c r="W180" s="1" t="s">
        <v>39</v>
      </c>
      <c r="X180" s="8">
        <f>+IFERROR(VLOOKUP(N180,[1]Hoja1!$B$2:$F$52,4,0)*P180,"")</f>
        <v>1</v>
      </c>
      <c r="Y180" s="8" t="str">
        <f>+VLOOKUP(M180,[1]SKU!$B$3:$E$81,4,0)</f>
        <v>REGULAR</v>
      </c>
      <c r="Z180" s="8" t="str">
        <f t="shared" si="2"/>
        <v>BEES</v>
      </c>
      <c r="AA180" s="8" t="str">
        <f>+VLOOKUP(I180,[1]SKU!$H$2:$I$97,2,0)</f>
        <v>PE07001</v>
      </c>
    </row>
    <row r="181" spans="1:27">
      <c r="A181" s="1" t="s">
        <v>24</v>
      </c>
      <c r="B181" s="2">
        <v>46295</v>
      </c>
      <c r="C181" s="1" t="s">
        <v>339</v>
      </c>
      <c r="D181" s="1" t="s">
        <v>25</v>
      </c>
      <c r="E181" s="1" t="s">
        <v>340</v>
      </c>
      <c r="F181" s="1" t="s">
        <v>341</v>
      </c>
      <c r="G181" s="1" t="s">
        <v>26</v>
      </c>
      <c r="H181" s="1" t="s">
        <v>27</v>
      </c>
      <c r="I181" s="1" t="s">
        <v>53</v>
      </c>
      <c r="J181" s="1" t="s">
        <v>28</v>
      </c>
      <c r="K181" s="1" t="s">
        <v>29</v>
      </c>
      <c r="L181" s="1" t="s">
        <v>30</v>
      </c>
      <c r="M181" s="1" t="s">
        <v>31</v>
      </c>
      <c r="N181" s="1" t="s">
        <v>32</v>
      </c>
      <c r="O181" s="1" t="s">
        <v>33</v>
      </c>
      <c r="P181" s="3">
        <v>1</v>
      </c>
      <c r="Q181" s="3">
        <v>76.210800000000006</v>
      </c>
      <c r="R181" s="1" t="s">
        <v>34</v>
      </c>
      <c r="S181" s="1" t="s">
        <v>35</v>
      </c>
      <c r="T181" s="1" t="s">
        <v>36</v>
      </c>
      <c r="U181" s="1" t="s">
        <v>37</v>
      </c>
      <c r="V181" s="1" t="s">
        <v>38</v>
      </c>
      <c r="W181" s="1" t="s">
        <v>39</v>
      </c>
      <c r="X181" s="8">
        <f>+IFERROR(VLOOKUP(N181,[1]Hoja1!$B$2:$F$52,4,0)*P181,"")</f>
        <v>1</v>
      </c>
      <c r="Y181" s="8" t="str">
        <f>+VLOOKUP(M181,[1]SKU!$B$3:$E$81,4,0)</f>
        <v>REGULAR</v>
      </c>
      <c r="Z181" s="8" t="str">
        <f t="shared" si="2"/>
        <v>BEES</v>
      </c>
      <c r="AA181" s="8" t="str">
        <f>+VLOOKUP(I181,[1]SKU!$H$2:$I$97,2,0)</f>
        <v>PE07010</v>
      </c>
    </row>
    <row r="182" spans="1:27">
      <c r="A182" s="1" t="s">
        <v>24</v>
      </c>
      <c r="B182" s="2">
        <v>46295</v>
      </c>
      <c r="C182" s="1" t="s">
        <v>530</v>
      </c>
      <c r="D182" s="1" t="s">
        <v>25</v>
      </c>
      <c r="E182" s="1" t="s">
        <v>531</v>
      </c>
      <c r="F182" s="1" t="s">
        <v>532</v>
      </c>
      <c r="G182" s="1" t="s">
        <v>26</v>
      </c>
      <c r="H182" s="1" t="s">
        <v>27</v>
      </c>
      <c r="I182" s="1" t="s">
        <v>64</v>
      </c>
      <c r="J182" s="1" t="s">
        <v>28</v>
      </c>
      <c r="K182" s="1" t="s">
        <v>29</v>
      </c>
      <c r="L182" s="1" t="s">
        <v>30</v>
      </c>
      <c r="M182" s="1" t="s">
        <v>31</v>
      </c>
      <c r="N182" s="1" t="s">
        <v>32</v>
      </c>
      <c r="O182" s="1" t="s">
        <v>33</v>
      </c>
      <c r="P182" s="3">
        <v>1</v>
      </c>
      <c r="Q182" s="3">
        <v>76.210800000000006</v>
      </c>
      <c r="R182" s="1" t="s">
        <v>34</v>
      </c>
      <c r="S182" s="1" t="s">
        <v>35</v>
      </c>
      <c r="T182" s="1" t="s">
        <v>36</v>
      </c>
      <c r="U182" s="1" t="s">
        <v>37</v>
      </c>
      <c r="V182" s="1" t="s">
        <v>38</v>
      </c>
      <c r="W182" s="1" t="s">
        <v>39</v>
      </c>
      <c r="X182" s="8">
        <f>+IFERROR(VLOOKUP(N182,[1]Hoja1!$B$2:$F$52,4,0)*P182,"")</f>
        <v>1</v>
      </c>
      <c r="Y182" s="8" t="str">
        <f>+VLOOKUP(M182,[1]SKU!$B$3:$E$81,4,0)</f>
        <v>REGULAR</v>
      </c>
      <c r="Z182" s="8" t="str">
        <f t="shared" si="2"/>
        <v>BEES</v>
      </c>
      <c r="AA182" s="8" t="str">
        <f>+VLOOKUP(I182,[1]SKU!$H$2:$I$97,2,0)</f>
        <v>PE07012</v>
      </c>
    </row>
    <row r="183" spans="1:27">
      <c r="A183" s="1" t="s">
        <v>40</v>
      </c>
      <c r="B183" s="2">
        <v>46295</v>
      </c>
      <c r="C183" s="1" t="s">
        <v>289</v>
      </c>
      <c r="D183" s="1" t="s">
        <v>41</v>
      </c>
      <c r="E183" s="1" t="s">
        <v>133</v>
      </c>
      <c r="F183" s="1" t="s">
        <v>134</v>
      </c>
      <c r="G183" s="1" t="s">
        <v>26</v>
      </c>
      <c r="H183" s="1" t="s">
        <v>27</v>
      </c>
      <c r="I183" s="1" t="s">
        <v>132</v>
      </c>
      <c r="J183" s="1" t="s">
        <v>28</v>
      </c>
      <c r="K183" s="1" t="s">
        <v>29</v>
      </c>
      <c r="L183" s="1" t="s">
        <v>30</v>
      </c>
      <c r="M183" s="1" t="s">
        <v>31</v>
      </c>
      <c r="N183" s="1" t="s">
        <v>32</v>
      </c>
      <c r="O183" s="1" t="s">
        <v>33</v>
      </c>
      <c r="P183" s="3">
        <v>2</v>
      </c>
      <c r="Q183" s="3">
        <v>148.08439999999999</v>
      </c>
      <c r="R183" s="1" t="s">
        <v>34</v>
      </c>
      <c r="S183" s="1" t="s">
        <v>35</v>
      </c>
      <c r="T183" s="1" t="s">
        <v>36</v>
      </c>
      <c r="U183" s="1" t="s">
        <v>37</v>
      </c>
      <c r="V183" s="1" t="s">
        <v>38</v>
      </c>
      <c r="W183" s="1" t="s">
        <v>39</v>
      </c>
      <c r="X183" s="8">
        <f>+IFERROR(VLOOKUP(N183,[1]Hoja1!$B$2:$F$52,4,0)*P183,"")</f>
        <v>2</v>
      </c>
      <c r="Y183" s="8" t="str">
        <f>+VLOOKUP(M183,[1]SKU!$B$3:$E$81,4,0)</f>
        <v>REGULAR</v>
      </c>
      <c r="Z183" s="8" t="str">
        <f t="shared" si="2"/>
        <v>BEES</v>
      </c>
      <c r="AA183" s="8" t="str">
        <f>+VLOOKUP(I183,[1]SKU!$H$2:$I$97,2,0)</f>
        <v>PE07009</v>
      </c>
    </row>
    <row r="184" spans="1:27">
      <c r="A184" s="1" t="s">
        <v>40</v>
      </c>
      <c r="B184" s="2">
        <v>46295</v>
      </c>
      <c r="C184" s="1" t="s">
        <v>533</v>
      </c>
      <c r="D184" s="1" t="s">
        <v>41</v>
      </c>
      <c r="E184" s="1" t="s">
        <v>534</v>
      </c>
      <c r="F184" s="1" t="s">
        <v>535</v>
      </c>
      <c r="G184" s="1" t="s">
        <v>26</v>
      </c>
      <c r="H184" s="1" t="s">
        <v>27</v>
      </c>
      <c r="I184" s="1" t="s">
        <v>132</v>
      </c>
      <c r="J184" s="1" t="s">
        <v>28</v>
      </c>
      <c r="K184" s="1" t="s">
        <v>29</v>
      </c>
      <c r="L184" s="1" t="s">
        <v>30</v>
      </c>
      <c r="M184" s="1" t="s">
        <v>49</v>
      </c>
      <c r="N184" s="1" t="s">
        <v>50</v>
      </c>
      <c r="O184" s="1" t="s">
        <v>33</v>
      </c>
      <c r="P184" s="3">
        <v>5</v>
      </c>
      <c r="Q184" s="3">
        <v>364.2</v>
      </c>
      <c r="R184" s="1" t="s">
        <v>34</v>
      </c>
      <c r="S184" s="1" t="s">
        <v>35</v>
      </c>
      <c r="T184" s="1" t="s">
        <v>36</v>
      </c>
      <c r="U184" s="1" t="s">
        <v>37</v>
      </c>
      <c r="V184" s="1" t="s">
        <v>38</v>
      </c>
      <c r="W184" s="1" t="s">
        <v>39</v>
      </c>
      <c r="X184" s="8">
        <f>+IFERROR(VLOOKUP(N184,[1]Hoja1!$B$2:$F$52,4,0)*P184,"")</f>
        <v>5.0806451612903221</v>
      </c>
      <c r="Y184" s="8" t="str">
        <f>+VLOOKUP(M184,[1]SKU!$B$3:$E$81,4,0)</f>
        <v>REGULAR</v>
      </c>
      <c r="Z184" s="8" t="str">
        <f t="shared" si="2"/>
        <v>BEES</v>
      </c>
      <c r="AA184" s="8" t="str">
        <f>+VLOOKUP(I184,[1]SKU!$H$2:$I$97,2,0)</f>
        <v>PE07009</v>
      </c>
    </row>
    <row r="185" spans="1:27">
      <c r="A185" s="1" t="s">
        <v>51</v>
      </c>
      <c r="B185" s="2">
        <v>46295</v>
      </c>
      <c r="C185" s="1" t="s">
        <v>235</v>
      </c>
      <c r="D185" s="1" t="s">
        <v>52</v>
      </c>
      <c r="E185" s="1" t="s">
        <v>236</v>
      </c>
      <c r="F185" s="1" t="s">
        <v>237</v>
      </c>
      <c r="G185" s="1" t="s">
        <v>26</v>
      </c>
      <c r="H185" s="1" t="s">
        <v>27</v>
      </c>
      <c r="I185" s="1" t="s">
        <v>238</v>
      </c>
      <c r="J185" s="1" t="s">
        <v>28</v>
      </c>
      <c r="K185" s="1" t="s">
        <v>29</v>
      </c>
      <c r="L185" s="1" t="s">
        <v>30</v>
      </c>
      <c r="M185" s="1" t="s">
        <v>49</v>
      </c>
      <c r="N185" s="1" t="s">
        <v>50</v>
      </c>
      <c r="O185" s="1" t="s">
        <v>33</v>
      </c>
      <c r="P185" s="3">
        <v>1</v>
      </c>
      <c r="Q185" s="3">
        <v>71.637254999999996</v>
      </c>
      <c r="R185" s="1" t="s">
        <v>34</v>
      </c>
      <c r="S185" s="1" t="s">
        <v>35</v>
      </c>
      <c r="T185" s="1" t="s">
        <v>36</v>
      </c>
      <c r="U185" s="1" t="s">
        <v>37</v>
      </c>
      <c r="V185" s="1" t="s">
        <v>38</v>
      </c>
      <c r="W185" s="1" t="s">
        <v>39</v>
      </c>
      <c r="X185" s="8">
        <f>+IFERROR(VLOOKUP(N185,[1]Hoja1!$B$2:$F$52,4,0)*P185,"")</f>
        <v>1.0161290322580645</v>
      </c>
      <c r="Y185" s="8" t="str">
        <f>+VLOOKUP(M185,[1]SKU!$B$3:$E$81,4,0)</f>
        <v>REGULAR</v>
      </c>
      <c r="Z185" s="8" t="str">
        <f t="shared" si="2"/>
        <v>BEES</v>
      </c>
      <c r="AA185" s="8" t="str">
        <f>+VLOOKUP(I185,[1]SKU!$H$2:$I$97,2,0)</f>
        <v>PE07011</v>
      </c>
    </row>
    <row r="186" spans="1:27">
      <c r="A186" s="1" t="s">
        <v>40</v>
      </c>
      <c r="B186" s="2">
        <v>46295</v>
      </c>
      <c r="C186" s="1" t="s">
        <v>367</v>
      </c>
      <c r="D186" s="1" t="s">
        <v>41</v>
      </c>
      <c r="E186" s="1" t="s">
        <v>368</v>
      </c>
      <c r="F186" s="1" t="s">
        <v>369</v>
      </c>
      <c r="G186" s="1" t="s">
        <v>26</v>
      </c>
      <c r="H186" s="1" t="s">
        <v>27</v>
      </c>
      <c r="I186" s="1" t="s">
        <v>132</v>
      </c>
      <c r="J186" s="1" t="s">
        <v>28</v>
      </c>
      <c r="K186" s="1" t="s">
        <v>29</v>
      </c>
      <c r="L186" s="1" t="s">
        <v>30</v>
      </c>
      <c r="M186" s="1" t="s">
        <v>49</v>
      </c>
      <c r="N186" s="1" t="s">
        <v>50</v>
      </c>
      <c r="O186" s="1" t="s">
        <v>33</v>
      </c>
      <c r="P186" s="3">
        <v>3</v>
      </c>
      <c r="Q186" s="3">
        <v>218.52</v>
      </c>
      <c r="R186" s="1" t="s">
        <v>34</v>
      </c>
      <c r="S186" s="1" t="s">
        <v>35</v>
      </c>
      <c r="T186" s="1" t="s">
        <v>36</v>
      </c>
      <c r="U186" s="1" t="s">
        <v>37</v>
      </c>
      <c r="V186" s="1" t="s">
        <v>38</v>
      </c>
      <c r="W186" s="1" t="s">
        <v>39</v>
      </c>
      <c r="X186" s="8">
        <f>+IFERROR(VLOOKUP(N186,[1]Hoja1!$B$2:$F$52,4,0)*P186,"")</f>
        <v>3.0483870967741935</v>
      </c>
      <c r="Y186" s="8" t="str">
        <f>+VLOOKUP(M186,[1]SKU!$B$3:$E$81,4,0)</f>
        <v>REGULAR</v>
      </c>
      <c r="Z186" s="8" t="str">
        <f t="shared" si="2"/>
        <v>BEES</v>
      </c>
      <c r="AA186" s="8" t="str">
        <f>+VLOOKUP(I186,[1]SKU!$H$2:$I$97,2,0)</f>
        <v>PE07009</v>
      </c>
    </row>
    <row r="187" spans="1:27">
      <c r="A187" s="1" t="s">
        <v>40</v>
      </c>
      <c r="B187" s="2">
        <v>46295</v>
      </c>
      <c r="C187" s="1" t="s">
        <v>536</v>
      </c>
      <c r="D187" s="1" t="s">
        <v>41</v>
      </c>
      <c r="E187" s="1" t="s">
        <v>537</v>
      </c>
      <c r="F187" s="1" t="s">
        <v>538</v>
      </c>
      <c r="G187" s="1" t="s">
        <v>26</v>
      </c>
      <c r="H187" s="1" t="s">
        <v>27</v>
      </c>
      <c r="I187" s="1" t="s">
        <v>539</v>
      </c>
      <c r="J187" s="1" t="s">
        <v>28</v>
      </c>
      <c r="K187" s="1" t="s">
        <v>29</v>
      </c>
      <c r="L187" s="1" t="s">
        <v>30</v>
      </c>
      <c r="M187" s="1" t="s">
        <v>49</v>
      </c>
      <c r="N187" s="1" t="s">
        <v>50</v>
      </c>
      <c r="O187" s="1" t="s">
        <v>33</v>
      </c>
      <c r="P187" s="3">
        <v>3</v>
      </c>
      <c r="Q187" s="3">
        <v>218.52</v>
      </c>
      <c r="R187" s="1" t="s">
        <v>34</v>
      </c>
      <c r="S187" s="1" t="s">
        <v>35</v>
      </c>
      <c r="T187" s="1" t="s">
        <v>36</v>
      </c>
      <c r="U187" s="1" t="s">
        <v>37</v>
      </c>
      <c r="V187" s="1" t="s">
        <v>38</v>
      </c>
      <c r="W187" s="1" t="s">
        <v>39</v>
      </c>
      <c r="X187" s="8">
        <f>+IFERROR(VLOOKUP(N187,[1]Hoja1!$B$2:$F$52,4,0)*P187,"")</f>
        <v>3.0483870967741935</v>
      </c>
      <c r="Y187" s="8" t="str">
        <f>+VLOOKUP(M187,[1]SKU!$B$3:$E$81,4,0)</f>
        <v>REGULAR</v>
      </c>
      <c r="Z187" s="8" t="str">
        <f t="shared" si="2"/>
        <v>BEES</v>
      </c>
      <c r="AA187" s="8" t="str">
        <f>+VLOOKUP(I187,[1]SKU!$H$2:$I$97,2,0)</f>
        <v>PE07009</v>
      </c>
    </row>
    <row r="188" spans="1:27">
      <c r="A188" s="1" t="s">
        <v>42</v>
      </c>
      <c r="B188" s="2">
        <v>46295</v>
      </c>
      <c r="C188" s="1" t="s">
        <v>492</v>
      </c>
      <c r="D188" s="1" t="s">
        <v>43</v>
      </c>
      <c r="E188" s="1" t="s">
        <v>176</v>
      </c>
      <c r="F188" s="1" t="s">
        <v>177</v>
      </c>
      <c r="G188" s="1" t="s">
        <v>26</v>
      </c>
      <c r="H188" s="1" t="s">
        <v>27</v>
      </c>
      <c r="I188" s="1" t="s">
        <v>65</v>
      </c>
      <c r="J188" s="1" t="s">
        <v>28</v>
      </c>
      <c r="K188" s="1" t="s">
        <v>29</v>
      </c>
      <c r="L188" s="1" t="s">
        <v>30</v>
      </c>
      <c r="M188" s="1" t="s">
        <v>49</v>
      </c>
      <c r="N188" s="1" t="s">
        <v>50</v>
      </c>
      <c r="O188" s="1" t="s">
        <v>33</v>
      </c>
      <c r="P188" s="3">
        <v>1</v>
      </c>
      <c r="Q188" s="3">
        <v>72.840001000000001</v>
      </c>
      <c r="R188" s="1" t="s">
        <v>34</v>
      </c>
      <c r="S188" s="1" t="s">
        <v>35</v>
      </c>
      <c r="T188" s="1" t="s">
        <v>36</v>
      </c>
      <c r="U188" s="1" t="s">
        <v>37</v>
      </c>
      <c r="V188" s="1" t="s">
        <v>38</v>
      </c>
      <c r="W188" s="1" t="s">
        <v>39</v>
      </c>
      <c r="X188" s="8">
        <f>+IFERROR(VLOOKUP(N188,[1]Hoja1!$B$2:$F$52,4,0)*P188,"")</f>
        <v>1.0161290322580645</v>
      </c>
      <c r="Y188" s="8" t="str">
        <f>+VLOOKUP(M188,[1]SKU!$B$3:$E$81,4,0)</f>
        <v>REGULAR</v>
      </c>
      <c r="Z188" s="8" t="str">
        <f t="shared" si="2"/>
        <v>BEES</v>
      </c>
      <c r="AA188" s="8" t="str">
        <f>+VLOOKUP(I188,[1]SKU!$H$2:$I$97,2,0)</f>
        <v>PE07003</v>
      </c>
    </row>
    <row r="189" spans="1:27">
      <c r="A189" s="1" t="s">
        <v>40</v>
      </c>
      <c r="B189" s="2">
        <v>46295</v>
      </c>
      <c r="C189" s="1" t="s">
        <v>419</v>
      </c>
      <c r="D189" s="1" t="s">
        <v>41</v>
      </c>
      <c r="E189" s="1" t="s">
        <v>420</v>
      </c>
      <c r="F189" s="1" t="s">
        <v>421</v>
      </c>
      <c r="G189" s="1" t="s">
        <v>26</v>
      </c>
      <c r="H189" s="1" t="s">
        <v>27</v>
      </c>
      <c r="I189" s="1" t="s">
        <v>422</v>
      </c>
      <c r="J189" s="1" t="s">
        <v>28</v>
      </c>
      <c r="K189" s="1" t="s">
        <v>29</v>
      </c>
      <c r="L189" s="1" t="s">
        <v>30</v>
      </c>
      <c r="M189" s="1" t="s">
        <v>49</v>
      </c>
      <c r="N189" s="1" t="s">
        <v>50</v>
      </c>
      <c r="O189" s="1" t="s">
        <v>33</v>
      </c>
      <c r="P189" s="3">
        <v>5</v>
      </c>
      <c r="Q189" s="3">
        <v>364.2</v>
      </c>
      <c r="R189" s="1" t="s">
        <v>34</v>
      </c>
      <c r="S189" s="1" t="s">
        <v>35</v>
      </c>
      <c r="T189" s="1" t="s">
        <v>36</v>
      </c>
      <c r="U189" s="1" t="s">
        <v>37</v>
      </c>
      <c r="V189" s="1" t="s">
        <v>38</v>
      </c>
      <c r="W189" s="1" t="s">
        <v>39</v>
      </c>
      <c r="X189" s="8">
        <f>+IFERROR(VLOOKUP(N189,[1]Hoja1!$B$2:$F$52,4,0)*P189,"")</f>
        <v>5.0806451612903221</v>
      </c>
      <c r="Y189" s="8" t="str">
        <f>+VLOOKUP(M189,[1]SKU!$B$3:$E$81,4,0)</f>
        <v>REGULAR</v>
      </c>
      <c r="Z189" s="8" t="str">
        <f t="shared" si="2"/>
        <v>BEES</v>
      </c>
      <c r="AA189" s="8" t="str">
        <f>+VLOOKUP(I189,[1]SKU!$H$2:$I$97,2,0)</f>
        <v>PE07009</v>
      </c>
    </row>
    <row r="190" spans="1:27">
      <c r="A190" s="1" t="s">
        <v>44</v>
      </c>
      <c r="B190" s="2">
        <v>46295</v>
      </c>
      <c r="C190" s="1" t="s">
        <v>355</v>
      </c>
      <c r="D190" s="1" t="s">
        <v>58</v>
      </c>
      <c r="E190" s="1" t="s">
        <v>356</v>
      </c>
      <c r="F190" s="1" t="s">
        <v>357</v>
      </c>
      <c r="G190" s="1" t="s">
        <v>26</v>
      </c>
      <c r="H190" s="1" t="s">
        <v>27</v>
      </c>
      <c r="I190" s="1" t="s">
        <v>297</v>
      </c>
      <c r="J190" s="1" t="s">
        <v>28</v>
      </c>
      <c r="K190" s="1" t="s">
        <v>29</v>
      </c>
      <c r="L190" s="1" t="s">
        <v>30</v>
      </c>
      <c r="M190" s="1" t="s">
        <v>49</v>
      </c>
      <c r="N190" s="1" t="s">
        <v>50</v>
      </c>
      <c r="O190" s="1" t="s">
        <v>33</v>
      </c>
      <c r="P190" s="3">
        <v>4</v>
      </c>
      <c r="Q190" s="3">
        <v>291.36</v>
      </c>
      <c r="R190" s="1" t="s">
        <v>34</v>
      </c>
      <c r="S190" s="1" t="s">
        <v>35</v>
      </c>
      <c r="T190" s="1" t="s">
        <v>36</v>
      </c>
      <c r="U190" s="1" t="s">
        <v>37</v>
      </c>
      <c r="V190" s="1" t="s">
        <v>38</v>
      </c>
      <c r="W190" s="1" t="s">
        <v>39</v>
      </c>
      <c r="X190" s="8">
        <f>+IFERROR(VLOOKUP(N190,[1]Hoja1!$B$2:$F$52,4,0)*P190,"")</f>
        <v>4.064516129032258</v>
      </c>
      <c r="Y190" s="8" t="str">
        <f>+VLOOKUP(M190,[1]SKU!$B$3:$E$81,4,0)</f>
        <v>REGULAR</v>
      </c>
      <c r="Z190" s="8" t="str">
        <f t="shared" si="2"/>
        <v>BEES</v>
      </c>
      <c r="AA190" s="8" t="str">
        <f>+VLOOKUP(I190,[1]SKU!$H$2:$I$97,2,0)</f>
        <v>PE07004</v>
      </c>
    </row>
    <row r="191" spans="1:27">
      <c r="A191" s="1" t="s">
        <v>42</v>
      </c>
      <c r="B191" s="2">
        <v>46295</v>
      </c>
      <c r="C191" s="1" t="s">
        <v>272</v>
      </c>
      <c r="D191" s="1" t="s">
        <v>43</v>
      </c>
      <c r="E191" s="1" t="s">
        <v>273</v>
      </c>
      <c r="F191" s="1" t="s">
        <v>274</v>
      </c>
      <c r="G191" s="1" t="s">
        <v>26</v>
      </c>
      <c r="H191" s="1" t="s">
        <v>27</v>
      </c>
      <c r="I191" s="1" t="s">
        <v>65</v>
      </c>
      <c r="J191" s="1" t="s">
        <v>28</v>
      </c>
      <c r="K191" s="1" t="s">
        <v>29</v>
      </c>
      <c r="L191" s="1" t="s">
        <v>30</v>
      </c>
      <c r="M191" s="1" t="s">
        <v>73</v>
      </c>
      <c r="N191" s="1" t="s">
        <v>74</v>
      </c>
      <c r="O191" s="1" t="s">
        <v>33</v>
      </c>
      <c r="P191" s="3">
        <v>20</v>
      </c>
      <c r="Q191" s="3">
        <v>1352</v>
      </c>
      <c r="R191" s="1" t="s">
        <v>34</v>
      </c>
      <c r="S191" s="1" t="s">
        <v>35</v>
      </c>
      <c r="T191" s="1" t="s">
        <v>36</v>
      </c>
      <c r="U191" s="1" t="s">
        <v>37</v>
      </c>
      <c r="V191" s="1" t="s">
        <v>38</v>
      </c>
      <c r="W191" s="1" t="s">
        <v>39</v>
      </c>
      <c r="X191" s="8">
        <f>+IFERROR(VLOOKUP(N191,[1]Hoja1!$B$2:$F$52,4,0)*P191,"")</f>
        <v>20.967741935483872</v>
      </c>
      <c r="Y191" s="8" t="str">
        <f>+VLOOKUP(M191,[1]SKU!$B$3:$E$81,4,0)</f>
        <v>REGULAR</v>
      </c>
      <c r="Z191" s="8" t="str">
        <f t="shared" si="2"/>
        <v>BEES</v>
      </c>
      <c r="AA191" s="8" t="str">
        <f>+VLOOKUP(I191,[1]SKU!$H$2:$I$97,2,0)</f>
        <v>PE07003</v>
      </c>
    </row>
    <row r="192" spans="1:27">
      <c r="A192" s="1" t="s">
        <v>42</v>
      </c>
      <c r="B192" s="2">
        <v>46295</v>
      </c>
      <c r="C192" s="1" t="s">
        <v>540</v>
      </c>
      <c r="D192" s="1" t="s">
        <v>43</v>
      </c>
      <c r="E192" s="1" t="s">
        <v>541</v>
      </c>
      <c r="F192" s="1" t="s">
        <v>542</v>
      </c>
      <c r="G192" s="1" t="s">
        <v>26</v>
      </c>
      <c r="H192" s="1" t="s">
        <v>27</v>
      </c>
      <c r="I192" s="1" t="s">
        <v>180</v>
      </c>
      <c r="J192" s="1" t="s">
        <v>28</v>
      </c>
      <c r="K192" s="1" t="s">
        <v>29</v>
      </c>
      <c r="L192" s="1" t="s">
        <v>30</v>
      </c>
      <c r="M192" s="1" t="s">
        <v>73</v>
      </c>
      <c r="N192" s="1" t="s">
        <v>74</v>
      </c>
      <c r="O192" s="1" t="s">
        <v>33</v>
      </c>
      <c r="P192" s="3">
        <v>6</v>
      </c>
      <c r="Q192" s="3">
        <v>405.60000100000002</v>
      </c>
      <c r="R192" s="1" t="s">
        <v>34</v>
      </c>
      <c r="S192" s="1" t="s">
        <v>35</v>
      </c>
      <c r="T192" s="1" t="s">
        <v>36</v>
      </c>
      <c r="U192" s="1" t="s">
        <v>37</v>
      </c>
      <c r="V192" s="1" t="s">
        <v>38</v>
      </c>
      <c r="W192" s="1" t="s">
        <v>39</v>
      </c>
      <c r="X192" s="8">
        <f>+IFERROR(VLOOKUP(N192,[1]Hoja1!$B$2:$F$52,4,0)*P192,"")</f>
        <v>6.290322580645161</v>
      </c>
      <c r="Y192" s="8" t="str">
        <f>+VLOOKUP(M192,[1]SKU!$B$3:$E$81,4,0)</f>
        <v>REGULAR</v>
      </c>
      <c r="Z192" s="8" t="str">
        <f t="shared" si="2"/>
        <v>BEES</v>
      </c>
      <c r="AA192" s="8" t="str">
        <f>+VLOOKUP(I192,[1]SKU!$H$2:$I$97,2,0)</f>
        <v>PE07002</v>
      </c>
    </row>
    <row r="193" spans="1:27">
      <c r="A193" s="1" t="s">
        <v>42</v>
      </c>
      <c r="B193" s="2">
        <v>46295</v>
      </c>
      <c r="C193" s="1" t="s">
        <v>509</v>
      </c>
      <c r="D193" s="1" t="s">
        <v>43</v>
      </c>
      <c r="E193" s="1" t="s">
        <v>151</v>
      </c>
      <c r="F193" s="1" t="s">
        <v>152</v>
      </c>
      <c r="G193" s="1" t="s">
        <v>26</v>
      </c>
      <c r="H193" s="1" t="s">
        <v>27</v>
      </c>
      <c r="I193" s="1" t="s">
        <v>72</v>
      </c>
      <c r="J193" s="1" t="s">
        <v>28</v>
      </c>
      <c r="K193" s="1" t="s">
        <v>29</v>
      </c>
      <c r="L193" s="1" t="s">
        <v>30</v>
      </c>
      <c r="M193" s="1" t="s">
        <v>73</v>
      </c>
      <c r="N193" s="1" t="s">
        <v>74</v>
      </c>
      <c r="O193" s="1" t="s">
        <v>33</v>
      </c>
      <c r="P193" s="3">
        <v>4</v>
      </c>
      <c r="Q193" s="3">
        <v>270.39999999999998</v>
      </c>
      <c r="R193" s="1" t="s">
        <v>34</v>
      </c>
      <c r="S193" s="1" t="s">
        <v>35</v>
      </c>
      <c r="T193" s="1" t="s">
        <v>36</v>
      </c>
      <c r="U193" s="1" t="s">
        <v>37</v>
      </c>
      <c r="V193" s="1" t="s">
        <v>38</v>
      </c>
      <c r="W193" s="1" t="s">
        <v>39</v>
      </c>
      <c r="X193" s="8">
        <f>+IFERROR(VLOOKUP(N193,[1]Hoja1!$B$2:$F$52,4,0)*P193,"")</f>
        <v>4.193548387096774</v>
      </c>
      <c r="Y193" s="8" t="str">
        <f>+VLOOKUP(M193,[1]SKU!$B$3:$E$81,4,0)</f>
        <v>REGULAR</v>
      </c>
      <c r="Z193" s="8" t="str">
        <f t="shared" si="2"/>
        <v>BEES</v>
      </c>
      <c r="AA193" s="8" t="str">
        <f>+VLOOKUP(I193,[1]SKU!$H$2:$I$97,2,0)</f>
        <v>PE07001</v>
      </c>
    </row>
    <row r="194" spans="1:27">
      <c r="A194" s="1" t="s">
        <v>42</v>
      </c>
      <c r="B194" s="2">
        <v>46295</v>
      </c>
      <c r="C194" s="1" t="s">
        <v>257</v>
      </c>
      <c r="D194" s="1" t="s">
        <v>43</v>
      </c>
      <c r="E194" s="1" t="s">
        <v>258</v>
      </c>
      <c r="F194" s="1" t="s">
        <v>259</v>
      </c>
      <c r="G194" s="1" t="s">
        <v>26</v>
      </c>
      <c r="H194" s="1" t="s">
        <v>27</v>
      </c>
      <c r="I194" s="1" t="s">
        <v>180</v>
      </c>
      <c r="J194" s="1" t="s">
        <v>28</v>
      </c>
      <c r="K194" s="1" t="s">
        <v>29</v>
      </c>
      <c r="L194" s="1" t="s">
        <v>30</v>
      </c>
      <c r="M194" s="1" t="s">
        <v>73</v>
      </c>
      <c r="N194" s="1" t="s">
        <v>74</v>
      </c>
      <c r="O194" s="1" t="s">
        <v>33</v>
      </c>
      <c r="P194" s="3">
        <v>5</v>
      </c>
      <c r="Q194" s="3">
        <v>338</v>
      </c>
      <c r="R194" s="1" t="s">
        <v>34</v>
      </c>
      <c r="S194" s="1" t="s">
        <v>35</v>
      </c>
      <c r="T194" s="1" t="s">
        <v>36</v>
      </c>
      <c r="U194" s="1" t="s">
        <v>37</v>
      </c>
      <c r="V194" s="1" t="s">
        <v>38</v>
      </c>
      <c r="W194" s="1" t="s">
        <v>39</v>
      </c>
      <c r="X194" s="8">
        <f>+IFERROR(VLOOKUP(N194,[1]Hoja1!$B$2:$F$52,4,0)*P194,"")</f>
        <v>5.241935483870968</v>
      </c>
      <c r="Y194" s="8" t="str">
        <f>+VLOOKUP(M194,[1]SKU!$B$3:$E$81,4,0)</f>
        <v>REGULAR</v>
      </c>
      <c r="Z194" s="8" t="str">
        <f t="shared" si="2"/>
        <v>BEES</v>
      </c>
      <c r="AA194" s="8" t="str">
        <f>+VLOOKUP(I194,[1]SKU!$H$2:$I$97,2,0)</f>
        <v>PE07002</v>
      </c>
    </row>
    <row r="195" spans="1:27">
      <c r="A195" s="1" t="s">
        <v>42</v>
      </c>
      <c r="B195" s="2">
        <v>46295</v>
      </c>
      <c r="C195" s="1" t="s">
        <v>543</v>
      </c>
      <c r="D195" s="1" t="s">
        <v>43</v>
      </c>
      <c r="E195" s="1" t="s">
        <v>544</v>
      </c>
      <c r="F195" s="1" t="s">
        <v>545</v>
      </c>
      <c r="G195" s="1" t="s">
        <v>26</v>
      </c>
      <c r="H195" s="1" t="s">
        <v>27</v>
      </c>
      <c r="I195" s="1" t="s">
        <v>65</v>
      </c>
      <c r="J195" s="1" t="s">
        <v>28</v>
      </c>
      <c r="K195" s="1" t="s">
        <v>29</v>
      </c>
      <c r="L195" s="1" t="s">
        <v>30</v>
      </c>
      <c r="M195" s="1" t="s">
        <v>73</v>
      </c>
      <c r="N195" s="1" t="s">
        <v>74</v>
      </c>
      <c r="O195" s="1" t="s">
        <v>33</v>
      </c>
      <c r="P195" s="3">
        <v>1</v>
      </c>
      <c r="Q195" s="3">
        <v>0</v>
      </c>
      <c r="R195" s="1" t="s">
        <v>77</v>
      </c>
      <c r="S195" s="1" t="s">
        <v>35</v>
      </c>
      <c r="T195" s="1" t="s">
        <v>36</v>
      </c>
      <c r="U195" s="1" t="s">
        <v>37</v>
      </c>
      <c r="V195" s="1" t="s">
        <v>38</v>
      </c>
      <c r="W195" s="1" t="s">
        <v>39</v>
      </c>
      <c r="X195" s="8">
        <f>+IFERROR(VLOOKUP(N195,[1]Hoja1!$B$2:$F$52,4,0)*P195,"")</f>
        <v>1.0483870967741935</v>
      </c>
      <c r="Y195" s="8" t="str">
        <f>+VLOOKUP(M195,[1]SKU!$B$3:$E$81,4,0)</f>
        <v>REGULAR</v>
      </c>
      <c r="Z195" s="8" t="str">
        <f t="shared" ref="Z195:Z258" si="3">+IF(J195="VB01                          ","BEES","FLEX")</f>
        <v>BEES</v>
      </c>
      <c r="AA195" s="8" t="str">
        <f>+VLOOKUP(I195,[1]SKU!$H$2:$I$97,2,0)</f>
        <v>PE07003</v>
      </c>
    </row>
    <row r="196" spans="1:27">
      <c r="A196" s="1" t="s">
        <v>44</v>
      </c>
      <c r="B196" s="2">
        <v>46295</v>
      </c>
      <c r="C196" s="1" t="s">
        <v>370</v>
      </c>
      <c r="D196" s="1" t="s">
        <v>58</v>
      </c>
      <c r="E196" s="1" t="s">
        <v>371</v>
      </c>
      <c r="F196" s="1" t="s">
        <v>372</v>
      </c>
      <c r="G196" s="1" t="s">
        <v>26</v>
      </c>
      <c r="H196" s="1" t="s">
        <v>27</v>
      </c>
      <c r="I196" s="1" t="s">
        <v>297</v>
      </c>
      <c r="J196" s="1" t="s">
        <v>28</v>
      </c>
      <c r="K196" s="1" t="s">
        <v>29</v>
      </c>
      <c r="L196" s="1" t="s">
        <v>30</v>
      </c>
      <c r="M196" s="1" t="s">
        <v>73</v>
      </c>
      <c r="N196" s="1" t="s">
        <v>74</v>
      </c>
      <c r="O196" s="1" t="s">
        <v>33</v>
      </c>
      <c r="P196" s="3">
        <v>1</v>
      </c>
      <c r="Q196" s="3">
        <v>67.599999999999994</v>
      </c>
      <c r="R196" s="1" t="s">
        <v>34</v>
      </c>
      <c r="S196" s="1" t="s">
        <v>35</v>
      </c>
      <c r="T196" s="1" t="s">
        <v>36</v>
      </c>
      <c r="U196" s="1" t="s">
        <v>37</v>
      </c>
      <c r="V196" s="1" t="s">
        <v>38</v>
      </c>
      <c r="W196" s="1" t="s">
        <v>39</v>
      </c>
      <c r="X196" s="8">
        <f>+IFERROR(VLOOKUP(N196,[1]Hoja1!$B$2:$F$52,4,0)*P196,"")</f>
        <v>1.0483870967741935</v>
      </c>
      <c r="Y196" s="8" t="str">
        <f>+VLOOKUP(M196,[1]SKU!$B$3:$E$81,4,0)</f>
        <v>REGULAR</v>
      </c>
      <c r="Z196" s="8" t="str">
        <f t="shared" si="3"/>
        <v>BEES</v>
      </c>
      <c r="AA196" s="8" t="str">
        <f>+VLOOKUP(I196,[1]SKU!$H$2:$I$97,2,0)</f>
        <v>PE07004</v>
      </c>
    </row>
    <row r="197" spans="1:27">
      <c r="A197" s="1" t="s">
        <v>42</v>
      </c>
      <c r="B197" s="2">
        <v>46295</v>
      </c>
      <c r="C197" s="1" t="s">
        <v>348</v>
      </c>
      <c r="D197" s="1" t="s">
        <v>43</v>
      </c>
      <c r="E197" s="1" t="s">
        <v>349</v>
      </c>
      <c r="F197" s="1" t="s">
        <v>350</v>
      </c>
      <c r="G197" s="1" t="s">
        <v>26</v>
      </c>
      <c r="H197" s="1" t="s">
        <v>27</v>
      </c>
      <c r="I197" s="1" t="s">
        <v>351</v>
      </c>
      <c r="J197" s="1" t="s">
        <v>28</v>
      </c>
      <c r="K197" s="1" t="s">
        <v>29</v>
      </c>
      <c r="L197" s="1" t="s">
        <v>30</v>
      </c>
      <c r="M197" s="1" t="s">
        <v>73</v>
      </c>
      <c r="N197" s="1" t="s">
        <v>74</v>
      </c>
      <c r="O197" s="1" t="s">
        <v>33</v>
      </c>
      <c r="P197" s="3">
        <v>3</v>
      </c>
      <c r="Q197" s="3">
        <v>202.8</v>
      </c>
      <c r="R197" s="1" t="s">
        <v>34</v>
      </c>
      <c r="S197" s="1" t="s">
        <v>35</v>
      </c>
      <c r="T197" s="1" t="s">
        <v>36</v>
      </c>
      <c r="U197" s="1" t="s">
        <v>37</v>
      </c>
      <c r="V197" s="1" t="s">
        <v>38</v>
      </c>
      <c r="W197" s="1" t="s">
        <v>39</v>
      </c>
      <c r="X197" s="8">
        <f>+IFERROR(VLOOKUP(N197,[1]Hoja1!$B$2:$F$52,4,0)*P197,"")</f>
        <v>3.1451612903225805</v>
      </c>
      <c r="Y197" s="8" t="str">
        <f>+VLOOKUP(M197,[1]SKU!$B$3:$E$81,4,0)</f>
        <v>REGULAR</v>
      </c>
      <c r="Z197" s="8" t="str">
        <f t="shared" si="3"/>
        <v>BEES</v>
      </c>
      <c r="AA197" s="8" t="str">
        <f>+VLOOKUP(I197,[1]SKU!$H$2:$I$97,2,0)</f>
        <v>PE07003</v>
      </c>
    </row>
    <row r="198" spans="1:27">
      <c r="A198" s="1" t="s">
        <v>24</v>
      </c>
      <c r="B198" s="2">
        <v>46295</v>
      </c>
      <c r="C198" s="1" t="s">
        <v>401</v>
      </c>
      <c r="D198" s="1" t="s">
        <v>25</v>
      </c>
      <c r="E198" s="1" t="s">
        <v>402</v>
      </c>
      <c r="F198" s="1" t="s">
        <v>403</v>
      </c>
      <c r="G198" s="1" t="s">
        <v>26</v>
      </c>
      <c r="H198" s="1" t="s">
        <v>27</v>
      </c>
      <c r="I198" s="1" t="s">
        <v>53</v>
      </c>
      <c r="J198" s="1" t="s">
        <v>28</v>
      </c>
      <c r="K198" s="1" t="s">
        <v>29</v>
      </c>
      <c r="L198" s="1" t="s">
        <v>30</v>
      </c>
      <c r="M198" s="1" t="s">
        <v>59</v>
      </c>
      <c r="N198" s="1" t="s">
        <v>60</v>
      </c>
      <c r="O198" s="1" t="s">
        <v>61</v>
      </c>
      <c r="P198" s="3">
        <v>4</v>
      </c>
      <c r="Q198" s="3">
        <v>94.062320999999997</v>
      </c>
      <c r="R198" s="1" t="s">
        <v>34</v>
      </c>
      <c r="S198" s="1" t="s">
        <v>35</v>
      </c>
      <c r="T198" s="1" t="s">
        <v>36</v>
      </c>
      <c r="U198" s="1" t="s">
        <v>37</v>
      </c>
      <c r="V198" s="1" t="s">
        <v>38</v>
      </c>
      <c r="W198" s="1" t="s">
        <v>39</v>
      </c>
      <c r="X198" s="8">
        <f>+IFERROR(VLOOKUP(N198,[1]Hoja1!$B$2:$F$52,4,0)*P198,"")</f>
        <v>1.1451612903225807</v>
      </c>
      <c r="Y198" s="8" t="str">
        <f>+VLOOKUP(M198,[1]SKU!$B$3:$E$81,4,0)</f>
        <v>LATAS</v>
      </c>
      <c r="Z198" s="8" t="str">
        <f t="shared" si="3"/>
        <v>BEES</v>
      </c>
      <c r="AA198" s="8" t="str">
        <f>+VLOOKUP(I198,[1]SKU!$H$2:$I$97,2,0)</f>
        <v>PE07010</v>
      </c>
    </row>
    <row r="199" spans="1:27">
      <c r="A199" s="1" t="s">
        <v>40</v>
      </c>
      <c r="B199" s="2">
        <v>46295</v>
      </c>
      <c r="C199" s="1" t="s">
        <v>533</v>
      </c>
      <c r="D199" s="1" t="s">
        <v>41</v>
      </c>
      <c r="E199" s="1" t="s">
        <v>534</v>
      </c>
      <c r="F199" s="1" t="s">
        <v>535</v>
      </c>
      <c r="G199" s="1" t="s">
        <v>26</v>
      </c>
      <c r="H199" s="1" t="s">
        <v>27</v>
      </c>
      <c r="I199" s="1" t="s">
        <v>132</v>
      </c>
      <c r="J199" s="1" t="s">
        <v>28</v>
      </c>
      <c r="K199" s="1" t="s">
        <v>29</v>
      </c>
      <c r="L199" s="1" t="s">
        <v>30</v>
      </c>
      <c r="M199" s="1" t="s">
        <v>59</v>
      </c>
      <c r="N199" s="1" t="s">
        <v>60</v>
      </c>
      <c r="O199" s="1" t="s">
        <v>61</v>
      </c>
      <c r="P199" s="3">
        <v>1</v>
      </c>
      <c r="Q199" s="3">
        <v>19.607842999999999</v>
      </c>
      <c r="R199" s="1" t="s">
        <v>34</v>
      </c>
      <c r="S199" s="1" t="s">
        <v>35</v>
      </c>
      <c r="T199" s="1" t="s">
        <v>36</v>
      </c>
      <c r="U199" s="1" t="s">
        <v>37</v>
      </c>
      <c r="V199" s="1" t="s">
        <v>38</v>
      </c>
      <c r="W199" s="1" t="s">
        <v>39</v>
      </c>
      <c r="X199" s="8">
        <f>+IFERROR(VLOOKUP(N199,[1]Hoja1!$B$2:$F$52,4,0)*P199,"")</f>
        <v>0.28629032258064518</v>
      </c>
      <c r="Y199" s="8" t="str">
        <f>+VLOOKUP(M199,[1]SKU!$B$3:$E$81,4,0)</f>
        <v>LATAS</v>
      </c>
      <c r="Z199" s="8" t="str">
        <f t="shared" si="3"/>
        <v>BEES</v>
      </c>
      <c r="AA199" s="8" t="str">
        <f>+VLOOKUP(I199,[1]SKU!$H$2:$I$97,2,0)</f>
        <v>PE07009</v>
      </c>
    </row>
    <row r="200" spans="1:27">
      <c r="A200" s="1" t="s">
        <v>42</v>
      </c>
      <c r="B200" s="2">
        <v>46295</v>
      </c>
      <c r="C200" s="1" t="s">
        <v>546</v>
      </c>
      <c r="D200" s="1" t="s">
        <v>43</v>
      </c>
      <c r="E200" s="1" t="s">
        <v>119</v>
      </c>
      <c r="F200" s="1" t="s">
        <v>120</v>
      </c>
      <c r="G200" s="1" t="s">
        <v>26</v>
      </c>
      <c r="H200" s="1" t="s">
        <v>27</v>
      </c>
      <c r="I200" s="1" t="s">
        <v>72</v>
      </c>
      <c r="J200" s="1" t="s">
        <v>28</v>
      </c>
      <c r="K200" s="1" t="s">
        <v>29</v>
      </c>
      <c r="L200" s="1" t="s">
        <v>30</v>
      </c>
      <c r="M200" s="1" t="s">
        <v>59</v>
      </c>
      <c r="N200" s="1" t="s">
        <v>60</v>
      </c>
      <c r="O200" s="1" t="s">
        <v>61</v>
      </c>
      <c r="P200" s="3">
        <v>5</v>
      </c>
      <c r="Q200" s="3">
        <v>115.656301</v>
      </c>
      <c r="R200" s="1" t="s">
        <v>34</v>
      </c>
      <c r="S200" s="1" t="s">
        <v>35</v>
      </c>
      <c r="T200" s="1" t="s">
        <v>36</v>
      </c>
      <c r="U200" s="1" t="s">
        <v>37</v>
      </c>
      <c r="V200" s="1" t="s">
        <v>38</v>
      </c>
      <c r="W200" s="1" t="s">
        <v>39</v>
      </c>
      <c r="X200" s="8">
        <f>+IFERROR(VLOOKUP(N200,[1]Hoja1!$B$2:$F$52,4,0)*P200,"")</f>
        <v>1.431451612903226</v>
      </c>
      <c r="Y200" s="8" t="str">
        <f>+VLOOKUP(M200,[1]SKU!$B$3:$E$81,4,0)</f>
        <v>LATAS</v>
      </c>
      <c r="Z200" s="8" t="str">
        <f t="shared" si="3"/>
        <v>BEES</v>
      </c>
      <c r="AA200" s="8" t="str">
        <f>+VLOOKUP(I200,[1]SKU!$H$2:$I$97,2,0)</f>
        <v>PE07001</v>
      </c>
    </row>
    <row r="201" spans="1:27">
      <c r="A201" s="1" t="s">
        <v>51</v>
      </c>
      <c r="B201" s="2">
        <v>46295</v>
      </c>
      <c r="C201" s="1" t="s">
        <v>433</v>
      </c>
      <c r="D201" s="1" t="s">
        <v>52</v>
      </c>
      <c r="E201" s="1" t="s">
        <v>434</v>
      </c>
      <c r="F201" s="1" t="s">
        <v>435</v>
      </c>
      <c r="G201" s="1" t="s">
        <v>26</v>
      </c>
      <c r="H201" s="1" t="s">
        <v>27</v>
      </c>
      <c r="I201" s="1" t="s">
        <v>238</v>
      </c>
      <c r="J201" s="1" t="s">
        <v>28</v>
      </c>
      <c r="K201" s="1" t="s">
        <v>29</v>
      </c>
      <c r="L201" s="1" t="s">
        <v>30</v>
      </c>
      <c r="M201" s="1" t="s">
        <v>59</v>
      </c>
      <c r="N201" s="1" t="s">
        <v>60</v>
      </c>
      <c r="O201" s="1" t="s">
        <v>61</v>
      </c>
      <c r="P201" s="3">
        <v>1</v>
      </c>
      <c r="Q201" s="3">
        <v>23.515578999999999</v>
      </c>
      <c r="R201" s="1" t="s">
        <v>34</v>
      </c>
      <c r="S201" s="1" t="s">
        <v>35</v>
      </c>
      <c r="T201" s="1" t="s">
        <v>36</v>
      </c>
      <c r="U201" s="1" t="s">
        <v>37</v>
      </c>
      <c r="V201" s="1" t="s">
        <v>38</v>
      </c>
      <c r="W201" s="1" t="s">
        <v>39</v>
      </c>
      <c r="X201" s="8">
        <f>+IFERROR(VLOOKUP(N201,[1]Hoja1!$B$2:$F$52,4,0)*P201,"")</f>
        <v>0.28629032258064518</v>
      </c>
      <c r="Y201" s="8" t="str">
        <f>+VLOOKUP(M201,[1]SKU!$B$3:$E$81,4,0)</f>
        <v>LATAS</v>
      </c>
      <c r="Z201" s="8" t="str">
        <f t="shared" si="3"/>
        <v>BEES</v>
      </c>
      <c r="AA201" s="8" t="str">
        <f>+VLOOKUP(I201,[1]SKU!$H$2:$I$97,2,0)</f>
        <v>PE07011</v>
      </c>
    </row>
    <row r="202" spans="1:27">
      <c r="A202" s="1" t="s">
        <v>40</v>
      </c>
      <c r="B202" s="2">
        <v>46295</v>
      </c>
      <c r="C202" s="1" t="s">
        <v>298</v>
      </c>
      <c r="D202" s="1" t="s">
        <v>41</v>
      </c>
      <c r="E202" s="1" t="s">
        <v>299</v>
      </c>
      <c r="F202" s="1" t="s">
        <v>300</v>
      </c>
      <c r="G202" s="1" t="s">
        <v>26</v>
      </c>
      <c r="H202" s="1" t="s">
        <v>27</v>
      </c>
      <c r="I202" s="1" t="s">
        <v>132</v>
      </c>
      <c r="J202" s="1" t="s">
        <v>28</v>
      </c>
      <c r="K202" s="1" t="s">
        <v>29</v>
      </c>
      <c r="L202" s="1" t="s">
        <v>30</v>
      </c>
      <c r="M202" s="1" t="s">
        <v>59</v>
      </c>
      <c r="N202" s="1" t="s">
        <v>60</v>
      </c>
      <c r="O202" s="1" t="s">
        <v>61</v>
      </c>
      <c r="P202" s="3">
        <v>2</v>
      </c>
      <c r="Q202" s="3">
        <v>41.960782999999999</v>
      </c>
      <c r="R202" s="1" t="s">
        <v>34</v>
      </c>
      <c r="S202" s="1" t="s">
        <v>35</v>
      </c>
      <c r="T202" s="1" t="s">
        <v>36</v>
      </c>
      <c r="U202" s="1" t="s">
        <v>37</v>
      </c>
      <c r="V202" s="1" t="s">
        <v>38</v>
      </c>
      <c r="W202" s="1" t="s">
        <v>39</v>
      </c>
      <c r="X202" s="8">
        <f>+IFERROR(VLOOKUP(N202,[1]Hoja1!$B$2:$F$52,4,0)*P202,"")</f>
        <v>0.57258064516129037</v>
      </c>
      <c r="Y202" s="8" t="str">
        <f>+VLOOKUP(M202,[1]SKU!$B$3:$E$81,4,0)</f>
        <v>LATAS</v>
      </c>
      <c r="Z202" s="8" t="str">
        <f t="shared" si="3"/>
        <v>BEES</v>
      </c>
      <c r="AA202" s="8" t="str">
        <f>+VLOOKUP(I202,[1]SKU!$H$2:$I$97,2,0)</f>
        <v>PE07009</v>
      </c>
    </row>
    <row r="203" spans="1:27">
      <c r="A203" s="1" t="s">
        <v>40</v>
      </c>
      <c r="B203" s="2">
        <v>46295</v>
      </c>
      <c r="C203" s="1" t="s">
        <v>301</v>
      </c>
      <c r="D203" s="1" t="s">
        <v>41</v>
      </c>
      <c r="E203" s="1" t="s">
        <v>302</v>
      </c>
      <c r="F203" s="1" t="s">
        <v>303</v>
      </c>
      <c r="G203" s="1" t="s">
        <v>26</v>
      </c>
      <c r="H203" s="1" t="s">
        <v>27</v>
      </c>
      <c r="I203" s="1" t="s">
        <v>132</v>
      </c>
      <c r="J203" s="1" t="s">
        <v>28</v>
      </c>
      <c r="K203" s="1" t="s">
        <v>29</v>
      </c>
      <c r="L203" s="1" t="s">
        <v>30</v>
      </c>
      <c r="M203" s="1" t="s">
        <v>59</v>
      </c>
      <c r="N203" s="1" t="s">
        <v>60</v>
      </c>
      <c r="O203" s="1" t="s">
        <v>61</v>
      </c>
      <c r="P203" s="3">
        <v>1</v>
      </c>
      <c r="Q203" s="3">
        <v>19.607842999999999</v>
      </c>
      <c r="R203" s="1" t="s">
        <v>34</v>
      </c>
      <c r="S203" s="1" t="s">
        <v>35</v>
      </c>
      <c r="T203" s="1" t="s">
        <v>36</v>
      </c>
      <c r="U203" s="1" t="s">
        <v>37</v>
      </c>
      <c r="V203" s="1" t="s">
        <v>38</v>
      </c>
      <c r="W203" s="1" t="s">
        <v>39</v>
      </c>
      <c r="X203" s="8">
        <f>+IFERROR(VLOOKUP(N203,[1]Hoja1!$B$2:$F$52,4,0)*P203,"")</f>
        <v>0.28629032258064518</v>
      </c>
      <c r="Y203" s="8" t="str">
        <f>+VLOOKUP(M203,[1]SKU!$B$3:$E$81,4,0)</f>
        <v>LATAS</v>
      </c>
      <c r="Z203" s="8" t="str">
        <f t="shared" si="3"/>
        <v>BEES</v>
      </c>
      <c r="AA203" s="8" t="str">
        <f>+VLOOKUP(I203,[1]SKU!$H$2:$I$97,2,0)</f>
        <v>PE07009</v>
      </c>
    </row>
    <row r="204" spans="1:27">
      <c r="A204" s="1" t="s">
        <v>42</v>
      </c>
      <c r="B204" s="2">
        <v>46295</v>
      </c>
      <c r="C204" s="1" t="s">
        <v>547</v>
      </c>
      <c r="D204" s="1" t="s">
        <v>43</v>
      </c>
      <c r="E204" s="1" t="s">
        <v>548</v>
      </c>
      <c r="F204" s="1" t="s">
        <v>549</v>
      </c>
      <c r="G204" s="1" t="s">
        <v>26</v>
      </c>
      <c r="H204" s="1" t="s">
        <v>27</v>
      </c>
      <c r="I204" s="1" t="s">
        <v>180</v>
      </c>
      <c r="J204" s="1" t="s">
        <v>28</v>
      </c>
      <c r="K204" s="1" t="s">
        <v>29</v>
      </c>
      <c r="L204" s="1" t="s">
        <v>30</v>
      </c>
      <c r="M204" s="1" t="s">
        <v>59</v>
      </c>
      <c r="N204" s="1" t="s">
        <v>60</v>
      </c>
      <c r="O204" s="1" t="s">
        <v>61</v>
      </c>
      <c r="P204" s="3">
        <v>2</v>
      </c>
      <c r="Q204" s="3">
        <v>48.04</v>
      </c>
      <c r="R204" s="1" t="s">
        <v>34</v>
      </c>
      <c r="S204" s="1" t="s">
        <v>35</v>
      </c>
      <c r="T204" s="1" t="s">
        <v>36</v>
      </c>
      <c r="U204" s="1" t="s">
        <v>37</v>
      </c>
      <c r="V204" s="1" t="s">
        <v>38</v>
      </c>
      <c r="W204" s="1" t="s">
        <v>39</v>
      </c>
      <c r="X204" s="8">
        <f>+IFERROR(VLOOKUP(N204,[1]Hoja1!$B$2:$F$52,4,0)*P204,"")</f>
        <v>0.57258064516129037</v>
      </c>
      <c r="Y204" s="8" t="str">
        <f>+VLOOKUP(M204,[1]SKU!$B$3:$E$81,4,0)</f>
        <v>LATAS</v>
      </c>
      <c r="Z204" s="8" t="str">
        <f t="shared" si="3"/>
        <v>BEES</v>
      </c>
      <c r="AA204" s="8" t="str">
        <f>+VLOOKUP(I204,[1]SKU!$H$2:$I$97,2,0)</f>
        <v>PE07002</v>
      </c>
    </row>
    <row r="205" spans="1:27">
      <c r="A205" s="1" t="s">
        <v>24</v>
      </c>
      <c r="B205" s="2">
        <v>46295</v>
      </c>
      <c r="C205" s="1" t="s">
        <v>550</v>
      </c>
      <c r="D205" s="1" t="s">
        <v>25</v>
      </c>
      <c r="E205" s="1" t="s">
        <v>246</v>
      </c>
      <c r="F205" s="1" t="s">
        <v>247</v>
      </c>
      <c r="G205" s="1" t="s">
        <v>26</v>
      </c>
      <c r="H205" s="1" t="s">
        <v>27</v>
      </c>
      <c r="I205" s="1" t="s">
        <v>53</v>
      </c>
      <c r="J205" s="1" t="s">
        <v>28</v>
      </c>
      <c r="K205" s="1" t="s">
        <v>29</v>
      </c>
      <c r="L205" s="1" t="s">
        <v>30</v>
      </c>
      <c r="M205" s="1" t="s">
        <v>49</v>
      </c>
      <c r="N205" s="1" t="s">
        <v>50</v>
      </c>
      <c r="O205" s="1" t="s">
        <v>33</v>
      </c>
      <c r="P205" s="3">
        <v>2</v>
      </c>
      <c r="Q205" s="3">
        <v>145.68</v>
      </c>
      <c r="R205" s="1" t="s">
        <v>34</v>
      </c>
      <c r="S205" s="1" t="s">
        <v>35</v>
      </c>
      <c r="T205" s="1" t="s">
        <v>36</v>
      </c>
      <c r="U205" s="1" t="s">
        <v>37</v>
      </c>
      <c r="V205" s="1" t="s">
        <v>38</v>
      </c>
      <c r="W205" s="1" t="s">
        <v>39</v>
      </c>
      <c r="X205" s="8">
        <f>+IFERROR(VLOOKUP(N205,[1]Hoja1!$B$2:$F$52,4,0)*P205,"")</f>
        <v>2.032258064516129</v>
      </c>
      <c r="Y205" s="8" t="str">
        <f>+VLOOKUP(M205,[1]SKU!$B$3:$E$81,4,0)</f>
        <v>REGULAR</v>
      </c>
      <c r="Z205" s="8" t="str">
        <f t="shared" si="3"/>
        <v>BEES</v>
      </c>
      <c r="AA205" s="8" t="str">
        <f>+VLOOKUP(I205,[1]SKU!$H$2:$I$97,2,0)</f>
        <v>PE07010</v>
      </c>
    </row>
    <row r="206" spans="1:27">
      <c r="A206" s="1" t="s">
        <v>40</v>
      </c>
      <c r="B206" s="2">
        <v>46295</v>
      </c>
      <c r="C206" s="1" t="s">
        <v>377</v>
      </c>
      <c r="D206" s="1" t="s">
        <v>41</v>
      </c>
      <c r="E206" s="1" t="s">
        <v>378</v>
      </c>
      <c r="F206" s="1" t="s">
        <v>379</v>
      </c>
      <c r="G206" s="1" t="s">
        <v>26</v>
      </c>
      <c r="H206" s="1" t="s">
        <v>27</v>
      </c>
      <c r="I206" s="1" t="s">
        <v>132</v>
      </c>
      <c r="J206" s="1" t="s">
        <v>28</v>
      </c>
      <c r="K206" s="1" t="s">
        <v>29</v>
      </c>
      <c r="L206" s="1" t="s">
        <v>30</v>
      </c>
      <c r="M206" s="1" t="s">
        <v>49</v>
      </c>
      <c r="N206" s="1" t="s">
        <v>50</v>
      </c>
      <c r="O206" s="1" t="s">
        <v>33</v>
      </c>
      <c r="P206" s="3">
        <v>9</v>
      </c>
      <c r="Q206" s="3">
        <v>655.56</v>
      </c>
      <c r="R206" s="1" t="s">
        <v>34</v>
      </c>
      <c r="S206" s="1" t="s">
        <v>35</v>
      </c>
      <c r="T206" s="1" t="s">
        <v>36</v>
      </c>
      <c r="U206" s="1" t="s">
        <v>37</v>
      </c>
      <c r="V206" s="1" t="s">
        <v>38</v>
      </c>
      <c r="W206" s="1" t="s">
        <v>39</v>
      </c>
      <c r="X206" s="8">
        <f>+IFERROR(VLOOKUP(N206,[1]Hoja1!$B$2:$F$52,4,0)*P206,"")</f>
        <v>9.1451612903225801</v>
      </c>
      <c r="Y206" s="8" t="str">
        <f>+VLOOKUP(M206,[1]SKU!$B$3:$E$81,4,0)</f>
        <v>REGULAR</v>
      </c>
      <c r="Z206" s="8" t="str">
        <f t="shared" si="3"/>
        <v>BEES</v>
      </c>
      <c r="AA206" s="8" t="str">
        <f>+VLOOKUP(I206,[1]SKU!$H$2:$I$97,2,0)</f>
        <v>PE07009</v>
      </c>
    </row>
    <row r="207" spans="1:27">
      <c r="A207" s="1" t="s">
        <v>24</v>
      </c>
      <c r="B207" s="2">
        <v>46295</v>
      </c>
      <c r="C207" s="1" t="s">
        <v>416</v>
      </c>
      <c r="D207" s="1" t="s">
        <v>25</v>
      </c>
      <c r="E207" s="1" t="s">
        <v>417</v>
      </c>
      <c r="F207" s="1" t="s">
        <v>418</v>
      </c>
      <c r="G207" s="1" t="s">
        <v>26</v>
      </c>
      <c r="H207" s="1" t="s">
        <v>27</v>
      </c>
      <c r="I207" s="1" t="s">
        <v>53</v>
      </c>
      <c r="J207" s="1" t="s">
        <v>28</v>
      </c>
      <c r="K207" s="1" t="s">
        <v>29</v>
      </c>
      <c r="L207" s="1" t="s">
        <v>30</v>
      </c>
      <c r="M207" s="1" t="s">
        <v>49</v>
      </c>
      <c r="N207" s="1" t="s">
        <v>50</v>
      </c>
      <c r="O207" s="1" t="s">
        <v>33</v>
      </c>
      <c r="P207" s="3">
        <v>9</v>
      </c>
      <c r="Q207" s="3">
        <v>655.56</v>
      </c>
      <c r="R207" s="1" t="s">
        <v>34</v>
      </c>
      <c r="S207" s="1" t="s">
        <v>35</v>
      </c>
      <c r="T207" s="1" t="s">
        <v>36</v>
      </c>
      <c r="U207" s="1" t="s">
        <v>37</v>
      </c>
      <c r="V207" s="1" t="s">
        <v>38</v>
      </c>
      <c r="W207" s="1" t="s">
        <v>39</v>
      </c>
      <c r="X207" s="8">
        <f>+IFERROR(VLOOKUP(N207,[1]Hoja1!$B$2:$F$52,4,0)*P207,"")</f>
        <v>9.1451612903225801</v>
      </c>
      <c r="Y207" s="8" t="str">
        <f>+VLOOKUP(M207,[1]SKU!$B$3:$E$81,4,0)</f>
        <v>REGULAR</v>
      </c>
      <c r="Z207" s="8" t="str">
        <f t="shared" si="3"/>
        <v>BEES</v>
      </c>
      <c r="AA207" s="8" t="str">
        <f>+VLOOKUP(I207,[1]SKU!$H$2:$I$97,2,0)</f>
        <v>PE07010</v>
      </c>
    </row>
    <row r="208" spans="1:27">
      <c r="A208" s="1" t="s">
        <v>24</v>
      </c>
      <c r="B208" s="2">
        <v>46295</v>
      </c>
      <c r="C208" s="1" t="s">
        <v>551</v>
      </c>
      <c r="D208" s="1" t="s">
        <v>25</v>
      </c>
      <c r="E208" s="1" t="s">
        <v>552</v>
      </c>
      <c r="F208" s="1" t="s">
        <v>553</v>
      </c>
      <c r="G208" s="1" t="s">
        <v>26</v>
      </c>
      <c r="H208" s="1" t="s">
        <v>27</v>
      </c>
      <c r="I208" s="1" t="s">
        <v>53</v>
      </c>
      <c r="J208" s="1" t="s">
        <v>28</v>
      </c>
      <c r="K208" s="1" t="s">
        <v>29</v>
      </c>
      <c r="L208" s="1" t="s">
        <v>30</v>
      </c>
      <c r="M208" s="1" t="s">
        <v>49</v>
      </c>
      <c r="N208" s="1" t="s">
        <v>50</v>
      </c>
      <c r="O208" s="1" t="s">
        <v>33</v>
      </c>
      <c r="P208" s="3">
        <v>1</v>
      </c>
      <c r="Q208" s="3">
        <v>71.637254999999996</v>
      </c>
      <c r="R208" s="1" t="s">
        <v>34</v>
      </c>
      <c r="S208" s="1" t="s">
        <v>35</v>
      </c>
      <c r="T208" s="1" t="s">
        <v>36</v>
      </c>
      <c r="U208" s="1" t="s">
        <v>37</v>
      </c>
      <c r="V208" s="1" t="s">
        <v>38</v>
      </c>
      <c r="W208" s="1" t="s">
        <v>39</v>
      </c>
      <c r="X208" s="8">
        <f>+IFERROR(VLOOKUP(N208,[1]Hoja1!$B$2:$F$52,4,0)*P208,"")</f>
        <v>1.0161290322580645</v>
      </c>
      <c r="Y208" s="8" t="str">
        <f>+VLOOKUP(M208,[1]SKU!$B$3:$E$81,4,0)</f>
        <v>REGULAR</v>
      </c>
      <c r="Z208" s="8" t="str">
        <f t="shared" si="3"/>
        <v>BEES</v>
      </c>
      <c r="AA208" s="8" t="str">
        <f>+VLOOKUP(I208,[1]SKU!$H$2:$I$97,2,0)</f>
        <v>PE07010</v>
      </c>
    </row>
    <row r="209" spans="1:27">
      <c r="A209" s="1" t="s">
        <v>40</v>
      </c>
      <c r="B209" s="2">
        <v>46295</v>
      </c>
      <c r="C209" s="1" t="s">
        <v>554</v>
      </c>
      <c r="D209" s="1" t="s">
        <v>41</v>
      </c>
      <c r="E209" s="1" t="s">
        <v>555</v>
      </c>
      <c r="F209" s="1" t="s">
        <v>556</v>
      </c>
      <c r="G209" s="1" t="s">
        <v>26</v>
      </c>
      <c r="H209" s="1" t="s">
        <v>27</v>
      </c>
      <c r="I209" s="1" t="s">
        <v>132</v>
      </c>
      <c r="J209" s="1" t="s">
        <v>28</v>
      </c>
      <c r="K209" s="1" t="s">
        <v>29</v>
      </c>
      <c r="L209" s="1" t="s">
        <v>30</v>
      </c>
      <c r="M209" s="1" t="s">
        <v>49</v>
      </c>
      <c r="N209" s="1" t="s">
        <v>50</v>
      </c>
      <c r="O209" s="1" t="s">
        <v>33</v>
      </c>
      <c r="P209" s="3">
        <v>4</v>
      </c>
      <c r="Q209" s="3">
        <v>291.36</v>
      </c>
      <c r="R209" s="1" t="s">
        <v>34</v>
      </c>
      <c r="S209" s="1" t="s">
        <v>35</v>
      </c>
      <c r="T209" s="1" t="s">
        <v>36</v>
      </c>
      <c r="U209" s="1" t="s">
        <v>37</v>
      </c>
      <c r="V209" s="1" t="s">
        <v>38</v>
      </c>
      <c r="W209" s="1" t="s">
        <v>39</v>
      </c>
      <c r="X209" s="8">
        <f>+IFERROR(VLOOKUP(N209,[1]Hoja1!$B$2:$F$52,4,0)*P209,"")</f>
        <v>4.064516129032258</v>
      </c>
      <c r="Y209" s="8" t="str">
        <f>+VLOOKUP(M209,[1]SKU!$B$3:$E$81,4,0)</f>
        <v>REGULAR</v>
      </c>
      <c r="Z209" s="8" t="str">
        <f t="shared" si="3"/>
        <v>BEES</v>
      </c>
      <c r="AA209" s="8" t="str">
        <f>+VLOOKUP(I209,[1]SKU!$H$2:$I$97,2,0)</f>
        <v>PE07009</v>
      </c>
    </row>
    <row r="210" spans="1:27">
      <c r="A210" s="1" t="s">
        <v>24</v>
      </c>
      <c r="B210" s="2">
        <v>46295</v>
      </c>
      <c r="C210" s="1" t="s">
        <v>551</v>
      </c>
      <c r="D210" s="1" t="s">
        <v>25</v>
      </c>
      <c r="E210" s="1" t="s">
        <v>552</v>
      </c>
      <c r="F210" s="1" t="s">
        <v>553</v>
      </c>
      <c r="G210" s="1" t="s">
        <v>26</v>
      </c>
      <c r="H210" s="1" t="s">
        <v>27</v>
      </c>
      <c r="I210" s="1" t="s">
        <v>53</v>
      </c>
      <c r="J210" s="1" t="s">
        <v>28</v>
      </c>
      <c r="K210" s="1" t="s">
        <v>29</v>
      </c>
      <c r="L210" s="1" t="s">
        <v>30</v>
      </c>
      <c r="M210" s="1" t="s">
        <v>49</v>
      </c>
      <c r="N210" s="1" t="s">
        <v>50</v>
      </c>
      <c r="O210" s="1" t="s">
        <v>33</v>
      </c>
      <c r="P210" s="3">
        <v>5</v>
      </c>
      <c r="Q210" s="3">
        <v>364.2</v>
      </c>
      <c r="R210" s="1" t="s">
        <v>34</v>
      </c>
      <c r="S210" s="1" t="s">
        <v>35</v>
      </c>
      <c r="T210" s="1" t="s">
        <v>36</v>
      </c>
      <c r="U210" s="1" t="s">
        <v>37</v>
      </c>
      <c r="V210" s="1" t="s">
        <v>38</v>
      </c>
      <c r="W210" s="1" t="s">
        <v>39</v>
      </c>
      <c r="X210" s="8">
        <f>+IFERROR(VLOOKUP(N210,[1]Hoja1!$B$2:$F$52,4,0)*P210,"")</f>
        <v>5.0806451612903221</v>
      </c>
      <c r="Y210" s="8" t="str">
        <f>+VLOOKUP(M210,[1]SKU!$B$3:$E$81,4,0)</f>
        <v>REGULAR</v>
      </c>
      <c r="Z210" s="8" t="str">
        <f t="shared" si="3"/>
        <v>BEES</v>
      </c>
      <c r="AA210" s="8" t="str">
        <f>+VLOOKUP(I210,[1]SKU!$H$2:$I$97,2,0)</f>
        <v>PE07010</v>
      </c>
    </row>
    <row r="211" spans="1:27">
      <c r="A211" s="1" t="s">
        <v>44</v>
      </c>
      <c r="B211" s="2">
        <v>46295</v>
      </c>
      <c r="C211" s="1" t="s">
        <v>370</v>
      </c>
      <c r="D211" s="1" t="s">
        <v>58</v>
      </c>
      <c r="E211" s="1" t="s">
        <v>371</v>
      </c>
      <c r="F211" s="1" t="s">
        <v>372</v>
      </c>
      <c r="G211" s="1" t="s">
        <v>26</v>
      </c>
      <c r="H211" s="1" t="s">
        <v>27</v>
      </c>
      <c r="I211" s="1" t="s">
        <v>297</v>
      </c>
      <c r="J211" s="1" t="s">
        <v>28</v>
      </c>
      <c r="K211" s="1" t="s">
        <v>29</v>
      </c>
      <c r="L211" s="1" t="s">
        <v>30</v>
      </c>
      <c r="M211" s="1" t="s">
        <v>49</v>
      </c>
      <c r="N211" s="1" t="s">
        <v>50</v>
      </c>
      <c r="O211" s="1" t="s">
        <v>33</v>
      </c>
      <c r="P211" s="3">
        <v>1</v>
      </c>
      <c r="Q211" s="3">
        <v>72.840001000000001</v>
      </c>
      <c r="R211" s="1" t="s">
        <v>34</v>
      </c>
      <c r="S211" s="1" t="s">
        <v>35</v>
      </c>
      <c r="T211" s="1" t="s">
        <v>36</v>
      </c>
      <c r="U211" s="1" t="s">
        <v>37</v>
      </c>
      <c r="V211" s="1" t="s">
        <v>38</v>
      </c>
      <c r="W211" s="1" t="s">
        <v>39</v>
      </c>
      <c r="X211" s="8">
        <f>+IFERROR(VLOOKUP(N211,[1]Hoja1!$B$2:$F$52,4,0)*P211,"")</f>
        <v>1.0161290322580645</v>
      </c>
      <c r="Y211" s="8" t="str">
        <f>+VLOOKUP(M211,[1]SKU!$B$3:$E$81,4,0)</f>
        <v>REGULAR</v>
      </c>
      <c r="Z211" s="8" t="str">
        <f t="shared" si="3"/>
        <v>BEES</v>
      </c>
      <c r="AA211" s="8" t="str">
        <f>+VLOOKUP(I211,[1]SKU!$H$2:$I$97,2,0)</f>
        <v>PE07004</v>
      </c>
    </row>
    <row r="212" spans="1:27">
      <c r="A212" s="1" t="s">
        <v>42</v>
      </c>
      <c r="B212" s="2">
        <v>46295</v>
      </c>
      <c r="C212" s="1" t="s">
        <v>257</v>
      </c>
      <c r="D212" s="1" t="s">
        <v>43</v>
      </c>
      <c r="E212" s="1" t="s">
        <v>258</v>
      </c>
      <c r="F212" s="1" t="s">
        <v>259</v>
      </c>
      <c r="G212" s="1" t="s">
        <v>26</v>
      </c>
      <c r="H212" s="1" t="s">
        <v>27</v>
      </c>
      <c r="I212" s="1" t="s">
        <v>180</v>
      </c>
      <c r="J212" s="1" t="s">
        <v>28</v>
      </c>
      <c r="K212" s="1" t="s">
        <v>29</v>
      </c>
      <c r="L212" s="1" t="s">
        <v>30</v>
      </c>
      <c r="M212" s="1" t="s">
        <v>59</v>
      </c>
      <c r="N212" s="1" t="s">
        <v>60</v>
      </c>
      <c r="O212" s="1" t="s">
        <v>61</v>
      </c>
      <c r="P212" s="3">
        <v>1</v>
      </c>
      <c r="Q212" s="3">
        <v>24.02</v>
      </c>
      <c r="R212" s="1" t="s">
        <v>34</v>
      </c>
      <c r="S212" s="1" t="s">
        <v>35</v>
      </c>
      <c r="T212" s="1" t="s">
        <v>36</v>
      </c>
      <c r="U212" s="1" t="s">
        <v>37</v>
      </c>
      <c r="V212" s="1" t="s">
        <v>38</v>
      </c>
      <c r="W212" s="1" t="s">
        <v>39</v>
      </c>
      <c r="X212" s="8">
        <f>+IFERROR(VLOOKUP(N212,[1]Hoja1!$B$2:$F$52,4,0)*P212,"")</f>
        <v>0.28629032258064518</v>
      </c>
      <c r="Y212" s="8" t="str">
        <f>+VLOOKUP(M212,[1]SKU!$B$3:$E$81,4,0)</f>
        <v>LATAS</v>
      </c>
      <c r="Z212" s="8" t="str">
        <f t="shared" si="3"/>
        <v>BEES</v>
      </c>
      <c r="AA212" s="8" t="str">
        <f>+VLOOKUP(I212,[1]SKU!$H$2:$I$97,2,0)</f>
        <v>PE07002</v>
      </c>
    </row>
    <row r="213" spans="1:27">
      <c r="A213" s="1" t="s">
        <v>40</v>
      </c>
      <c r="B213" s="2">
        <v>46295</v>
      </c>
      <c r="C213" s="1" t="s">
        <v>289</v>
      </c>
      <c r="D213" s="1" t="s">
        <v>41</v>
      </c>
      <c r="E213" s="1" t="s">
        <v>133</v>
      </c>
      <c r="F213" s="1" t="s">
        <v>134</v>
      </c>
      <c r="G213" s="1" t="s">
        <v>26</v>
      </c>
      <c r="H213" s="1" t="s">
        <v>27</v>
      </c>
      <c r="I213" s="1" t="s">
        <v>132</v>
      </c>
      <c r="J213" s="1" t="s">
        <v>28</v>
      </c>
      <c r="K213" s="1" t="s">
        <v>29</v>
      </c>
      <c r="L213" s="1" t="s">
        <v>30</v>
      </c>
      <c r="M213" s="1" t="s">
        <v>59</v>
      </c>
      <c r="N213" s="1" t="s">
        <v>60</v>
      </c>
      <c r="O213" s="1" t="s">
        <v>61</v>
      </c>
      <c r="P213" s="3">
        <v>1</v>
      </c>
      <c r="Q213" s="3">
        <v>19.607842999999999</v>
      </c>
      <c r="R213" s="1" t="s">
        <v>34</v>
      </c>
      <c r="S213" s="1" t="s">
        <v>35</v>
      </c>
      <c r="T213" s="1" t="s">
        <v>36</v>
      </c>
      <c r="U213" s="1" t="s">
        <v>37</v>
      </c>
      <c r="V213" s="1" t="s">
        <v>38</v>
      </c>
      <c r="W213" s="1" t="s">
        <v>39</v>
      </c>
      <c r="X213" s="8">
        <f>+IFERROR(VLOOKUP(N213,[1]Hoja1!$B$2:$F$52,4,0)*P213,"")</f>
        <v>0.28629032258064518</v>
      </c>
      <c r="Y213" s="8" t="str">
        <f>+VLOOKUP(M213,[1]SKU!$B$3:$E$81,4,0)</f>
        <v>LATAS</v>
      </c>
      <c r="Z213" s="8" t="str">
        <f t="shared" si="3"/>
        <v>BEES</v>
      </c>
      <c r="AA213" s="8" t="str">
        <f>+VLOOKUP(I213,[1]SKU!$H$2:$I$97,2,0)</f>
        <v>PE07009</v>
      </c>
    </row>
    <row r="214" spans="1:27">
      <c r="A214" s="1" t="s">
        <v>44</v>
      </c>
      <c r="B214" s="2">
        <v>46295</v>
      </c>
      <c r="C214" s="1" t="s">
        <v>380</v>
      </c>
      <c r="D214" s="1" t="s">
        <v>58</v>
      </c>
      <c r="E214" s="1" t="s">
        <v>381</v>
      </c>
      <c r="F214" s="1" t="s">
        <v>382</v>
      </c>
      <c r="G214" s="1" t="s">
        <v>26</v>
      </c>
      <c r="H214" s="1" t="s">
        <v>27</v>
      </c>
      <c r="I214" s="1" t="s">
        <v>297</v>
      </c>
      <c r="J214" s="1" t="s">
        <v>28</v>
      </c>
      <c r="K214" s="1" t="s">
        <v>29</v>
      </c>
      <c r="L214" s="1" t="s">
        <v>30</v>
      </c>
      <c r="M214" s="1" t="s">
        <v>59</v>
      </c>
      <c r="N214" s="1" t="s">
        <v>60</v>
      </c>
      <c r="O214" s="1" t="s">
        <v>61</v>
      </c>
      <c r="P214" s="3">
        <v>1</v>
      </c>
      <c r="Q214" s="3">
        <v>20.980391999999998</v>
      </c>
      <c r="R214" s="1" t="s">
        <v>34</v>
      </c>
      <c r="S214" s="1" t="s">
        <v>35</v>
      </c>
      <c r="T214" s="1" t="s">
        <v>36</v>
      </c>
      <c r="U214" s="1" t="s">
        <v>37</v>
      </c>
      <c r="V214" s="1" t="s">
        <v>38</v>
      </c>
      <c r="W214" s="1" t="s">
        <v>39</v>
      </c>
      <c r="X214" s="8">
        <f>+IFERROR(VLOOKUP(N214,[1]Hoja1!$B$2:$F$52,4,0)*P214,"")</f>
        <v>0.28629032258064518</v>
      </c>
      <c r="Y214" s="8" t="str">
        <f>+VLOOKUP(M214,[1]SKU!$B$3:$E$81,4,0)</f>
        <v>LATAS</v>
      </c>
      <c r="Z214" s="8" t="str">
        <f t="shared" si="3"/>
        <v>BEES</v>
      </c>
      <c r="AA214" s="8" t="str">
        <f>+VLOOKUP(I214,[1]SKU!$H$2:$I$97,2,0)</f>
        <v>PE07004</v>
      </c>
    </row>
    <row r="215" spans="1:27">
      <c r="A215" s="1" t="s">
        <v>40</v>
      </c>
      <c r="B215" s="2">
        <v>46295</v>
      </c>
      <c r="C215" s="1" t="s">
        <v>301</v>
      </c>
      <c r="D215" s="1" t="s">
        <v>41</v>
      </c>
      <c r="E215" s="1" t="s">
        <v>302</v>
      </c>
      <c r="F215" s="1" t="s">
        <v>303</v>
      </c>
      <c r="G215" s="1" t="s">
        <v>26</v>
      </c>
      <c r="H215" s="1" t="s">
        <v>27</v>
      </c>
      <c r="I215" s="1" t="s">
        <v>132</v>
      </c>
      <c r="J215" s="1" t="s">
        <v>28</v>
      </c>
      <c r="K215" s="1" t="s">
        <v>29</v>
      </c>
      <c r="L215" s="1" t="s">
        <v>30</v>
      </c>
      <c r="M215" s="1" t="s">
        <v>59</v>
      </c>
      <c r="N215" s="1" t="s">
        <v>60</v>
      </c>
      <c r="O215" s="1" t="s">
        <v>61</v>
      </c>
      <c r="P215" s="3">
        <v>1</v>
      </c>
      <c r="Q215" s="3">
        <v>19.607842999999999</v>
      </c>
      <c r="R215" s="1" t="s">
        <v>34</v>
      </c>
      <c r="S215" s="1" t="s">
        <v>35</v>
      </c>
      <c r="T215" s="1" t="s">
        <v>36</v>
      </c>
      <c r="U215" s="1" t="s">
        <v>37</v>
      </c>
      <c r="V215" s="1" t="s">
        <v>38</v>
      </c>
      <c r="W215" s="1" t="s">
        <v>39</v>
      </c>
      <c r="X215" s="8">
        <f>+IFERROR(VLOOKUP(N215,[1]Hoja1!$B$2:$F$52,4,0)*P215,"")</f>
        <v>0.28629032258064518</v>
      </c>
      <c r="Y215" s="8" t="str">
        <f>+VLOOKUP(M215,[1]SKU!$B$3:$E$81,4,0)</f>
        <v>LATAS</v>
      </c>
      <c r="Z215" s="8" t="str">
        <f t="shared" si="3"/>
        <v>BEES</v>
      </c>
      <c r="AA215" s="8" t="str">
        <f>+VLOOKUP(I215,[1]SKU!$H$2:$I$97,2,0)</f>
        <v>PE07009</v>
      </c>
    </row>
    <row r="216" spans="1:27">
      <c r="A216" s="1" t="s">
        <v>40</v>
      </c>
      <c r="B216" s="2">
        <v>46295</v>
      </c>
      <c r="C216" s="1" t="s">
        <v>373</v>
      </c>
      <c r="D216" s="1" t="s">
        <v>41</v>
      </c>
      <c r="E216" s="1" t="s">
        <v>374</v>
      </c>
      <c r="F216" s="1" t="s">
        <v>375</v>
      </c>
      <c r="G216" s="1" t="s">
        <v>26</v>
      </c>
      <c r="H216" s="1" t="s">
        <v>27</v>
      </c>
      <c r="I216" s="1" t="s">
        <v>132</v>
      </c>
      <c r="J216" s="1" t="s">
        <v>28</v>
      </c>
      <c r="K216" s="1" t="s">
        <v>29</v>
      </c>
      <c r="L216" s="1" t="s">
        <v>30</v>
      </c>
      <c r="M216" s="1" t="s">
        <v>59</v>
      </c>
      <c r="N216" s="1" t="s">
        <v>60</v>
      </c>
      <c r="O216" s="1" t="s">
        <v>61</v>
      </c>
      <c r="P216" s="3">
        <v>2</v>
      </c>
      <c r="Q216" s="3">
        <v>41.960782999999999</v>
      </c>
      <c r="R216" s="1" t="s">
        <v>34</v>
      </c>
      <c r="S216" s="1" t="s">
        <v>35</v>
      </c>
      <c r="T216" s="1" t="s">
        <v>36</v>
      </c>
      <c r="U216" s="1" t="s">
        <v>37</v>
      </c>
      <c r="V216" s="1" t="s">
        <v>38</v>
      </c>
      <c r="W216" s="1" t="s">
        <v>39</v>
      </c>
      <c r="X216" s="8">
        <f>+IFERROR(VLOOKUP(N216,[1]Hoja1!$B$2:$F$52,4,0)*P216,"")</f>
        <v>0.57258064516129037</v>
      </c>
      <c r="Y216" s="8" t="str">
        <f>+VLOOKUP(M216,[1]SKU!$B$3:$E$81,4,0)</f>
        <v>LATAS</v>
      </c>
      <c r="Z216" s="8" t="str">
        <f t="shared" si="3"/>
        <v>BEES</v>
      </c>
      <c r="AA216" s="8" t="str">
        <f>+VLOOKUP(I216,[1]SKU!$H$2:$I$97,2,0)</f>
        <v>PE07009</v>
      </c>
    </row>
    <row r="217" spans="1:27">
      <c r="A217" s="1" t="s">
        <v>40</v>
      </c>
      <c r="B217" s="2">
        <v>46295</v>
      </c>
      <c r="C217" s="1" t="s">
        <v>345</v>
      </c>
      <c r="D217" s="1" t="s">
        <v>41</v>
      </c>
      <c r="E217" s="1" t="s">
        <v>346</v>
      </c>
      <c r="F217" s="1" t="s">
        <v>347</v>
      </c>
      <c r="G217" s="1" t="s">
        <v>26</v>
      </c>
      <c r="H217" s="1" t="s">
        <v>27</v>
      </c>
      <c r="I217" s="1" t="s">
        <v>132</v>
      </c>
      <c r="J217" s="1" t="s">
        <v>28</v>
      </c>
      <c r="K217" s="1" t="s">
        <v>29</v>
      </c>
      <c r="L217" s="1" t="s">
        <v>30</v>
      </c>
      <c r="M217" s="1" t="s">
        <v>59</v>
      </c>
      <c r="N217" s="1" t="s">
        <v>60</v>
      </c>
      <c r="O217" s="1" t="s">
        <v>61</v>
      </c>
      <c r="P217" s="3">
        <v>4</v>
      </c>
      <c r="Q217" s="3">
        <v>92.525040000000004</v>
      </c>
      <c r="R217" s="1" t="s">
        <v>34</v>
      </c>
      <c r="S217" s="1" t="s">
        <v>35</v>
      </c>
      <c r="T217" s="1" t="s">
        <v>36</v>
      </c>
      <c r="U217" s="1" t="s">
        <v>37</v>
      </c>
      <c r="V217" s="1" t="s">
        <v>38</v>
      </c>
      <c r="W217" s="1" t="s">
        <v>39</v>
      </c>
      <c r="X217" s="8">
        <f>+IFERROR(VLOOKUP(N217,[1]Hoja1!$B$2:$F$52,4,0)*P217,"")</f>
        <v>1.1451612903225807</v>
      </c>
      <c r="Y217" s="8" t="str">
        <f>+VLOOKUP(M217,[1]SKU!$B$3:$E$81,4,0)</f>
        <v>LATAS</v>
      </c>
      <c r="Z217" s="8" t="str">
        <f t="shared" si="3"/>
        <v>BEES</v>
      </c>
      <c r="AA217" s="8" t="str">
        <f>+VLOOKUP(I217,[1]SKU!$H$2:$I$97,2,0)</f>
        <v>PE07009</v>
      </c>
    </row>
    <row r="218" spans="1:27">
      <c r="A218" s="1" t="s">
        <v>42</v>
      </c>
      <c r="B218" s="2">
        <v>46295</v>
      </c>
      <c r="C218" s="1" t="s">
        <v>557</v>
      </c>
      <c r="D218" s="1" t="s">
        <v>43</v>
      </c>
      <c r="E218" s="1" t="s">
        <v>558</v>
      </c>
      <c r="F218" s="1" t="s">
        <v>559</v>
      </c>
      <c r="G218" s="1" t="s">
        <v>26</v>
      </c>
      <c r="H218" s="1" t="s">
        <v>27</v>
      </c>
      <c r="I218" s="1" t="s">
        <v>267</v>
      </c>
      <c r="J218" s="1" t="s">
        <v>28</v>
      </c>
      <c r="K218" s="1" t="s">
        <v>29</v>
      </c>
      <c r="L218" s="1" t="s">
        <v>30</v>
      </c>
      <c r="M218" s="1" t="s">
        <v>59</v>
      </c>
      <c r="N218" s="1" t="s">
        <v>60</v>
      </c>
      <c r="O218" s="1" t="s">
        <v>61</v>
      </c>
      <c r="P218" s="3">
        <v>4</v>
      </c>
      <c r="Q218" s="3">
        <v>93.293679999999995</v>
      </c>
      <c r="R218" s="1" t="s">
        <v>34</v>
      </c>
      <c r="S218" s="1" t="s">
        <v>35</v>
      </c>
      <c r="T218" s="1" t="s">
        <v>36</v>
      </c>
      <c r="U218" s="1" t="s">
        <v>37</v>
      </c>
      <c r="V218" s="1" t="s">
        <v>38</v>
      </c>
      <c r="W218" s="1" t="s">
        <v>39</v>
      </c>
      <c r="X218" s="8">
        <f>+IFERROR(VLOOKUP(N218,[1]Hoja1!$B$2:$F$52,4,0)*P218,"")</f>
        <v>1.1451612903225807</v>
      </c>
      <c r="Y218" s="8" t="str">
        <f>+VLOOKUP(M218,[1]SKU!$B$3:$E$81,4,0)</f>
        <v>LATAS</v>
      </c>
      <c r="Z218" s="8" t="str">
        <f t="shared" si="3"/>
        <v>BEES</v>
      </c>
      <c r="AA218" s="8" t="str">
        <f>+VLOOKUP(I218,[1]SKU!$H$2:$I$97,2,0)</f>
        <v>PE07006</v>
      </c>
    </row>
    <row r="219" spans="1:27">
      <c r="A219" s="1" t="s">
        <v>40</v>
      </c>
      <c r="B219" s="2">
        <v>46295</v>
      </c>
      <c r="C219" s="1" t="s">
        <v>364</v>
      </c>
      <c r="D219" s="1" t="s">
        <v>41</v>
      </c>
      <c r="E219" s="1" t="s">
        <v>365</v>
      </c>
      <c r="F219" s="1" t="s">
        <v>366</v>
      </c>
      <c r="G219" s="1" t="s">
        <v>26</v>
      </c>
      <c r="H219" s="1" t="s">
        <v>27</v>
      </c>
      <c r="I219" s="1" t="s">
        <v>132</v>
      </c>
      <c r="J219" s="1" t="s">
        <v>28</v>
      </c>
      <c r="K219" s="1" t="s">
        <v>29</v>
      </c>
      <c r="L219" s="1" t="s">
        <v>30</v>
      </c>
      <c r="M219" s="1" t="s">
        <v>96</v>
      </c>
      <c r="N219" s="1" t="s">
        <v>97</v>
      </c>
      <c r="O219" s="1" t="s">
        <v>61</v>
      </c>
      <c r="P219" s="3">
        <v>1</v>
      </c>
      <c r="Q219" s="3">
        <v>26.676470999999999</v>
      </c>
      <c r="R219" s="1" t="s">
        <v>34</v>
      </c>
      <c r="S219" s="1" t="s">
        <v>35</v>
      </c>
      <c r="T219" s="1" t="s">
        <v>36</v>
      </c>
      <c r="U219" s="1" t="s">
        <v>37</v>
      </c>
      <c r="V219" s="1" t="s">
        <v>38</v>
      </c>
      <c r="W219" s="1" t="s">
        <v>39</v>
      </c>
      <c r="X219" s="8">
        <f>+IFERROR(VLOOKUP(N219,[1]Hoja1!$B$2:$F$52,4,0)*P219,"")</f>
        <v>0.38145161290322577</v>
      </c>
      <c r="Y219" s="8" t="e">
        <f>+VLOOKUP(M219,[1]SKU!$B$3:$E$81,4,0)</f>
        <v>#N/A</v>
      </c>
      <c r="Z219" s="8" t="str">
        <f t="shared" si="3"/>
        <v>BEES</v>
      </c>
      <c r="AA219" s="8" t="str">
        <f>+VLOOKUP(I219,[1]SKU!$H$2:$I$97,2,0)</f>
        <v>PE07009</v>
      </c>
    </row>
    <row r="220" spans="1:27">
      <c r="A220" s="1" t="s">
        <v>40</v>
      </c>
      <c r="B220" s="2">
        <v>46295</v>
      </c>
      <c r="C220" s="1" t="s">
        <v>309</v>
      </c>
      <c r="D220" s="1" t="s">
        <v>41</v>
      </c>
      <c r="E220" s="1" t="s">
        <v>310</v>
      </c>
      <c r="F220" s="1" t="s">
        <v>311</v>
      </c>
      <c r="G220" s="1" t="s">
        <v>26</v>
      </c>
      <c r="H220" s="1" t="s">
        <v>27</v>
      </c>
      <c r="I220" s="1" t="s">
        <v>132</v>
      </c>
      <c r="J220" s="1" t="s">
        <v>28</v>
      </c>
      <c r="K220" s="1" t="s">
        <v>29</v>
      </c>
      <c r="L220" s="1" t="s">
        <v>30</v>
      </c>
      <c r="M220" s="1" t="s">
        <v>96</v>
      </c>
      <c r="N220" s="1" t="s">
        <v>97</v>
      </c>
      <c r="O220" s="1" t="s">
        <v>61</v>
      </c>
      <c r="P220" s="3">
        <v>6</v>
      </c>
      <c r="Q220" s="3">
        <v>181.65468000000001</v>
      </c>
      <c r="R220" s="1" t="s">
        <v>34</v>
      </c>
      <c r="S220" s="1" t="s">
        <v>35</v>
      </c>
      <c r="T220" s="1" t="s">
        <v>36</v>
      </c>
      <c r="U220" s="1" t="s">
        <v>37</v>
      </c>
      <c r="V220" s="1" t="s">
        <v>38</v>
      </c>
      <c r="W220" s="1" t="s">
        <v>39</v>
      </c>
      <c r="X220" s="8">
        <f>+IFERROR(VLOOKUP(N220,[1]Hoja1!$B$2:$F$52,4,0)*P220,"")</f>
        <v>2.2887096774193547</v>
      </c>
      <c r="Y220" s="8" t="e">
        <f>+VLOOKUP(M220,[1]SKU!$B$3:$E$81,4,0)</f>
        <v>#N/A</v>
      </c>
      <c r="Z220" s="8" t="str">
        <f t="shared" si="3"/>
        <v>BEES</v>
      </c>
      <c r="AA220" s="8" t="str">
        <f>+VLOOKUP(I220,[1]SKU!$H$2:$I$97,2,0)</f>
        <v>PE07009</v>
      </c>
    </row>
    <row r="221" spans="1:27">
      <c r="A221" s="1" t="s">
        <v>40</v>
      </c>
      <c r="B221" s="2">
        <v>46295</v>
      </c>
      <c r="C221" s="1" t="s">
        <v>301</v>
      </c>
      <c r="D221" s="1" t="s">
        <v>41</v>
      </c>
      <c r="E221" s="1" t="s">
        <v>302</v>
      </c>
      <c r="F221" s="1" t="s">
        <v>303</v>
      </c>
      <c r="G221" s="1" t="s">
        <v>26</v>
      </c>
      <c r="H221" s="1" t="s">
        <v>27</v>
      </c>
      <c r="I221" s="1" t="s">
        <v>132</v>
      </c>
      <c r="J221" s="1" t="s">
        <v>28</v>
      </c>
      <c r="K221" s="1" t="s">
        <v>29</v>
      </c>
      <c r="L221" s="1" t="s">
        <v>30</v>
      </c>
      <c r="M221" s="1" t="s">
        <v>96</v>
      </c>
      <c r="N221" s="1" t="s">
        <v>97</v>
      </c>
      <c r="O221" s="1" t="s">
        <v>61</v>
      </c>
      <c r="P221" s="3">
        <v>1</v>
      </c>
      <c r="Q221" s="3">
        <v>26.676470999999999</v>
      </c>
      <c r="R221" s="1" t="s">
        <v>34</v>
      </c>
      <c r="S221" s="1" t="s">
        <v>35</v>
      </c>
      <c r="T221" s="1" t="s">
        <v>36</v>
      </c>
      <c r="U221" s="1" t="s">
        <v>37</v>
      </c>
      <c r="V221" s="1" t="s">
        <v>38</v>
      </c>
      <c r="W221" s="1" t="s">
        <v>39</v>
      </c>
      <c r="X221" s="8">
        <f>+IFERROR(VLOOKUP(N221,[1]Hoja1!$B$2:$F$52,4,0)*P221,"")</f>
        <v>0.38145161290322577</v>
      </c>
      <c r="Y221" s="8" t="e">
        <f>+VLOOKUP(M221,[1]SKU!$B$3:$E$81,4,0)</f>
        <v>#N/A</v>
      </c>
      <c r="Z221" s="8" t="str">
        <f t="shared" si="3"/>
        <v>BEES</v>
      </c>
      <c r="AA221" s="8" t="str">
        <f>+VLOOKUP(I221,[1]SKU!$H$2:$I$97,2,0)</f>
        <v>PE07009</v>
      </c>
    </row>
    <row r="222" spans="1:27">
      <c r="A222" s="1" t="s">
        <v>40</v>
      </c>
      <c r="B222" s="2">
        <v>46295</v>
      </c>
      <c r="C222" s="1" t="s">
        <v>316</v>
      </c>
      <c r="D222" s="1" t="s">
        <v>41</v>
      </c>
      <c r="E222" s="1" t="s">
        <v>317</v>
      </c>
      <c r="F222" s="1" t="s">
        <v>318</v>
      </c>
      <c r="G222" s="1" t="s">
        <v>26</v>
      </c>
      <c r="H222" s="1" t="s">
        <v>27</v>
      </c>
      <c r="I222" s="1" t="s">
        <v>132</v>
      </c>
      <c r="J222" s="1" t="s">
        <v>28</v>
      </c>
      <c r="K222" s="1" t="s">
        <v>29</v>
      </c>
      <c r="L222" s="1" t="s">
        <v>30</v>
      </c>
      <c r="M222" s="1" t="s">
        <v>98</v>
      </c>
      <c r="N222" s="1" t="s">
        <v>99</v>
      </c>
      <c r="O222" s="1" t="s">
        <v>100</v>
      </c>
      <c r="P222" s="3">
        <v>1</v>
      </c>
      <c r="Q222" s="3">
        <v>11.89</v>
      </c>
      <c r="R222" s="1" t="s">
        <v>34</v>
      </c>
      <c r="S222" s="1" t="s">
        <v>35</v>
      </c>
      <c r="T222" s="1" t="s">
        <v>36</v>
      </c>
      <c r="U222" s="1" t="s">
        <v>37</v>
      </c>
      <c r="V222" s="1" t="s">
        <v>85</v>
      </c>
      <c r="W222" s="1" t="s">
        <v>39</v>
      </c>
      <c r="X222" s="8" t="str">
        <f>+IFERROR(VLOOKUP(N222,[1]Hoja1!$B$2:$F$52,4,0)*P222,"")</f>
        <v/>
      </c>
      <c r="Y222" s="8" t="e">
        <f>+VLOOKUP(M222,[1]SKU!$B$3:$E$81,4,0)</f>
        <v>#N/A</v>
      </c>
      <c r="Z222" s="8" t="str">
        <f t="shared" si="3"/>
        <v>BEES</v>
      </c>
      <c r="AA222" s="8" t="str">
        <f>+VLOOKUP(I222,[1]SKU!$H$2:$I$97,2,0)</f>
        <v>PE07009</v>
      </c>
    </row>
    <row r="223" spans="1:27">
      <c r="A223" s="1" t="s">
        <v>42</v>
      </c>
      <c r="B223" s="2">
        <v>46295</v>
      </c>
      <c r="C223" s="1" t="s">
        <v>257</v>
      </c>
      <c r="D223" s="1" t="s">
        <v>43</v>
      </c>
      <c r="E223" s="1" t="s">
        <v>258</v>
      </c>
      <c r="F223" s="1" t="s">
        <v>259</v>
      </c>
      <c r="G223" s="1" t="s">
        <v>26</v>
      </c>
      <c r="H223" s="1" t="s">
        <v>27</v>
      </c>
      <c r="I223" s="1" t="s">
        <v>180</v>
      </c>
      <c r="J223" s="1" t="s">
        <v>28</v>
      </c>
      <c r="K223" s="1" t="s">
        <v>29</v>
      </c>
      <c r="L223" s="1" t="s">
        <v>30</v>
      </c>
      <c r="M223" s="1" t="s">
        <v>98</v>
      </c>
      <c r="N223" s="1" t="s">
        <v>99</v>
      </c>
      <c r="O223" s="1" t="s">
        <v>100</v>
      </c>
      <c r="P223" s="3">
        <v>1</v>
      </c>
      <c r="Q223" s="3">
        <v>0</v>
      </c>
      <c r="R223" s="1" t="s">
        <v>77</v>
      </c>
      <c r="S223" s="1" t="s">
        <v>35</v>
      </c>
      <c r="T223" s="1" t="s">
        <v>36</v>
      </c>
      <c r="U223" s="1" t="s">
        <v>37</v>
      </c>
      <c r="V223" s="1" t="s">
        <v>85</v>
      </c>
      <c r="W223" s="1" t="s">
        <v>39</v>
      </c>
      <c r="X223" s="8" t="str">
        <f>+IFERROR(VLOOKUP(N223,[1]Hoja1!$B$2:$F$52,4,0)*P223,"")</f>
        <v/>
      </c>
      <c r="Y223" s="8" t="e">
        <f>+VLOOKUP(M223,[1]SKU!$B$3:$E$81,4,0)</f>
        <v>#N/A</v>
      </c>
      <c r="Z223" s="8" t="str">
        <f t="shared" si="3"/>
        <v>BEES</v>
      </c>
      <c r="AA223" s="8" t="str">
        <f>+VLOOKUP(I223,[1]SKU!$H$2:$I$97,2,0)</f>
        <v>PE07002</v>
      </c>
    </row>
    <row r="224" spans="1:27">
      <c r="A224" s="1" t="s">
        <v>40</v>
      </c>
      <c r="B224" s="2">
        <v>46295</v>
      </c>
      <c r="C224" s="1" t="s">
        <v>536</v>
      </c>
      <c r="D224" s="1" t="s">
        <v>41</v>
      </c>
      <c r="E224" s="1" t="s">
        <v>537</v>
      </c>
      <c r="F224" s="1" t="s">
        <v>538</v>
      </c>
      <c r="G224" s="1" t="s">
        <v>26</v>
      </c>
      <c r="H224" s="1" t="s">
        <v>27</v>
      </c>
      <c r="I224" s="1" t="s">
        <v>539</v>
      </c>
      <c r="J224" s="1" t="s">
        <v>28</v>
      </c>
      <c r="K224" s="1" t="s">
        <v>29</v>
      </c>
      <c r="L224" s="1" t="s">
        <v>30</v>
      </c>
      <c r="M224" s="1" t="s">
        <v>96</v>
      </c>
      <c r="N224" s="1" t="s">
        <v>97</v>
      </c>
      <c r="O224" s="1" t="s">
        <v>61</v>
      </c>
      <c r="P224" s="3">
        <v>1</v>
      </c>
      <c r="Q224" s="3">
        <v>27.186274999999998</v>
      </c>
      <c r="R224" s="1" t="s">
        <v>34</v>
      </c>
      <c r="S224" s="1" t="s">
        <v>35</v>
      </c>
      <c r="T224" s="1" t="s">
        <v>36</v>
      </c>
      <c r="U224" s="1" t="s">
        <v>37</v>
      </c>
      <c r="V224" s="1" t="s">
        <v>38</v>
      </c>
      <c r="W224" s="1" t="s">
        <v>39</v>
      </c>
      <c r="X224" s="8">
        <f>+IFERROR(VLOOKUP(N224,[1]Hoja1!$B$2:$F$52,4,0)*P224,"")</f>
        <v>0.38145161290322577</v>
      </c>
      <c r="Y224" s="8" t="e">
        <f>+VLOOKUP(M224,[1]SKU!$B$3:$E$81,4,0)</f>
        <v>#N/A</v>
      </c>
      <c r="Z224" s="8" t="str">
        <f t="shared" si="3"/>
        <v>BEES</v>
      </c>
      <c r="AA224" s="8" t="str">
        <f>+VLOOKUP(I224,[1]SKU!$H$2:$I$97,2,0)</f>
        <v>PE07009</v>
      </c>
    </row>
    <row r="225" spans="1:27">
      <c r="A225" s="1" t="s">
        <v>40</v>
      </c>
      <c r="B225" s="2">
        <v>46295</v>
      </c>
      <c r="C225" s="1" t="s">
        <v>533</v>
      </c>
      <c r="D225" s="1" t="s">
        <v>41</v>
      </c>
      <c r="E225" s="1" t="s">
        <v>534</v>
      </c>
      <c r="F225" s="1" t="s">
        <v>535</v>
      </c>
      <c r="G225" s="1" t="s">
        <v>26</v>
      </c>
      <c r="H225" s="1" t="s">
        <v>27</v>
      </c>
      <c r="I225" s="1" t="s">
        <v>132</v>
      </c>
      <c r="J225" s="1" t="s">
        <v>28</v>
      </c>
      <c r="K225" s="1" t="s">
        <v>29</v>
      </c>
      <c r="L225" s="1" t="s">
        <v>30</v>
      </c>
      <c r="M225" s="1" t="s">
        <v>96</v>
      </c>
      <c r="N225" s="1" t="s">
        <v>97</v>
      </c>
      <c r="O225" s="1" t="s">
        <v>61</v>
      </c>
      <c r="P225" s="3">
        <v>1</v>
      </c>
      <c r="Q225" s="3">
        <v>27.186274999999998</v>
      </c>
      <c r="R225" s="1" t="s">
        <v>34</v>
      </c>
      <c r="S225" s="1" t="s">
        <v>35</v>
      </c>
      <c r="T225" s="1" t="s">
        <v>36</v>
      </c>
      <c r="U225" s="1" t="s">
        <v>37</v>
      </c>
      <c r="V225" s="1" t="s">
        <v>38</v>
      </c>
      <c r="W225" s="1" t="s">
        <v>39</v>
      </c>
      <c r="X225" s="8">
        <f>+IFERROR(VLOOKUP(N225,[1]Hoja1!$B$2:$F$52,4,0)*P225,"")</f>
        <v>0.38145161290322577</v>
      </c>
      <c r="Y225" s="8" t="e">
        <f>+VLOOKUP(M225,[1]SKU!$B$3:$E$81,4,0)</f>
        <v>#N/A</v>
      </c>
      <c r="Z225" s="8" t="str">
        <f t="shared" si="3"/>
        <v>BEES</v>
      </c>
      <c r="AA225" s="8" t="str">
        <f>+VLOOKUP(I225,[1]SKU!$H$2:$I$97,2,0)</f>
        <v>PE07009</v>
      </c>
    </row>
    <row r="226" spans="1:27">
      <c r="A226" s="1" t="s">
        <v>24</v>
      </c>
      <c r="B226" s="2">
        <v>46295</v>
      </c>
      <c r="C226" s="1" t="s">
        <v>386</v>
      </c>
      <c r="D226" s="1" t="s">
        <v>25</v>
      </c>
      <c r="E226" s="1" t="s">
        <v>387</v>
      </c>
      <c r="F226" s="1" t="s">
        <v>388</v>
      </c>
      <c r="G226" s="1" t="s">
        <v>26</v>
      </c>
      <c r="H226" s="1" t="s">
        <v>27</v>
      </c>
      <c r="I226" s="1" t="s">
        <v>53</v>
      </c>
      <c r="J226" s="1" t="s">
        <v>28</v>
      </c>
      <c r="K226" s="1" t="s">
        <v>29</v>
      </c>
      <c r="L226" s="1" t="s">
        <v>30</v>
      </c>
      <c r="M226" s="1" t="s">
        <v>96</v>
      </c>
      <c r="N226" s="1" t="s">
        <v>97</v>
      </c>
      <c r="O226" s="1" t="s">
        <v>61</v>
      </c>
      <c r="P226" s="3">
        <v>2</v>
      </c>
      <c r="Q226" s="3">
        <v>60.988081000000001</v>
      </c>
      <c r="R226" s="1" t="s">
        <v>34</v>
      </c>
      <c r="S226" s="1" t="s">
        <v>35</v>
      </c>
      <c r="T226" s="1" t="s">
        <v>36</v>
      </c>
      <c r="U226" s="1" t="s">
        <v>37</v>
      </c>
      <c r="V226" s="1" t="s">
        <v>38</v>
      </c>
      <c r="W226" s="1" t="s">
        <v>39</v>
      </c>
      <c r="X226" s="8">
        <f>+IFERROR(VLOOKUP(N226,[1]Hoja1!$B$2:$F$52,4,0)*P226,"")</f>
        <v>0.76290322580645153</v>
      </c>
      <c r="Y226" s="8" t="e">
        <f>+VLOOKUP(M226,[1]SKU!$B$3:$E$81,4,0)</f>
        <v>#N/A</v>
      </c>
      <c r="Z226" s="8" t="str">
        <f t="shared" si="3"/>
        <v>BEES</v>
      </c>
      <c r="AA226" s="8" t="str">
        <f>+VLOOKUP(I226,[1]SKU!$H$2:$I$97,2,0)</f>
        <v>PE07010</v>
      </c>
    </row>
    <row r="227" spans="1:27">
      <c r="A227" s="1" t="s">
        <v>42</v>
      </c>
      <c r="B227" s="2">
        <v>46295</v>
      </c>
      <c r="C227" s="1" t="s">
        <v>560</v>
      </c>
      <c r="D227" s="1" t="s">
        <v>43</v>
      </c>
      <c r="E227" s="1" t="s">
        <v>561</v>
      </c>
      <c r="F227" s="1" t="s">
        <v>562</v>
      </c>
      <c r="G227" s="1" t="s">
        <v>26</v>
      </c>
      <c r="H227" s="1" t="s">
        <v>27</v>
      </c>
      <c r="I227" s="1" t="s">
        <v>72</v>
      </c>
      <c r="J227" s="1" t="s">
        <v>28</v>
      </c>
      <c r="K227" s="1" t="s">
        <v>29</v>
      </c>
      <c r="L227" s="1" t="s">
        <v>30</v>
      </c>
      <c r="M227" s="1" t="s">
        <v>96</v>
      </c>
      <c r="N227" s="1" t="s">
        <v>97</v>
      </c>
      <c r="O227" s="1" t="s">
        <v>61</v>
      </c>
      <c r="P227" s="3">
        <v>5</v>
      </c>
      <c r="Q227" s="3">
        <v>155.9</v>
      </c>
      <c r="R227" s="1" t="s">
        <v>34</v>
      </c>
      <c r="S227" s="1" t="s">
        <v>35</v>
      </c>
      <c r="T227" s="1" t="s">
        <v>36</v>
      </c>
      <c r="U227" s="1" t="s">
        <v>37</v>
      </c>
      <c r="V227" s="1" t="s">
        <v>38</v>
      </c>
      <c r="W227" s="1" t="s">
        <v>39</v>
      </c>
      <c r="X227" s="8">
        <f>+IFERROR(VLOOKUP(N227,[1]Hoja1!$B$2:$F$52,4,0)*P227,"")</f>
        <v>1.9072580645161288</v>
      </c>
      <c r="Y227" s="8" t="e">
        <f>+VLOOKUP(M227,[1]SKU!$B$3:$E$81,4,0)</f>
        <v>#N/A</v>
      </c>
      <c r="Z227" s="8" t="str">
        <f t="shared" si="3"/>
        <v>BEES</v>
      </c>
      <c r="AA227" s="8" t="str">
        <f>+VLOOKUP(I227,[1]SKU!$H$2:$I$97,2,0)</f>
        <v>PE07001</v>
      </c>
    </row>
    <row r="228" spans="1:27">
      <c r="A228" s="1" t="s">
        <v>40</v>
      </c>
      <c r="B228" s="2">
        <v>46295</v>
      </c>
      <c r="C228" s="1" t="s">
        <v>301</v>
      </c>
      <c r="D228" s="1" t="s">
        <v>41</v>
      </c>
      <c r="E228" s="1" t="s">
        <v>302</v>
      </c>
      <c r="F228" s="1" t="s">
        <v>303</v>
      </c>
      <c r="G228" s="1" t="s">
        <v>26</v>
      </c>
      <c r="H228" s="1" t="s">
        <v>27</v>
      </c>
      <c r="I228" s="1" t="s">
        <v>132</v>
      </c>
      <c r="J228" s="1" t="s">
        <v>28</v>
      </c>
      <c r="K228" s="1" t="s">
        <v>29</v>
      </c>
      <c r="L228" s="1" t="s">
        <v>30</v>
      </c>
      <c r="M228" s="1" t="s">
        <v>96</v>
      </c>
      <c r="N228" s="1" t="s">
        <v>97</v>
      </c>
      <c r="O228" s="1" t="s">
        <v>61</v>
      </c>
      <c r="P228" s="3">
        <v>1</v>
      </c>
      <c r="Q228" s="3">
        <v>27.186274999999998</v>
      </c>
      <c r="R228" s="1" t="s">
        <v>34</v>
      </c>
      <c r="S228" s="1" t="s">
        <v>35</v>
      </c>
      <c r="T228" s="1" t="s">
        <v>36</v>
      </c>
      <c r="U228" s="1" t="s">
        <v>37</v>
      </c>
      <c r="V228" s="1" t="s">
        <v>38</v>
      </c>
      <c r="W228" s="1" t="s">
        <v>39</v>
      </c>
      <c r="X228" s="8">
        <f>+IFERROR(VLOOKUP(N228,[1]Hoja1!$B$2:$F$52,4,0)*P228,"")</f>
        <v>0.38145161290322577</v>
      </c>
      <c r="Y228" s="8" t="e">
        <f>+VLOOKUP(M228,[1]SKU!$B$3:$E$81,4,0)</f>
        <v>#N/A</v>
      </c>
      <c r="Z228" s="8" t="str">
        <f t="shared" si="3"/>
        <v>BEES</v>
      </c>
      <c r="AA228" s="8" t="str">
        <f>+VLOOKUP(I228,[1]SKU!$H$2:$I$97,2,0)</f>
        <v>PE07009</v>
      </c>
    </row>
    <row r="229" spans="1:27">
      <c r="A229" s="1" t="s">
        <v>51</v>
      </c>
      <c r="B229" s="2">
        <v>46295</v>
      </c>
      <c r="C229" s="1" t="s">
        <v>235</v>
      </c>
      <c r="D229" s="1" t="s">
        <v>52</v>
      </c>
      <c r="E229" s="1" t="s">
        <v>236</v>
      </c>
      <c r="F229" s="1" t="s">
        <v>237</v>
      </c>
      <c r="G229" s="1" t="s">
        <v>26</v>
      </c>
      <c r="H229" s="1" t="s">
        <v>27</v>
      </c>
      <c r="I229" s="1" t="s">
        <v>238</v>
      </c>
      <c r="J229" s="1" t="s">
        <v>28</v>
      </c>
      <c r="K229" s="1" t="s">
        <v>29</v>
      </c>
      <c r="L229" s="1" t="s">
        <v>30</v>
      </c>
      <c r="M229" s="1" t="s">
        <v>96</v>
      </c>
      <c r="N229" s="1" t="s">
        <v>97</v>
      </c>
      <c r="O229" s="1" t="s">
        <v>61</v>
      </c>
      <c r="P229" s="3">
        <v>1</v>
      </c>
      <c r="Q229" s="3">
        <v>26.676470999999999</v>
      </c>
      <c r="R229" s="1" t="s">
        <v>34</v>
      </c>
      <c r="S229" s="1" t="s">
        <v>35</v>
      </c>
      <c r="T229" s="1" t="s">
        <v>36</v>
      </c>
      <c r="U229" s="1" t="s">
        <v>37</v>
      </c>
      <c r="V229" s="1" t="s">
        <v>38</v>
      </c>
      <c r="W229" s="1" t="s">
        <v>39</v>
      </c>
      <c r="X229" s="8">
        <f>+IFERROR(VLOOKUP(N229,[1]Hoja1!$B$2:$F$52,4,0)*P229,"")</f>
        <v>0.38145161290322577</v>
      </c>
      <c r="Y229" s="8" t="e">
        <f>+VLOOKUP(M229,[1]SKU!$B$3:$E$81,4,0)</f>
        <v>#N/A</v>
      </c>
      <c r="Z229" s="8" t="str">
        <f t="shared" si="3"/>
        <v>BEES</v>
      </c>
      <c r="AA229" s="8" t="str">
        <f>+VLOOKUP(I229,[1]SKU!$H$2:$I$97,2,0)</f>
        <v>PE07011</v>
      </c>
    </row>
    <row r="230" spans="1:27">
      <c r="A230" s="1" t="s">
        <v>40</v>
      </c>
      <c r="B230" s="2">
        <v>46295</v>
      </c>
      <c r="C230" s="1" t="s">
        <v>269</v>
      </c>
      <c r="D230" s="1" t="s">
        <v>41</v>
      </c>
      <c r="E230" s="1" t="s">
        <v>270</v>
      </c>
      <c r="F230" s="1" t="s">
        <v>271</v>
      </c>
      <c r="G230" s="1" t="s">
        <v>26</v>
      </c>
      <c r="H230" s="1" t="s">
        <v>27</v>
      </c>
      <c r="I230" s="1" t="s">
        <v>132</v>
      </c>
      <c r="J230" s="1" t="s">
        <v>28</v>
      </c>
      <c r="K230" s="1" t="s">
        <v>29</v>
      </c>
      <c r="L230" s="1" t="s">
        <v>30</v>
      </c>
      <c r="M230" s="1" t="s">
        <v>96</v>
      </c>
      <c r="N230" s="1" t="s">
        <v>97</v>
      </c>
      <c r="O230" s="1" t="s">
        <v>61</v>
      </c>
      <c r="P230" s="3">
        <v>5</v>
      </c>
      <c r="Q230" s="3">
        <v>151.37889999999999</v>
      </c>
      <c r="R230" s="1" t="s">
        <v>34</v>
      </c>
      <c r="S230" s="1" t="s">
        <v>35</v>
      </c>
      <c r="T230" s="1" t="s">
        <v>36</v>
      </c>
      <c r="U230" s="1" t="s">
        <v>37</v>
      </c>
      <c r="V230" s="1" t="s">
        <v>38</v>
      </c>
      <c r="W230" s="1" t="s">
        <v>39</v>
      </c>
      <c r="X230" s="8">
        <f>+IFERROR(VLOOKUP(N230,[1]Hoja1!$B$2:$F$52,4,0)*P230,"")</f>
        <v>1.9072580645161288</v>
      </c>
      <c r="Y230" s="8" t="e">
        <f>+VLOOKUP(M230,[1]SKU!$B$3:$E$81,4,0)</f>
        <v>#N/A</v>
      </c>
      <c r="Z230" s="8" t="str">
        <f t="shared" si="3"/>
        <v>BEES</v>
      </c>
      <c r="AA230" s="8" t="str">
        <f>+VLOOKUP(I230,[1]SKU!$H$2:$I$97,2,0)</f>
        <v>PE07009</v>
      </c>
    </row>
    <row r="231" spans="1:27">
      <c r="A231" s="1" t="s">
        <v>42</v>
      </c>
      <c r="B231" s="2">
        <v>46295</v>
      </c>
      <c r="C231" s="1" t="s">
        <v>543</v>
      </c>
      <c r="D231" s="1" t="s">
        <v>43</v>
      </c>
      <c r="E231" s="1" t="s">
        <v>544</v>
      </c>
      <c r="F231" s="1" t="s">
        <v>545</v>
      </c>
      <c r="G231" s="1" t="s">
        <v>26</v>
      </c>
      <c r="H231" s="1" t="s">
        <v>27</v>
      </c>
      <c r="I231" s="1" t="s">
        <v>65</v>
      </c>
      <c r="J231" s="1" t="s">
        <v>28</v>
      </c>
      <c r="K231" s="1" t="s">
        <v>29</v>
      </c>
      <c r="L231" s="1" t="s">
        <v>30</v>
      </c>
      <c r="M231" s="1" t="s">
        <v>96</v>
      </c>
      <c r="N231" s="1" t="s">
        <v>97</v>
      </c>
      <c r="O231" s="1" t="s">
        <v>61</v>
      </c>
      <c r="P231" s="3">
        <v>2</v>
      </c>
      <c r="Q231" s="3">
        <v>61.362240999999997</v>
      </c>
      <c r="R231" s="1" t="s">
        <v>34</v>
      </c>
      <c r="S231" s="1" t="s">
        <v>35</v>
      </c>
      <c r="T231" s="1" t="s">
        <v>36</v>
      </c>
      <c r="U231" s="1" t="s">
        <v>37</v>
      </c>
      <c r="V231" s="1" t="s">
        <v>38</v>
      </c>
      <c r="W231" s="1" t="s">
        <v>39</v>
      </c>
      <c r="X231" s="8">
        <f>+IFERROR(VLOOKUP(N231,[1]Hoja1!$B$2:$F$52,4,0)*P231,"")</f>
        <v>0.76290322580645153</v>
      </c>
      <c r="Y231" s="8" t="e">
        <f>+VLOOKUP(M231,[1]SKU!$B$3:$E$81,4,0)</f>
        <v>#N/A</v>
      </c>
      <c r="Z231" s="8" t="str">
        <f t="shared" si="3"/>
        <v>BEES</v>
      </c>
      <c r="AA231" s="8" t="str">
        <f>+VLOOKUP(I231,[1]SKU!$H$2:$I$97,2,0)</f>
        <v>PE07003</v>
      </c>
    </row>
    <row r="232" spans="1:27">
      <c r="A232" s="1" t="s">
        <v>40</v>
      </c>
      <c r="B232" s="2">
        <v>46295</v>
      </c>
      <c r="C232" s="1" t="s">
        <v>533</v>
      </c>
      <c r="D232" s="1" t="s">
        <v>41</v>
      </c>
      <c r="E232" s="1" t="s">
        <v>534</v>
      </c>
      <c r="F232" s="1" t="s">
        <v>535</v>
      </c>
      <c r="G232" s="1" t="s">
        <v>26</v>
      </c>
      <c r="H232" s="1" t="s">
        <v>27</v>
      </c>
      <c r="I232" s="1" t="s">
        <v>132</v>
      </c>
      <c r="J232" s="1" t="s">
        <v>28</v>
      </c>
      <c r="K232" s="1" t="s">
        <v>29</v>
      </c>
      <c r="L232" s="1" t="s">
        <v>30</v>
      </c>
      <c r="M232" s="1" t="s">
        <v>96</v>
      </c>
      <c r="N232" s="1" t="s">
        <v>97</v>
      </c>
      <c r="O232" s="1" t="s">
        <v>61</v>
      </c>
      <c r="P232" s="3">
        <v>1</v>
      </c>
      <c r="Q232" s="3">
        <v>26.676470999999999</v>
      </c>
      <c r="R232" s="1" t="s">
        <v>34</v>
      </c>
      <c r="S232" s="1" t="s">
        <v>35</v>
      </c>
      <c r="T232" s="1" t="s">
        <v>36</v>
      </c>
      <c r="U232" s="1" t="s">
        <v>37</v>
      </c>
      <c r="V232" s="1" t="s">
        <v>38</v>
      </c>
      <c r="W232" s="1" t="s">
        <v>39</v>
      </c>
      <c r="X232" s="8">
        <f>+IFERROR(VLOOKUP(N232,[1]Hoja1!$B$2:$F$52,4,0)*P232,"")</f>
        <v>0.38145161290322577</v>
      </c>
      <c r="Y232" s="8" t="e">
        <f>+VLOOKUP(M232,[1]SKU!$B$3:$E$81,4,0)</f>
        <v>#N/A</v>
      </c>
      <c r="Z232" s="8" t="str">
        <f t="shared" si="3"/>
        <v>BEES</v>
      </c>
      <c r="AA232" s="8" t="str">
        <f>+VLOOKUP(I232,[1]SKU!$H$2:$I$97,2,0)</f>
        <v>PE07009</v>
      </c>
    </row>
    <row r="233" spans="1:27">
      <c r="A233" s="1" t="s">
        <v>42</v>
      </c>
      <c r="B233" s="2">
        <v>46295</v>
      </c>
      <c r="C233" s="1" t="s">
        <v>563</v>
      </c>
      <c r="D233" s="1" t="s">
        <v>43</v>
      </c>
      <c r="E233" s="1" t="s">
        <v>564</v>
      </c>
      <c r="F233" s="1" t="s">
        <v>565</v>
      </c>
      <c r="G233" s="1" t="s">
        <v>26</v>
      </c>
      <c r="H233" s="1" t="s">
        <v>27</v>
      </c>
      <c r="I233" s="1" t="s">
        <v>180</v>
      </c>
      <c r="J233" s="1" t="s">
        <v>28</v>
      </c>
      <c r="K233" s="1" t="s">
        <v>29</v>
      </c>
      <c r="L233" s="1" t="s">
        <v>30</v>
      </c>
      <c r="M233" s="1" t="s">
        <v>31</v>
      </c>
      <c r="N233" s="1" t="s">
        <v>32</v>
      </c>
      <c r="O233" s="1" t="s">
        <v>33</v>
      </c>
      <c r="P233" s="3">
        <v>5</v>
      </c>
      <c r="Q233" s="3">
        <v>368.27474999999998</v>
      </c>
      <c r="R233" s="1" t="s">
        <v>34</v>
      </c>
      <c r="S233" s="1" t="s">
        <v>35</v>
      </c>
      <c r="T233" s="1" t="s">
        <v>36</v>
      </c>
      <c r="U233" s="1" t="s">
        <v>37</v>
      </c>
      <c r="V233" s="1" t="s">
        <v>38</v>
      </c>
      <c r="W233" s="1" t="s">
        <v>39</v>
      </c>
      <c r="X233" s="8">
        <f>+IFERROR(VLOOKUP(N233,[1]Hoja1!$B$2:$F$52,4,0)*P233,"")</f>
        <v>5</v>
      </c>
      <c r="Y233" s="8" t="str">
        <f>+VLOOKUP(M233,[1]SKU!$B$3:$E$81,4,0)</f>
        <v>REGULAR</v>
      </c>
      <c r="Z233" s="8" t="str">
        <f t="shared" si="3"/>
        <v>BEES</v>
      </c>
      <c r="AA233" s="8" t="str">
        <f>+VLOOKUP(I233,[1]SKU!$H$2:$I$97,2,0)</f>
        <v>PE07002</v>
      </c>
    </row>
    <row r="234" spans="1:27">
      <c r="A234" s="1" t="s">
        <v>42</v>
      </c>
      <c r="B234" s="2">
        <v>46295</v>
      </c>
      <c r="C234" s="1" t="s">
        <v>304</v>
      </c>
      <c r="D234" s="1" t="s">
        <v>43</v>
      </c>
      <c r="E234" s="1" t="s">
        <v>305</v>
      </c>
      <c r="F234" s="1" t="s">
        <v>306</v>
      </c>
      <c r="G234" s="1" t="s">
        <v>26</v>
      </c>
      <c r="H234" s="1" t="s">
        <v>27</v>
      </c>
      <c r="I234" s="1" t="s">
        <v>72</v>
      </c>
      <c r="J234" s="1" t="s">
        <v>28</v>
      </c>
      <c r="K234" s="1" t="s">
        <v>29</v>
      </c>
      <c r="L234" s="1" t="s">
        <v>30</v>
      </c>
      <c r="M234" s="1" t="s">
        <v>31</v>
      </c>
      <c r="N234" s="1" t="s">
        <v>32</v>
      </c>
      <c r="O234" s="1" t="s">
        <v>33</v>
      </c>
      <c r="P234" s="3">
        <v>2</v>
      </c>
      <c r="Q234" s="3">
        <v>151.95689899999999</v>
      </c>
      <c r="R234" s="1" t="s">
        <v>34</v>
      </c>
      <c r="S234" s="1" t="s">
        <v>35</v>
      </c>
      <c r="T234" s="1" t="s">
        <v>36</v>
      </c>
      <c r="U234" s="1" t="s">
        <v>37</v>
      </c>
      <c r="V234" s="1" t="s">
        <v>38</v>
      </c>
      <c r="W234" s="1" t="s">
        <v>39</v>
      </c>
      <c r="X234" s="8">
        <f>+IFERROR(VLOOKUP(N234,[1]Hoja1!$B$2:$F$52,4,0)*P234,"")</f>
        <v>2</v>
      </c>
      <c r="Y234" s="8" t="str">
        <f>+VLOOKUP(M234,[1]SKU!$B$3:$E$81,4,0)</f>
        <v>REGULAR</v>
      </c>
      <c r="Z234" s="8" t="str">
        <f t="shared" si="3"/>
        <v>BEES</v>
      </c>
      <c r="AA234" s="8" t="str">
        <f>+VLOOKUP(I234,[1]SKU!$H$2:$I$97,2,0)</f>
        <v>PE07001</v>
      </c>
    </row>
    <row r="235" spans="1:27">
      <c r="A235" s="1" t="s">
        <v>24</v>
      </c>
      <c r="B235" s="2">
        <v>46295</v>
      </c>
      <c r="C235" s="1" t="s">
        <v>416</v>
      </c>
      <c r="D235" s="1" t="s">
        <v>25</v>
      </c>
      <c r="E235" s="1" t="s">
        <v>417</v>
      </c>
      <c r="F235" s="1" t="s">
        <v>418</v>
      </c>
      <c r="G235" s="1" t="s">
        <v>26</v>
      </c>
      <c r="H235" s="1" t="s">
        <v>27</v>
      </c>
      <c r="I235" s="1" t="s">
        <v>53</v>
      </c>
      <c r="J235" s="1" t="s">
        <v>28</v>
      </c>
      <c r="K235" s="1" t="s">
        <v>29</v>
      </c>
      <c r="L235" s="1" t="s">
        <v>30</v>
      </c>
      <c r="M235" s="1" t="s">
        <v>31</v>
      </c>
      <c r="N235" s="1" t="s">
        <v>32</v>
      </c>
      <c r="O235" s="1" t="s">
        <v>33</v>
      </c>
      <c r="P235" s="3">
        <v>1</v>
      </c>
      <c r="Q235" s="3">
        <v>76.210800000000006</v>
      </c>
      <c r="R235" s="1" t="s">
        <v>34</v>
      </c>
      <c r="S235" s="1" t="s">
        <v>35</v>
      </c>
      <c r="T235" s="1" t="s">
        <v>36</v>
      </c>
      <c r="U235" s="1" t="s">
        <v>37</v>
      </c>
      <c r="V235" s="1" t="s">
        <v>38</v>
      </c>
      <c r="W235" s="1" t="s">
        <v>39</v>
      </c>
      <c r="X235" s="8">
        <f>+IFERROR(VLOOKUP(N235,[1]Hoja1!$B$2:$F$52,4,0)*P235,"")</f>
        <v>1</v>
      </c>
      <c r="Y235" s="8" t="str">
        <f>+VLOOKUP(M235,[1]SKU!$B$3:$E$81,4,0)</f>
        <v>REGULAR</v>
      </c>
      <c r="Z235" s="8" t="str">
        <f t="shared" si="3"/>
        <v>BEES</v>
      </c>
      <c r="AA235" s="8" t="str">
        <f>+VLOOKUP(I235,[1]SKU!$H$2:$I$97,2,0)</f>
        <v>PE07010</v>
      </c>
    </row>
    <row r="236" spans="1:27">
      <c r="A236" s="1" t="s">
        <v>40</v>
      </c>
      <c r="B236" s="2">
        <v>46295</v>
      </c>
      <c r="C236" s="1" t="s">
        <v>309</v>
      </c>
      <c r="D236" s="1" t="s">
        <v>41</v>
      </c>
      <c r="E236" s="1" t="s">
        <v>310</v>
      </c>
      <c r="F236" s="1" t="s">
        <v>311</v>
      </c>
      <c r="G236" s="1" t="s">
        <v>26</v>
      </c>
      <c r="H236" s="1" t="s">
        <v>27</v>
      </c>
      <c r="I236" s="1" t="s">
        <v>132</v>
      </c>
      <c r="J236" s="1" t="s">
        <v>28</v>
      </c>
      <c r="K236" s="1" t="s">
        <v>29</v>
      </c>
      <c r="L236" s="1" t="s">
        <v>30</v>
      </c>
      <c r="M236" s="1" t="s">
        <v>31</v>
      </c>
      <c r="N236" s="1" t="s">
        <v>32</v>
      </c>
      <c r="O236" s="1" t="s">
        <v>33</v>
      </c>
      <c r="P236" s="3">
        <v>1</v>
      </c>
      <c r="Q236" s="3">
        <v>73.460784000000004</v>
      </c>
      <c r="R236" s="1" t="s">
        <v>34</v>
      </c>
      <c r="S236" s="1" t="s">
        <v>35</v>
      </c>
      <c r="T236" s="1" t="s">
        <v>36</v>
      </c>
      <c r="U236" s="1" t="s">
        <v>37</v>
      </c>
      <c r="V236" s="1" t="s">
        <v>38</v>
      </c>
      <c r="W236" s="1" t="s">
        <v>39</v>
      </c>
      <c r="X236" s="8">
        <f>+IFERROR(VLOOKUP(N236,[1]Hoja1!$B$2:$F$52,4,0)*P236,"")</f>
        <v>1</v>
      </c>
      <c r="Y236" s="8" t="str">
        <f>+VLOOKUP(M236,[1]SKU!$B$3:$E$81,4,0)</f>
        <v>REGULAR</v>
      </c>
      <c r="Z236" s="8" t="str">
        <f t="shared" si="3"/>
        <v>BEES</v>
      </c>
      <c r="AA236" s="8" t="str">
        <f>+VLOOKUP(I236,[1]SKU!$H$2:$I$97,2,0)</f>
        <v>PE07009</v>
      </c>
    </row>
    <row r="237" spans="1:27">
      <c r="A237" s="1" t="s">
        <v>42</v>
      </c>
      <c r="B237" s="2">
        <v>46295</v>
      </c>
      <c r="C237" s="1" t="s">
        <v>543</v>
      </c>
      <c r="D237" s="1" t="s">
        <v>43</v>
      </c>
      <c r="E237" s="1" t="s">
        <v>544</v>
      </c>
      <c r="F237" s="1" t="s">
        <v>545</v>
      </c>
      <c r="G237" s="1" t="s">
        <v>26</v>
      </c>
      <c r="H237" s="1" t="s">
        <v>27</v>
      </c>
      <c r="I237" s="1" t="s">
        <v>65</v>
      </c>
      <c r="J237" s="1" t="s">
        <v>28</v>
      </c>
      <c r="K237" s="1" t="s">
        <v>29</v>
      </c>
      <c r="L237" s="1" t="s">
        <v>30</v>
      </c>
      <c r="M237" s="1" t="s">
        <v>31</v>
      </c>
      <c r="N237" s="1" t="s">
        <v>32</v>
      </c>
      <c r="O237" s="1" t="s">
        <v>33</v>
      </c>
      <c r="P237" s="3">
        <v>4</v>
      </c>
      <c r="Q237" s="3">
        <v>303.29419999999999</v>
      </c>
      <c r="R237" s="1" t="s">
        <v>34</v>
      </c>
      <c r="S237" s="1" t="s">
        <v>35</v>
      </c>
      <c r="T237" s="1" t="s">
        <v>36</v>
      </c>
      <c r="U237" s="1" t="s">
        <v>37</v>
      </c>
      <c r="V237" s="1" t="s">
        <v>38</v>
      </c>
      <c r="W237" s="1" t="s">
        <v>39</v>
      </c>
      <c r="X237" s="8">
        <f>+IFERROR(VLOOKUP(N237,[1]Hoja1!$B$2:$F$52,4,0)*P237,"")</f>
        <v>4</v>
      </c>
      <c r="Y237" s="8" t="str">
        <f>+VLOOKUP(M237,[1]SKU!$B$3:$E$81,4,0)</f>
        <v>REGULAR</v>
      </c>
      <c r="Z237" s="8" t="str">
        <f t="shared" si="3"/>
        <v>BEES</v>
      </c>
      <c r="AA237" s="8" t="str">
        <f>+VLOOKUP(I237,[1]SKU!$H$2:$I$97,2,0)</f>
        <v>PE07003</v>
      </c>
    </row>
    <row r="238" spans="1:27">
      <c r="A238" s="1" t="s">
        <v>40</v>
      </c>
      <c r="B238" s="2">
        <v>46295</v>
      </c>
      <c r="C238" s="1" t="s">
        <v>316</v>
      </c>
      <c r="D238" s="1" t="s">
        <v>41</v>
      </c>
      <c r="E238" s="1" t="s">
        <v>317</v>
      </c>
      <c r="F238" s="1" t="s">
        <v>318</v>
      </c>
      <c r="G238" s="1" t="s">
        <v>26</v>
      </c>
      <c r="H238" s="1" t="s">
        <v>27</v>
      </c>
      <c r="I238" s="1" t="s">
        <v>132</v>
      </c>
      <c r="J238" s="1" t="s">
        <v>28</v>
      </c>
      <c r="K238" s="1" t="s">
        <v>29</v>
      </c>
      <c r="L238" s="1" t="s">
        <v>30</v>
      </c>
      <c r="M238" s="1" t="s">
        <v>31</v>
      </c>
      <c r="N238" s="1" t="s">
        <v>32</v>
      </c>
      <c r="O238" s="1" t="s">
        <v>33</v>
      </c>
      <c r="P238" s="3">
        <v>1</v>
      </c>
      <c r="Q238" s="3">
        <v>73.460784000000004</v>
      </c>
      <c r="R238" s="1" t="s">
        <v>34</v>
      </c>
      <c r="S238" s="1" t="s">
        <v>35</v>
      </c>
      <c r="T238" s="1" t="s">
        <v>36</v>
      </c>
      <c r="U238" s="1" t="s">
        <v>37</v>
      </c>
      <c r="V238" s="1" t="s">
        <v>38</v>
      </c>
      <c r="W238" s="1" t="s">
        <v>39</v>
      </c>
      <c r="X238" s="8">
        <f>+IFERROR(VLOOKUP(N238,[1]Hoja1!$B$2:$F$52,4,0)*P238,"")</f>
        <v>1</v>
      </c>
      <c r="Y238" s="8" t="str">
        <f>+VLOOKUP(M238,[1]SKU!$B$3:$E$81,4,0)</f>
        <v>REGULAR</v>
      </c>
      <c r="Z238" s="8" t="str">
        <f t="shared" si="3"/>
        <v>BEES</v>
      </c>
      <c r="AA238" s="8" t="str">
        <f>+VLOOKUP(I238,[1]SKU!$H$2:$I$97,2,0)</f>
        <v>PE07009</v>
      </c>
    </row>
    <row r="239" spans="1:27">
      <c r="A239" s="1" t="s">
        <v>42</v>
      </c>
      <c r="B239" s="2">
        <v>46295</v>
      </c>
      <c r="C239" s="1" t="s">
        <v>257</v>
      </c>
      <c r="D239" s="1" t="s">
        <v>43</v>
      </c>
      <c r="E239" s="1" t="s">
        <v>258</v>
      </c>
      <c r="F239" s="1" t="s">
        <v>259</v>
      </c>
      <c r="G239" s="1" t="s">
        <v>26</v>
      </c>
      <c r="H239" s="1" t="s">
        <v>27</v>
      </c>
      <c r="I239" s="1" t="s">
        <v>180</v>
      </c>
      <c r="J239" s="1" t="s">
        <v>28</v>
      </c>
      <c r="K239" s="1" t="s">
        <v>29</v>
      </c>
      <c r="L239" s="1" t="s">
        <v>30</v>
      </c>
      <c r="M239" s="1" t="s">
        <v>31</v>
      </c>
      <c r="N239" s="1" t="s">
        <v>32</v>
      </c>
      <c r="O239" s="1" t="s">
        <v>33</v>
      </c>
      <c r="P239" s="3">
        <v>2</v>
      </c>
      <c r="Q239" s="3">
        <v>151.95689899999999</v>
      </c>
      <c r="R239" s="1" t="s">
        <v>34</v>
      </c>
      <c r="S239" s="1" t="s">
        <v>35</v>
      </c>
      <c r="T239" s="1" t="s">
        <v>36</v>
      </c>
      <c r="U239" s="1" t="s">
        <v>37</v>
      </c>
      <c r="V239" s="1" t="s">
        <v>38</v>
      </c>
      <c r="W239" s="1" t="s">
        <v>39</v>
      </c>
      <c r="X239" s="8">
        <f>+IFERROR(VLOOKUP(N239,[1]Hoja1!$B$2:$F$52,4,0)*P239,"")</f>
        <v>2</v>
      </c>
      <c r="Y239" s="8" t="str">
        <f>+VLOOKUP(M239,[1]SKU!$B$3:$E$81,4,0)</f>
        <v>REGULAR</v>
      </c>
      <c r="Z239" s="8" t="str">
        <f t="shared" si="3"/>
        <v>BEES</v>
      </c>
      <c r="AA239" s="8" t="str">
        <f>+VLOOKUP(I239,[1]SKU!$H$2:$I$97,2,0)</f>
        <v>PE07002</v>
      </c>
    </row>
    <row r="240" spans="1:27">
      <c r="A240" s="1" t="s">
        <v>24</v>
      </c>
      <c r="B240" s="2">
        <v>46295</v>
      </c>
      <c r="C240" s="1" t="s">
        <v>386</v>
      </c>
      <c r="D240" s="1" t="s">
        <v>25</v>
      </c>
      <c r="E240" s="1" t="s">
        <v>387</v>
      </c>
      <c r="F240" s="1" t="s">
        <v>388</v>
      </c>
      <c r="G240" s="1" t="s">
        <v>26</v>
      </c>
      <c r="H240" s="1" t="s">
        <v>27</v>
      </c>
      <c r="I240" s="1" t="s">
        <v>53</v>
      </c>
      <c r="J240" s="1" t="s">
        <v>28</v>
      </c>
      <c r="K240" s="1" t="s">
        <v>29</v>
      </c>
      <c r="L240" s="1" t="s">
        <v>30</v>
      </c>
      <c r="M240" s="1" t="s">
        <v>111</v>
      </c>
      <c r="N240" s="1" t="s">
        <v>112</v>
      </c>
      <c r="O240" s="1" t="s">
        <v>61</v>
      </c>
      <c r="P240" s="3">
        <v>1</v>
      </c>
      <c r="Q240" s="3">
        <v>25</v>
      </c>
      <c r="R240" s="1" t="s">
        <v>34</v>
      </c>
      <c r="S240" s="1" t="s">
        <v>35</v>
      </c>
      <c r="T240" s="1" t="s">
        <v>36</v>
      </c>
      <c r="U240" s="1" t="s">
        <v>37</v>
      </c>
      <c r="V240" s="1" t="s">
        <v>38</v>
      </c>
      <c r="W240" s="1" t="s">
        <v>39</v>
      </c>
      <c r="X240" s="8">
        <f>+IFERROR(VLOOKUP(N240,[1]Hoja1!$B$2:$F$52,4,0)*P240,"")</f>
        <v>0.28629032258064518</v>
      </c>
      <c r="Y240" s="8" t="e">
        <f>+VLOOKUP(M240,[1]SKU!$B$3:$E$81,4,0)</f>
        <v>#N/A</v>
      </c>
      <c r="Z240" s="8" t="str">
        <f t="shared" si="3"/>
        <v>BEES</v>
      </c>
      <c r="AA240" s="8" t="str">
        <f>+VLOOKUP(I240,[1]SKU!$H$2:$I$97,2,0)</f>
        <v>PE07010</v>
      </c>
    </row>
    <row r="241" spans="1:27">
      <c r="A241" s="1" t="s">
        <v>42</v>
      </c>
      <c r="B241" s="2">
        <v>46295</v>
      </c>
      <c r="C241" s="1" t="s">
        <v>443</v>
      </c>
      <c r="D241" s="1" t="s">
        <v>43</v>
      </c>
      <c r="E241" s="1" t="s">
        <v>444</v>
      </c>
      <c r="F241" s="1" t="s">
        <v>445</v>
      </c>
      <c r="G241" s="1" t="s">
        <v>26</v>
      </c>
      <c r="H241" s="1" t="s">
        <v>27</v>
      </c>
      <c r="I241" s="1" t="s">
        <v>267</v>
      </c>
      <c r="J241" s="1" t="s">
        <v>28</v>
      </c>
      <c r="K241" s="1" t="s">
        <v>29</v>
      </c>
      <c r="L241" s="1" t="s">
        <v>30</v>
      </c>
      <c r="M241" s="1" t="s">
        <v>111</v>
      </c>
      <c r="N241" s="1" t="s">
        <v>112</v>
      </c>
      <c r="O241" s="1" t="s">
        <v>61</v>
      </c>
      <c r="P241" s="3">
        <v>1</v>
      </c>
      <c r="Q241" s="3">
        <v>27.521000000000001</v>
      </c>
      <c r="R241" s="1" t="s">
        <v>34</v>
      </c>
      <c r="S241" s="1" t="s">
        <v>35</v>
      </c>
      <c r="T241" s="1" t="s">
        <v>36</v>
      </c>
      <c r="U241" s="1" t="s">
        <v>37</v>
      </c>
      <c r="V241" s="1" t="s">
        <v>38</v>
      </c>
      <c r="W241" s="1" t="s">
        <v>39</v>
      </c>
      <c r="X241" s="8">
        <f>+IFERROR(VLOOKUP(N241,[1]Hoja1!$B$2:$F$52,4,0)*P241,"")</f>
        <v>0.28629032258064518</v>
      </c>
      <c r="Y241" s="8" t="e">
        <f>+VLOOKUP(M241,[1]SKU!$B$3:$E$81,4,0)</f>
        <v>#N/A</v>
      </c>
      <c r="Z241" s="8" t="str">
        <f t="shared" si="3"/>
        <v>BEES</v>
      </c>
      <c r="AA241" s="8" t="str">
        <f>+VLOOKUP(I241,[1]SKU!$H$2:$I$97,2,0)</f>
        <v>PE07006</v>
      </c>
    </row>
    <row r="242" spans="1:27">
      <c r="A242" s="1" t="s">
        <v>42</v>
      </c>
      <c r="B242" s="2">
        <v>46295</v>
      </c>
      <c r="C242" s="1" t="s">
        <v>276</v>
      </c>
      <c r="D242" s="1" t="s">
        <v>43</v>
      </c>
      <c r="E242" s="1" t="s">
        <v>277</v>
      </c>
      <c r="F242" s="1" t="s">
        <v>278</v>
      </c>
      <c r="G242" s="1" t="s">
        <v>26</v>
      </c>
      <c r="H242" s="1" t="s">
        <v>27</v>
      </c>
      <c r="I242" s="1" t="s">
        <v>180</v>
      </c>
      <c r="J242" s="1" t="s">
        <v>28</v>
      </c>
      <c r="K242" s="1" t="s">
        <v>29</v>
      </c>
      <c r="L242" s="1" t="s">
        <v>30</v>
      </c>
      <c r="M242" s="1" t="s">
        <v>111</v>
      </c>
      <c r="N242" s="1" t="s">
        <v>112</v>
      </c>
      <c r="O242" s="1" t="s">
        <v>61</v>
      </c>
      <c r="P242" s="3">
        <v>1</v>
      </c>
      <c r="Q242" s="3">
        <v>27.521000000000001</v>
      </c>
      <c r="R242" s="1" t="s">
        <v>34</v>
      </c>
      <c r="S242" s="1" t="s">
        <v>35</v>
      </c>
      <c r="T242" s="1" t="s">
        <v>36</v>
      </c>
      <c r="U242" s="1" t="s">
        <v>37</v>
      </c>
      <c r="V242" s="1" t="s">
        <v>38</v>
      </c>
      <c r="W242" s="1" t="s">
        <v>39</v>
      </c>
      <c r="X242" s="8">
        <f>+IFERROR(VLOOKUP(N242,[1]Hoja1!$B$2:$F$52,4,0)*P242,"")</f>
        <v>0.28629032258064518</v>
      </c>
      <c r="Y242" s="8" t="e">
        <f>+VLOOKUP(M242,[1]SKU!$B$3:$E$81,4,0)</f>
        <v>#N/A</v>
      </c>
      <c r="Z242" s="8" t="str">
        <f t="shared" si="3"/>
        <v>BEES</v>
      </c>
      <c r="AA242" s="8" t="str">
        <f>+VLOOKUP(I242,[1]SKU!$H$2:$I$97,2,0)</f>
        <v>PE07002</v>
      </c>
    </row>
    <row r="243" spans="1:27">
      <c r="A243" s="1" t="s">
        <v>40</v>
      </c>
      <c r="B243" s="2">
        <v>46295</v>
      </c>
      <c r="C243" s="1" t="s">
        <v>269</v>
      </c>
      <c r="D243" s="1" t="s">
        <v>41</v>
      </c>
      <c r="E243" s="1" t="s">
        <v>270</v>
      </c>
      <c r="F243" s="1" t="s">
        <v>271</v>
      </c>
      <c r="G243" s="1" t="s">
        <v>26</v>
      </c>
      <c r="H243" s="1" t="s">
        <v>27</v>
      </c>
      <c r="I243" s="1" t="s">
        <v>132</v>
      </c>
      <c r="J243" s="1" t="s">
        <v>28</v>
      </c>
      <c r="K243" s="1" t="s">
        <v>29</v>
      </c>
      <c r="L243" s="1" t="s">
        <v>30</v>
      </c>
      <c r="M243" s="1" t="s">
        <v>111</v>
      </c>
      <c r="N243" s="1" t="s">
        <v>112</v>
      </c>
      <c r="O243" s="1" t="s">
        <v>61</v>
      </c>
      <c r="P243" s="3">
        <v>1</v>
      </c>
      <c r="Q243" s="3">
        <v>27.521000000000001</v>
      </c>
      <c r="R243" s="1" t="s">
        <v>34</v>
      </c>
      <c r="S243" s="1" t="s">
        <v>35</v>
      </c>
      <c r="T243" s="1" t="s">
        <v>36</v>
      </c>
      <c r="U243" s="1" t="s">
        <v>37</v>
      </c>
      <c r="V243" s="1" t="s">
        <v>38</v>
      </c>
      <c r="W243" s="1" t="s">
        <v>39</v>
      </c>
      <c r="X243" s="8">
        <f>+IFERROR(VLOOKUP(N243,[1]Hoja1!$B$2:$F$52,4,0)*P243,"")</f>
        <v>0.28629032258064518</v>
      </c>
      <c r="Y243" s="8" t="e">
        <f>+VLOOKUP(M243,[1]SKU!$B$3:$E$81,4,0)</f>
        <v>#N/A</v>
      </c>
      <c r="Z243" s="8" t="str">
        <f t="shared" si="3"/>
        <v>BEES</v>
      </c>
      <c r="AA243" s="8" t="str">
        <f>+VLOOKUP(I243,[1]SKU!$H$2:$I$97,2,0)</f>
        <v>PE07009</v>
      </c>
    </row>
    <row r="244" spans="1:27">
      <c r="A244" s="1" t="s">
        <v>42</v>
      </c>
      <c r="B244" s="2">
        <v>46295</v>
      </c>
      <c r="C244" s="1" t="s">
        <v>566</v>
      </c>
      <c r="D244" s="1" t="s">
        <v>43</v>
      </c>
      <c r="E244" s="1" t="s">
        <v>567</v>
      </c>
      <c r="F244" s="1" t="s">
        <v>568</v>
      </c>
      <c r="G244" s="1" t="s">
        <v>26</v>
      </c>
      <c r="H244" s="1" t="s">
        <v>27</v>
      </c>
      <c r="I244" s="1" t="s">
        <v>65</v>
      </c>
      <c r="J244" s="1" t="s">
        <v>28</v>
      </c>
      <c r="K244" s="1" t="s">
        <v>29</v>
      </c>
      <c r="L244" s="1" t="s">
        <v>30</v>
      </c>
      <c r="M244" s="1" t="s">
        <v>111</v>
      </c>
      <c r="N244" s="1" t="s">
        <v>112</v>
      </c>
      <c r="O244" s="1" t="s">
        <v>61</v>
      </c>
      <c r="P244" s="3">
        <v>1</v>
      </c>
      <c r="Q244" s="3">
        <v>26.5</v>
      </c>
      <c r="R244" s="1" t="s">
        <v>34</v>
      </c>
      <c r="S244" s="1" t="s">
        <v>35</v>
      </c>
      <c r="T244" s="1" t="s">
        <v>36</v>
      </c>
      <c r="U244" s="1" t="s">
        <v>37</v>
      </c>
      <c r="V244" s="1" t="s">
        <v>38</v>
      </c>
      <c r="W244" s="1" t="s">
        <v>39</v>
      </c>
      <c r="X244" s="8">
        <f>+IFERROR(VLOOKUP(N244,[1]Hoja1!$B$2:$F$52,4,0)*P244,"")</f>
        <v>0.28629032258064518</v>
      </c>
      <c r="Y244" s="8" t="e">
        <f>+VLOOKUP(M244,[1]SKU!$B$3:$E$81,4,0)</f>
        <v>#N/A</v>
      </c>
      <c r="Z244" s="8" t="str">
        <f t="shared" si="3"/>
        <v>BEES</v>
      </c>
      <c r="AA244" s="8" t="str">
        <f>+VLOOKUP(I244,[1]SKU!$H$2:$I$97,2,0)</f>
        <v>PE07003</v>
      </c>
    </row>
    <row r="245" spans="1:27">
      <c r="A245" s="1" t="s">
        <v>40</v>
      </c>
      <c r="B245" s="2">
        <v>46295</v>
      </c>
      <c r="C245" s="1" t="s">
        <v>364</v>
      </c>
      <c r="D245" s="1" t="s">
        <v>41</v>
      </c>
      <c r="E245" s="1" t="s">
        <v>365</v>
      </c>
      <c r="F245" s="1" t="s">
        <v>366</v>
      </c>
      <c r="G245" s="1" t="s">
        <v>26</v>
      </c>
      <c r="H245" s="1" t="s">
        <v>27</v>
      </c>
      <c r="I245" s="1" t="s">
        <v>132</v>
      </c>
      <c r="J245" s="1" t="s">
        <v>28</v>
      </c>
      <c r="K245" s="1" t="s">
        <v>29</v>
      </c>
      <c r="L245" s="1" t="s">
        <v>30</v>
      </c>
      <c r="M245" s="1" t="s">
        <v>158</v>
      </c>
      <c r="N245" s="1" t="s">
        <v>159</v>
      </c>
      <c r="O245" s="1" t="s">
        <v>155</v>
      </c>
      <c r="P245" s="3">
        <v>1</v>
      </c>
      <c r="Q245" s="3">
        <v>0</v>
      </c>
      <c r="R245" s="1" t="s">
        <v>77</v>
      </c>
      <c r="S245" s="1" t="s">
        <v>35</v>
      </c>
      <c r="T245" s="1" t="s">
        <v>36</v>
      </c>
      <c r="U245" s="1" t="s">
        <v>37</v>
      </c>
      <c r="V245" s="1" t="s">
        <v>85</v>
      </c>
      <c r="W245" s="1" t="s">
        <v>39</v>
      </c>
      <c r="X245" s="8" t="str">
        <f>+IFERROR(VLOOKUP(N245,[1]Hoja1!$B$2:$F$52,4,0)*P245,"")</f>
        <v/>
      </c>
      <c r="Y245" s="8" t="e">
        <f>+VLOOKUP(M245,[1]SKU!$B$3:$E$81,4,0)</f>
        <v>#N/A</v>
      </c>
      <c r="Z245" s="8" t="str">
        <f t="shared" si="3"/>
        <v>BEES</v>
      </c>
      <c r="AA245" s="8" t="str">
        <f>+VLOOKUP(I245,[1]SKU!$H$2:$I$97,2,0)</f>
        <v>PE07009</v>
      </c>
    </row>
    <row r="246" spans="1:27">
      <c r="A246" s="1" t="s">
        <v>24</v>
      </c>
      <c r="B246" s="2">
        <v>46295</v>
      </c>
      <c r="C246" s="1" t="s">
        <v>416</v>
      </c>
      <c r="D246" s="1" t="s">
        <v>25</v>
      </c>
      <c r="E246" s="1" t="s">
        <v>417</v>
      </c>
      <c r="F246" s="1" t="s">
        <v>418</v>
      </c>
      <c r="G246" s="1" t="s">
        <v>26</v>
      </c>
      <c r="H246" s="1" t="s">
        <v>27</v>
      </c>
      <c r="I246" s="1" t="s">
        <v>53</v>
      </c>
      <c r="J246" s="1" t="s">
        <v>28</v>
      </c>
      <c r="K246" s="1" t="s">
        <v>29</v>
      </c>
      <c r="L246" s="1" t="s">
        <v>30</v>
      </c>
      <c r="M246" s="1" t="s">
        <v>111</v>
      </c>
      <c r="N246" s="1" t="s">
        <v>112</v>
      </c>
      <c r="O246" s="1" t="s">
        <v>61</v>
      </c>
      <c r="P246" s="3">
        <v>1</v>
      </c>
      <c r="Q246" s="3">
        <v>28.041</v>
      </c>
      <c r="R246" s="1" t="s">
        <v>34</v>
      </c>
      <c r="S246" s="1" t="s">
        <v>35</v>
      </c>
      <c r="T246" s="1" t="s">
        <v>36</v>
      </c>
      <c r="U246" s="1" t="s">
        <v>37</v>
      </c>
      <c r="V246" s="1" t="s">
        <v>38</v>
      </c>
      <c r="W246" s="1" t="s">
        <v>39</v>
      </c>
      <c r="X246" s="8">
        <f>+IFERROR(VLOOKUP(N246,[1]Hoja1!$B$2:$F$52,4,0)*P246,"")</f>
        <v>0.28629032258064518</v>
      </c>
      <c r="Y246" s="8" t="e">
        <f>+VLOOKUP(M246,[1]SKU!$B$3:$E$81,4,0)</f>
        <v>#N/A</v>
      </c>
      <c r="Z246" s="8" t="str">
        <f t="shared" si="3"/>
        <v>BEES</v>
      </c>
      <c r="AA246" s="8" t="str">
        <f>+VLOOKUP(I246,[1]SKU!$H$2:$I$97,2,0)</f>
        <v>PE07010</v>
      </c>
    </row>
    <row r="247" spans="1:27">
      <c r="A247" s="1" t="s">
        <v>40</v>
      </c>
      <c r="B247" s="2">
        <v>46295</v>
      </c>
      <c r="C247" s="1" t="s">
        <v>569</v>
      </c>
      <c r="D247" s="1" t="s">
        <v>41</v>
      </c>
      <c r="E247" s="1" t="s">
        <v>570</v>
      </c>
      <c r="F247" s="1" t="s">
        <v>571</v>
      </c>
      <c r="G247" s="1" t="s">
        <v>26</v>
      </c>
      <c r="H247" s="1" t="s">
        <v>27</v>
      </c>
      <c r="I247" s="1" t="s">
        <v>132</v>
      </c>
      <c r="J247" s="1" t="s">
        <v>28</v>
      </c>
      <c r="K247" s="1" t="s">
        <v>29</v>
      </c>
      <c r="L247" s="1" t="s">
        <v>30</v>
      </c>
      <c r="M247" s="1" t="s">
        <v>109</v>
      </c>
      <c r="N247" s="1" t="s">
        <v>110</v>
      </c>
      <c r="O247" s="1" t="s">
        <v>61</v>
      </c>
      <c r="P247" s="3">
        <v>1</v>
      </c>
      <c r="Q247" s="3">
        <v>31.18</v>
      </c>
      <c r="R247" s="1" t="s">
        <v>34</v>
      </c>
      <c r="S247" s="1" t="s">
        <v>35</v>
      </c>
      <c r="T247" s="1" t="s">
        <v>36</v>
      </c>
      <c r="U247" s="1" t="s">
        <v>37</v>
      </c>
      <c r="V247" s="1" t="s">
        <v>38</v>
      </c>
      <c r="W247" s="1" t="s">
        <v>39</v>
      </c>
      <c r="X247" s="8" t="str">
        <f>+IFERROR(VLOOKUP(N247,[1]Hoja1!$B$2:$F$52,4,0)*P247,"")</f>
        <v/>
      </c>
      <c r="Y247" s="8" t="e">
        <f>+VLOOKUP(M247,[1]SKU!$B$3:$E$81,4,0)</f>
        <v>#N/A</v>
      </c>
      <c r="Z247" s="8" t="str">
        <f t="shared" si="3"/>
        <v>BEES</v>
      </c>
      <c r="AA247" s="8" t="str">
        <f>+VLOOKUP(I247,[1]SKU!$H$2:$I$97,2,0)</f>
        <v>PE07009</v>
      </c>
    </row>
    <row r="248" spans="1:27">
      <c r="A248" s="1" t="s">
        <v>51</v>
      </c>
      <c r="B248" s="2">
        <v>46295</v>
      </c>
      <c r="C248" s="1" t="s">
        <v>572</v>
      </c>
      <c r="D248" s="1" t="s">
        <v>52</v>
      </c>
      <c r="E248" s="1" t="s">
        <v>573</v>
      </c>
      <c r="F248" s="1" t="s">
        <v>574</v>
      </c>
      <c r="G248" s="1" t="s">
        <v>26</v>
      </c>
      <c r="H248" s="1" t="s">
        <v>27</v>
      </c>
      <c r="I248" s="1" t="s">
        <v>238</v>
      </c>
      <c r="J248" s="1" t="s">
        <v>28</v>
      </c>
      <c r="K248" s="1" t="s">
        <v>29</v>
      </c>
      <c r="L248" s="1" t="s">
        <v>30</v>
      </c>
      <c r="M248" s="1" t="s">
        <v>109</v>
      </c>
      <c r="N248" s="1" t="s">
        <v>110</v>
      </c>
      <c r="O248" s="1" t="s">
        <v>61</v>
      </c>
      <c r="P248" s="3">
        <v>1</v>
      </c>
      <c r="Q248" s="3">
        <v>29.181362</v>
      </c>
      <c r="R248" s="1" t="s">
        <v>34</v>
      </c>
      <c r="S248" s="1" t="s">
        <v>35</v>
      </c>
      <c r="T248" s="1" t="s">
        <v>36</v>
      </c>
      <c r="U248" s="1" t="s">
        <v>37</v>
      </c>
      <c r="V248" s="1" t="s">
        <v>38</v>
      </c>
      <c r="W248" s="1" t="s">
        <v>39</v>
      </c>
      <c r="X248" s="8" t="str">
        <f>+IFERROR(VLOOKUP(N248,[1]Hoja1!$B$2:$F$52,4,0)*P248,"")</f>
        <v/>
      </c>
      <c r="Y248" s="8" t="e">
        <f>+VLOOKUP(M248,[1]SKU!$B$3:$E$81,4,0)</f>
        <v>#N/A</v>
      </c>
      <c r="Z248" s="8" t="str">
        <f t="shared" si="3"/>
        <v>BEES</v>
      </c>
      <c r="AA248" s="8" t="str">
        <f>+VLOOKUP(I248,[1]SKU!$H$2:$I$97,2,0)</f>
        <v>PE07011</v>
      </c>
    </row>
    <row r="249" spans="1:27">
      <c r="A249" s="1" t="s">
        <v>24</v>
      </c>
      <c r="B249" s="2">
        <v>46295</v>
      </c>
      <c r="C249" s="1" t="s">
        <v>395</v>
      </c>
      <c r="D249" s="1" t="s">
        <v>25</v>
      </c>
      <c r="E249" s="1" t="s">
        <v>396</v>
      </c>
      <c r="F249" s="1" t="s">
        <v>397</v>
      </c>
      <c r="G249" s="1" t="s">
        <v>26</v>
      </c>
      <c r="H249" s="1" t="s">
        <v>27</v>
      </c>
      <c r="I249" s="1" t="s">
        <v>53</v>
      </c>
      <c r="J249" s="1" t="s">
        <v>28</v>
      </c>
      <c r="K249" s="1" t="s">
        <v>29</v>
      </c>
      <c r="L249" s="1" t="s">
        <v>30</v>
      </c>
      <c r="M249" s="1" t="s">
        <v>109</v>
      </c>
      <c r="N249" s="1" t="s">
        <v>110</v>
      </c>
      <c r="O249" s="1" t="s">
        <v>61</v>
      </c>
      <c r="P249" s="3">
        <v>1</v>
      </c>
      <c r="Q249" s="3">
        <v>29.181362</v>
      </c>
      <c r="R249" s="1" t="s">
        <v>34</v>
      </c>
      <c r="S249" s="1" t="s">
        <v>35</v>
      </c>
      <c r="T249" s="1" t="s">
        <v>36</v>
      </c>
      <c r="U249" s="1" t="s">
        <v>37</v>
      </c>
      <c r="V249" s="1" t="s">
        <v>38</v>
      </c>
      <c r="W249" s="1" t="s">
        <v>39</v>
      </c>
      <c r="X249" s="8" t="str">
        <f>+IFERROR(VLOOKUP(N249,[1]Hoja1!$B$2:$F$52,4,0)*P249,"")</f>
        <v/>
      </c>
      <c r="Y249" s="8" t="e">
        <f>+VLOOKUP(M249,[1]SKU!$B$3:$E$81,4,0)</f>
        <v>#N/A</v>
      </c>
      <c r="Z249" s="8" t="str">
        <f t="shared" si="3"/>
        <v>BEES</v>
      </c>
      <c r="AA249" s="8" t="str">
        <f>+VLOOKUP(I249,[1]SKU!$H$2:$I$97,2,0)</f>
        <v>PE07010</v>
      </c>
    </row>
    <row r="250" spans="1:27">
      <c r="A250" s="1" t="s">
        <v>24</v>
      </c>
      <c r="B250" s="2">
        <v>46295</v>
      </c>
      <c r="C250" s="1" t="s">
        <v>339</v>
      </c>
      <c r="D250" s="1" t="s">
        <v>25</v>
      </c>
      <c r="E250" s="1" t="s">
        <v>340</v>
      </c>
      <c r="F250" s="1" t="s">
        <v>341</v>
      </c>
      <c r="G250" s="1" t="s">
        <v>26</v>
      </c>
      <c r="H250" s="1" t="s">
        <v>27</v>
      </c>
      <c r="I250" s="1" t="s">
        <v>53</v>
      </c>
      <c r="J250" s="1" t="s">
        <v>28</v>
      </c>
      <c r="K250" s="1" t="s">
        <v>29</v>
      </c>
      <c r="L250" s="1" t="s">
        <v>30</v>
      </c>
      <c r="M250" s="1" t="s">
        <v>109</v>
      </c>
      <c r="N250" s="1" t="s">
        <v>110</v>
      </c>
      <c r="O250" s="1" t="s">
        <v>61</v>
      </c>
      <c r="P250" s="3">
        <v>1</v>
      </c>
      <c r="Q250" s="3">
        <v>29.181362</v>
      </c>
      <c r="R250" s="1" t="s">
        <v>34</v>
      </c>
      <c r="S250" s="1" t="s">
        <v>35</v>
      </c>
      <c r="T250" s="1" t="s">
        <v>36</v>
      </c>
      <c r="U250" s="1" t="s">
        <v>37</v>
      </c>
      <c r="V250" s="1" t="s">
        <v>38</v>
      </c>
      <c r="W250" s="1" t="s">
        <v>39</v>
      </c>
      <c r="X250" s="8" t="str">
        <f>+IFERROR(VLOOKUP(N250,[1]Hoja1!$B$2:$F$52,4,0)*P250,"")</f>
        <v/>
      </c>
      <c r="Y250" s="8" t="e">
        <f>+VLOOKUP(M250,[1]SKU!$B$3:$E$81,4,0)</f>
        <v>#N/A</v>
      </c>
      <c r="Z250" s="8" t="str">
        <f t="shared" si="3"/>
        <v>BEES</v>
      </c>
      <c r="AA250" s="8" t="str">
        <f>+VLOOKUP(I250,[1]SKU!$H$2:$I$97,2,0)</f>
        <v>PE07010</v>
      </c>
    </row>
    <row r="251" spans="1:27">
      <c r="A251" s="1" t="s">
        <v>51</v>
      </c>
      <c r="B251" s="2">
        <v>46295</v>
      </c>
      <c r="C251" s="1" t="s">
        <v>575</v>
      </c>
      <c r="D251" s="1" t="s">
        <v>52</v>
      </c>
      <c r="E251" s="1" t="s">
        <v>576</v>
      </c>
      <c r="F251" s="1" t="s">
        <v>577</v>
      </c>
      <c r="G251" s="1" t="s">
        <v>26</v>
      </c>
      <c r="H251" s="1" t="s">
        <v>27</v>
      </c>
      <c r="I251" s="1" t="s">
        <v>329</v>
      </c>
      <c r="J251" s="1" t="s">
        <v>28</v>
      </c>
      <c r="K251" s="1" t="s">
        <v>29</v>
      </c>
      <c r="L251" s="1" t="s">
        <v>30</v>
      </c>
      <c r="M251" s="1" t="s">
        <v>109</v>
      </c>
      <c r="N251" s="1" t="s">
        <v>110</v>
      </c>
      <c r="O251" s="1" t="s">
        <v>61</v>
      </c>
      <c r="P251" s="3">
        <v>1</v>
      </c>
      <c r="Q251" s="3">
        <v>29.181362</v>
      </c>
      <c r="R251" s="1" t="s">
        <v>34</v>
      </c>
      <c r="S251" s="1" t="s">
        <v>35</v>
      </c>
      <c r="T251" s="1" t="s">
        <v>36</v>
      </c>
      <c r="U251" s="1" t="s">
        <v>37</v>
      </c>
      <c r="V251" s="1" t="s">
        <v>38</v>
      </c>
      <c r="W251" s="1" t="s">
        <v>39</v>
      </c>
      <c r="X251" s="8" t="str">
        <f>+IFERROR(VLOOKUP(N251,[1]Hoja1!$B$2:$F$52,4,0)*P251,"")</f>
        <v/>
      </c>
      <c r="Y251" s="8" t="e">
        <f>+VLOOKUP(M251,[1]SKU!$B$3:$E$81,4,0)</f>
        <v>#N/A</v>
      </c>
      <c r="Z251" s="8" t="str">
        <f t="shared" si="3"/>
        <v>BEES</v>
      </c>
      <c r="AA251" s="8" t="str">
        <f>+VLOOKUP(I251,[1]SKU!$H$2:$I$97,2,0)</f>
        <v>PE07011</v>
      </c>
    </row>
    <row r="252" spans="1:27">
      <c r="A252" s="1" t="s">
        <v>40</v>
      </c>
      <c r="B252" s="2">
        <v>46295</v>
      </c>
      <c r="C252" s="1" t="s">
        <v>536</v>
      </c>
      <c r="D252" s="1" t="s">
        <v>41</v>
      </c>
      <c r="E252" s="1" t="s">
        <v>537</v>
      </c>
      <c r="F252" s="1" t="s">
        <v>538</v>
      </c>
      <c r="G252" s="1" t="s">
        <v>26</v>
      </c>
      <c r="H252" s="1" t="s">
        <v>27</v>
      </c>
      <c r="I252" s="1" t="s">
        <v>539</v>
      </c>
      <c r="J252" s="1" t="s">
        <v>28</v>
      </c>
      <c r="K252" s="1" t="s">
        <v>29</v>
      </c>
      <c r="L252" s="1" t="s">
        <v>30</v>
      </c>
      <c r="M252" s="1" t="s">
        <v>109</v>
      </c>
      <c r="N252" s="1" t="s">
        <v>110</v>
      </c>
      <c r="O252" s="1" t="s">
        <v>61</v>
      </c>
      <c r="P252" s="3">
        <v>1</v>
      </c>
      <c r="Q252" s="3">
        <v>27.186274999999998</v>
      </c>
      <c r="R252" s="1" t="s">
        <v>34</v>
      </c>
      <c r="S252" s="1" t="s">
        <v>35</v>
      </c>
      <c r="T252" s="1" t="s">
        <v>36</v>
      </c>
      <c r="U252" s="1" t="s">
        <v>37</v>
      </c>
      <c r="V252" s="1" t="s">
        <v>38</v>
      </c>
      <c r="W252" s="1" t="s">
        <v>39</v>
      </c>
      <c r="X252" s="8" t="str">
        <f>+IFERROR(VLOOKUP(N252,[1]Hoja1!$B$2:$F$52,4,0)*P252,"")</f>
        <v/>
      </c>
      <c r="Y252" s="8" t="e">
        <f>+VLOOKUP(M252,[1]SKU!$B$3:$E$81,4,0)</f>
        <v>#N/A</v>
      </c>
      <c r="Z252" s="8" t="str">
        <f t="shared" si="3"/>
        <v>BEES</v>
      </c>
      <c r="AA252" s="8" t="str">
        <f>+VLOOKUP(I252,[1]SKU!$H$2:$I$97,2,0)</f>
        <v>PE07009</v>
      </c>
    </row>
    <row r="253" spans="1:27">
      <c r="A253" s="1" t="s">
        <v>40</v>
      </c>
      <c r="B253" s="2">
        <v>46295</v>
      </c>
      <c r="C253" s="1" t="s">
        <v>533</v>
      </c>
      <c r="D253" s="1" t="s">
        <v>41</v>
      </c>
      <c r="E253" s="1" t="s">
        <v>534</v>
      </c>
      <c r="F253" s="1" t="s">
        <v>535</v>
      </c>
      <c r="G253" s="1" t="s">
        <v>26</v>
      </c>
      <c r="H253" s="1" t="s">
        <v>27</v>
      </c>
      <c r="I253" s="1" t="s">
        <v>132</v>
      </c>
      <c r="J253" s="1" t="s">
        <v>28</v>
      </c>
      <c r="K253" s="1" t="s">
        <v>29</v>
      </c>
      <c r="L253" s="1" t="s">
        <v>30</v>
      </c>
      <c r="M253" s="1" t="s">
        <v>109</v>
      </c>
      <c r="N253" s="1" t="s">
        <v>110</v>
      </c>
      <c r="O253" s="1" t="s">
        <v>61</v>
      </c>
      <c r="P253" s="3">
        <v>1</v>
      </c>
      <c r="Q253" s="3">
        <v>27.186274999999998</v>
      </c>
      <c r="R253" s="1" t="s">
        <v>34</v>
      </c>
      <c r="S253" s="1" t="s">
        <v>35</v>
      </c>
      <c r="T253" s="1" t="s">
        <v>36</v>
      </c>
      <c r="U253" s="1" t="s">
        <v>37</v>
      </c>
      <c r="V253" s="1" t="s">
        <v>38</v>
      </c>
      <c r="W253" s="1" t="s">
        <v>39</v>
      </c>
      <c r="X253" s="8" t="str">
        <f>+IFERROR(VLOOKUP(N253,[1]Hoja1!$B$2:$F$52,4,0)*P253,"")</f>
        <v/>
      </c>
      <c r="Y253" s="8" t="e">
        <f>+VLOOKUP(M253,[1]SKU!$B$3:$E$81,4,0)</f>
        <v>#N/A</v>
      </c>
      <c r="Z253" s="8" t="str">
        <f t="shared" si="3"/>
        <v>BEES</v>
      </c>
      <c r="AA253" s="8" t="str">
        <f>+VLOOKUP(I253,[1]SKU!$H$2:$I$97,2,0)</f>
        <v>PE07009</v>
      </c>
    </row>
    <row r="254" spans="1:27">
      <c r="A254" s="1" t="s">
        <v>40</v>
      </c>
      <c r="B254" s="2">
        <v>46295</v>
      </c>
      <c r="C254" s="1" t="s">
        <v>467</v>
      </c>
      <c r="D254" s="1" t="s">
        <v>41</v>
      </c>
      <c r="E254" s="1" t="s">
        <v>374</v>
      </c>
      <c r="F254" s="1" t="s">
        <v>375</v>
      </c>
      <c r="G254" s="1" t="s">
        <v>26</v>
      </c>
      <c r="H254" s="1" t="s">
        <v>27</v>
      </c>
      <c r="I254" s="1" t="s">
        <v>132</v>
      </c>
      <c r="J254" s="1" t="s">
        <v>28</v>
      </c>
      <c r="K254" s="1" t="s">
        <v>29</v>
      </c>
      <c r="L254" s="1" t="s">
        <v>30</v>
      </c>
      <c r="M254" s="1" t="s">
        <v>59</v>
      </c>
      <c r="N254" s="1" t="s">
        <v>60</v>
      </c>
      <c r="O254" s="1" t="s">
        <v>61</v>
      </c>
      <c r="P254" s="3">
        <v>1</v>
      </c>
      <c r="Q254" s="3">
        <v>19.607842999999999</v>
      </c>
      <c r="R254" s="1" t="s">
        <v>34</v>
      </c>
      <c r="S254" s="1" t="s">
        <v>35</v>
      </c>
      <c r="T254" s="1" t="s">
        <v>36</v>
      </c>
      <c r="U254" s="1" t="s">
        <v>37</v>
      </c>
      <c r="V254" s="1" t="s">
        <v>38</v>
      </c>
      <c r="W254" s="1" t="s">
        <v>39</v>
      </c>
      <c r="X254" s="8">
        <f>+IFERROR(VLOOKUP(N254,[1]Hoja1!$B$2:$F$52,4,0)*P254,"")</f>
        <v>0.28629032258064518</v>
      </c>
      <c r="Y254" s="8" t="str">
        <f>+VLOOKUP(M254,[1]SKU!$B$3:$E$81,4,0)</f>
        <v>LATAS</v>
      </c>
      <c r="Z254" s="8" t="str">
        <f t="shared" si="3"/>
        <v>BEES</v>
      </c>
      <c r="AA254" s="8" t="str">
        <f>+VLOOKUP(I254,[1]SKU!$H$2:$I$97,2,0)</f>
        <v>PE07009</v>
      </c>
    </row>
    <row r="255" spans="1:27">
      <c r="A255" s="1" t="s">
        <v>24</v>
      </c>
      <c r="B255" s="2">
        <v>46295</v>
      </c>
      <c r="C255" s="1" t="s">
        <v>386</v>
      </c>
      <c r="D255" s="1" t="s">
        <v>25</v>
      </c>
      <c r="E255" s="1" t="s">
        <v>387</v>
      </c>
      <c r="F255" s="1" t="s">
        <v>388</v>
      </c>
      <c r="G255" s="1" t="s">
        <v>26</v>
      </c>
      <c r="H255" s="1" t="s">
        <v>27</v>
      </c>
      <c r="I255" s="1" t="s">
        <v>53</v>
      </c>
      <c r="J255" s="1" t="s">
        <v>28</v>
      </c>
      <c r="K255" s="1" t="s">
        <v>29</v>
      </c>
      <c r="L255" s="1" t="s">
        <v>30</v>
      </c>
      <c r="M255" s="1" t="s">
        <v>59</v>
      </c>
      <c r="N255" s="1" t="s">
        <v>60</v>
      </c>
      <c r="O255" s="1" t="s">
        <v>61</v>
      </c>
      <c r="P255" s="3">
        <v>2</v>
      </c>
      <c r="Q255" s="3">
        <v>48.04</v>
      </c>
      <c r="R255" s="1" t="s">
        <v>34</v>
      </c>
      <c r="S255" s="1" t="s">
        <v>35</v>
      </c>
      <c r="T255" s="1" t="s">
        <v>36</v>
      </c>
      <c r="U255" s="1" t="s">
        <v>37</v>
      </c>
      <c r="V255" s="1" t="s">
        <v>38</v>
      </c>
      <c r="W255" s="1" t="s">
        <v>39</v>
      </c>
      <c r="X255" s="8">
        <f>+IFERROR(VLOOKUP(N255,[1]Hoja1!$B$2:$F$52,4,0)*P255,"")</f>
        <v>0.57258064516129037</v>
      </c>
      <c r="Y255" s="8" t="str">
        <f>+VLOOKUP(M255,[1]SKU!$B$3:$E$81,4,0)</f>
        <v>LATAS</v>
      </c>
      <c r="Z255" s="8" t="str">
        <f t="shared" si="3"/>
        <v>BEES</v>
      </c>
      <c r="AA255" s="8" t="str">
        <f>+VLOOKUP(I255,[1]SKU!$H$2:$I$97,2,0)</f>
        <v>PE07010</v>
      </c>
    </row>
    <row r="256" spans="1:27">
      <c r="A256" s="1" t="s">
        <v>42</v>
      </c>
      <c r="B256" s="2">
        <v>46295</v>
      </c>
      <c r="C256" s="1" t="s">
        <v>540</v>
      </c>
      <c r="D256" s="1" t="s">
        <v>43</v>
      </c>
      <c r="E256" s="1" t="s">
        <v>541</v>
      </c>
      <c r="F256" s="1" t="s">
        <v>542</v>
      </c>
      <c r="G256" s="1" t="s">
        <v>26</v>
      </c>
      <c r="H256" s="1" t="s">
        <v>27</v>
      </c>
      <c r="I256" s="1" t="s">
        <v>180</v>
      </c>
      <c r="J256" s="1" t="s">
        <v>28</v>
      </c>
      <c r="K256" s="1" t="s">
        <v>29</v>
      </c>
      <c r="L256" s="1" t="s">
        <v>30</v>
      </c>
      <c r="M256" s="1" t="s">
        <v>107</v>
      </c>
      <c r="N256" s="1" t="s">
        <v>108</v>
      </c>
      <c r="O256" s="1" t="s">
        <v>61</v>
      </c>
      <c r="P256" s="3">
        <v>1</v>
      </c>
      <c r="Q256" s="3">
        <v>25.49</v>
      </c>
      <c r="R256" s="1" t="s">
        <v>34</v>
      </c>
      <c r="S256" s="1" t="s">
        <v>35</v>
      </c>
      <c r="T256" s="1" t="s">
        <v>36</v>
      </c>
      <c r="U256" s="1" t="s">
        <v>37</v>
      </c>
      <c r="V256" s="1" t="s">
        <v>38</v>
      </c>
      <c r="W256" s="1" t="s">
        <v>39</v>
      </c>
      <c r="X256" s="8">
        <f>+IFERROR(VLOOKUP(N256,[1]Hoja1!$B$2:$F$52,4,0)*P256,"")</f>
        <v>0.28629032258064518</v>
      </c>
      <c r="Y256" s="8" t="str">
        <f>+VLOOKUP(M256,[1]SKU!$B$3:$E$81,4,0)</f>
        <v>LATAS</v>
      </c>
      <c r="Z256" s="8" t="str">
        <f t="shared" si="3"/>
        <v>BEES</v>
      </c>
      <c r="AA256" s="8" t="str">
        <f>+VLOOKUP(I256,[1]SKU!$H$2:$I$97,2,0)</f>
        <v>PE07002</v>
      </c>
    </row>
    <row r="257" spans="1:27">
      <c r="A257" s="1" t="s">
        <v>42</v>
      </c>
      <c r="B257" s="2">
        <v>46295</v>
      </c>
      <c r="C257" s="1" t="s">
        <v>578</v>
      </c>
      <c r="D257" s="1" t="s">
        <v>43</v>
      </c>
      <c r="E257" s="1" t="s">
        <v>579</v>
      </c>
      <c r="F257" s="1" t="s">
        <v>580</v>
      </c>
      <c r="G257" s="1" t="s">
        <v>26</v>
      </c>
      <c r="H257" s="1" t="s">
        <v>27</v>
      </c>
      <c r="I257" s="1" t="s">
        <v>65</v>
      </c>
      <c r="J257" s="1" t="s">
        <v>28</v>
      </c>
      <c r="K257" s="1" t="s">
        <v>29</v>
      </c>
      <c r="L257" s="1" t="s">
        <v>30</v>
      </c>
      <c r="M257" s="1" t="s">
        <v>107</v>
      </c>
      <c r="N257" s="1" t="s">
        <v>108</v>
      </c>
      <c r="O257" s="1" t="s">
        <v>61</v>
      </c>
      <c r="P257" s="3">
        <v>1</v>
      </c>
      <c r="Q257" s="3">
        <v>0</v>
      </c>
      <c r="R257" s="1" t="s">
        <v>77</v>
      </c>
      <c r="S257" s="1" t="s">
        <v>35</v>
      </c>
      <c r="T257" s="1" t="s">
        <v>36</v>
      </c>
      <c r="U257" s="1" t="s">
        <v>37</v>
      </c>
      <c r="V257" s="1" t="s">
        <v>38</v>
      </c>
      <c r="W257" s="1" t="s">
        <v>39</v>
      </c>
      <c r="X257" s="8">
        <f>+IFERROR(VLOOKUP(N257,[1]Hoja1!$B$2:$F$52,4,0)*P257,"")</f>
        <v>0.28629032258064518</v>
      </c>
      <c r="Y257" s="8" t="str">
        <f>+VLOOKUP(M257,[1]SKU!$B$3:$E$81,4,0)</f>
        <v>LATAS</v>
      </c>
      <c r="Z257" s="8" t="str">
        <f t="shared" si="3"/>
        <v>BEES</v>
      </c>
      <c r="AA257" s="8" t="str">
        <f>+VLOOKUP(I257,[1]SKU!$H$2:$I$97,2,0)</f>
        <v>PE07003</v>
      </c>
    </row>
    <row r="258" spans="1:27">
      <c r="A258" s="1" t="s">
        <v>44</v>
      </c>
      <c r="B258" s="2">
        <v>46295</v>
      </c>
      <c r="C258" s="1" t="s">
        <v>355</v>
      </c>
      <c r="D258" s="1" t="s">
        <v>58</v>
      </c>
      <c r="E258" s="1" t="s">
        <v>356</v>
      </c>
      <c r="F258" s="1" t="s">
        <v>357</v>
      </c>
      <c r="G258" s="1" t="s">
        <v>26</v>
      </c>
      <c r="H258" s="1" t="s">
        <v>27</v>
      </c>
      <c r="I258" s="1" t="s">
        <v>297</v>
      </c>
      <c r="J258" s="1" t="s">
        <v>28</v>
      </c>
      <c r="K258" s="1" t="s">
        <v>29</v>
      </c>
      <c r="L258" s="1" t="s">
        <v>30</v>
      </c>
      <c r="M258" s="1" t="s">
        <v>107</v>
      </c>
      <c r="N258" s="1" t="s">
        <v>108</v>
      </c>
      <c r="O258" s="1" t="s">
        <v>61</v>
      </c>
      <c r="P258" s="3">
        <v>1</v>
      </c>
      <c r="Q258" s="3">
        <v>22</v>
      </c>
      <c r="R258" s="1" t="s">
        <v>34</v>
      </c>
      <c r="S258" s="1" t="s">
        <v>35</v>
      </c>
      <c r="T258" s="1" t="s">
        <v>36</v>
      </c>
      <c r="U258" s="1" t="s">
        <v>37</v>
      </c>
      <c r="V258" s="1" t="s">
        <v>38</v>
      </c>
      <c r="W258" s="1" t="s">
        <v>39</v>
      </c>
      <c r="X258" s="8">
        <f>+IFERROR(VLOOKUP(N258,[1]Hoja1!$B$2:$F$52,4,0)*P258,"")</f>
        <v>0.28629032258064518</v>
      </c>
      <c r="Y258" s="8" t="str">
        <f>+VLOOKUP(M258,[1]SKU!$B$3:$E$81,4,0)</f>
        <v>LATAS</v>
      </c>
      <c r="Z258" s="8" t="str">
        <f t="shared" si="3"/>
        <v>BEES</v>
      </c>
      <c r="AA258" s="8" t="str">
        <f>+VLOOKUP(I258,[1]SKU!$H$2:$I$97,2,0)</f>
        <v>PE07004</v>
      </c>
    </row>
    <row r="259" spans="1:27">
      <c r="A259" s="1" t="s">
        <v>42</v>
      </c>
      <c r="B259" s="2">
        <v>46295</v>
      </c>
      <c r="C259" s="1" t="s">
        <v>546</v>
      </c>
      <c r="D259" s="1" t="s">
        <v>43</v>
      </c>
      <c r="E259" s="1" t="s">
        <v>119</v>
      </c>
      <c r="F259" s="1" t="s">
        <v>120</v>
      </c>
      <c r="G259" s="1" t="s">
        <v>26</v>
      </c>
      <c r="H259" s="1" t="s">
        <v>27</v>
      </c>
      <c r="I259" s="1" t="s">
        <v>72</v>
      </c>
      <c r="J259" s="1" t="s">
        <v>28</v>
      </c>
      <c r="K259" s="1" t="s">
        <v>29</v>
      </c>
      <c r="L259" s="1" t="s">
        <v>30</v>
      </c>
      <c r="M259" s="1" t="s">
        <v>107</v>
      </c>
      <c r="N259" s="1" t="s">
        <v>108</v>
      </c>
      <c r="O259" s="1" t="s">
        <v>61</v>
      </c>
      <c r="P259" s="3">
        <v>5</v>
      </c>
      <c r="Q259" s="3">
        <v>122.60690099999999</v>
      </c>
      <c r="R259" s="1" t="s">
        <v>34</v>
      </c>
      <c r="S259" s="1" t="s">
        <v>35</v>
      </c>
      <c r="T259" s="1" t="s">
        <v>36</v>
      </c>
      <c r="U259" s="1" t="s">
        <v>37</v>
      </c>
      <c r="V259" s="1" t="s">
        <v>38</v>
      </c>
      <c r="W259" s="1" t="s">
        <v>39</v>
      </c>
      <c r="X259" s="8">
        <f>+IFERROR(VLOOKUP(N259,[1]Hoja1!$B$2:$F$52,4,0)*P259,"")</f>
        <v>1.431451612903226</v>
      </c>
      <c r="Y259" s="8" t="str">
        <f>+VLOOKUP(M259,[1]SKU!$B$3:$E$81,4,0)</f>
        <v>LATAS</v>
      </c>
      <c r="Z259" s="8" t="str">
        <f t="shared" ref="Z259:Z322" si="4">+IF(J259="VB01                          ","BEES","FLEX")</f>
        <v>BEES</v>
      </c>
      <c r="AA259" s="8" t="str">
        <f>+VLOOKUP(I259,[1]SKU!$H$2:$I$97,2,0)</f>
        <v>PE07001</v>
      </c>
    </row>
    <row r="260" spans="1:27">
      <c r="A260" s="1" t="s">
        <v>51</v>
      </c>
      <c r="B260" s="2">
        <v>46295</v>
      </c>
      <c r="C260" s="1" t="s">
        <v>312</v>
      </c>
      <c r="D260" s="1" t="s">
        <v>52</v>
      </c>
      <c r="E260" s="1" t="s">
        <v>313</v>
      </c>
      <c r="F260" s="1" t="s">
        <v>314</v>
      </c>
      <c r="G260" s="1" t="s">
        <v>26</v>
      </c>
      <c r="H260" s="1" t="s">
        <v>27</v>
      </c>
      <c r="I260" s="1" t="s">
        <v>238</v>
      </c>
      <c r="J260" s="1" t="s">
        <v>28</v>
      </c>
      <c r="K260" s="1" t="s">
        <v>29</v>
      </c>
      <c r="L260" s="1" t="s">
        <v>30</v>
      </c>
      <c r="M260" s="1" t="s">
        <v>107</v>
      </c>
      <c r="N260" s="1" t="s">
        <v>108</v>
      </c>
      <c r="O260" s="1" t="s">
        <v>61</v>
      </c>
      <c r="P260" s="3">
        <v>1</v>
      </c>
      <c r="Q260" s="3">
        <v>24.929220000000001</v>
      </c>
      <c r="R260" s="1" t="s">
        <v>34</v>
      </c>
      <c r="S260" s="1" t="s">
        <v>35</v>
      </c>
      <c r="T260" s="1" t="s">
        <v>36</v>
      </c>
      <c r="U260" s="1" t="s">
        <v>37</v>
      </c>
      <c r="V260" s="1" t="s">
        <v>38</v>
      </c>
      <c r="W260" s="1" t="s">
        <v>39</v>
      </c>
      <c r="X260" s="8">
        <f>+IFERROR(VLOOKUP(N260,[1]Hoja1!$B$2:$F$52,4,0)*P260,"")</f>
        <v>0.28629032258064518</v>
      </c>
      <c r="Y260" s="8" t="str">
        <f>+VLOOKUP(M260,[1]SKU!$B$3:$E$81,4,0)</f>
        <v>LATAS</v>
      </c>
      <c r="Z260" s="8" t="str">
        <f t="shared" si="4"/>
        <v>BEES</v>
      </c>
      <c r="AA260" s="8" t="str">
        <f>+VLOOKUP(I260,[1]SKU!$H$2:$I$97,2,0)</f>
        <v>PE07011</v>
      </c>
    </row>
    <row r="261" spans="1:27">
      <c r="A261" s="1" t="s">
        <v>40</v>
      </c>
      <c r="B261" s="2">
        <v>46295</v>
      </c>
      <c r="C261" s="1" t="s">
        <v>289</v>
      </c>
      <c r="D261" s="1" t="s">
        <v>41</v>
      </c>
      <c r="E261" s="1" t="s">
        <v>133</v>
      </c>
      <c r="F261" s="1" t="s">
        <v>134</v>
      </c>
      <c r="G261" s="1" t="s">
        <v>26</v>
      </c>
      <c r="H261" s="1" t="s">
        <v>27</v>
      </c>
      <c r="I261" s="1" t="s">
        <v>132</v>
      </c>
      <c r="J261" s="1" t="s">
        <v>28</v>
      </c>
      <c r="K261" s="1" t="s">
        <v>29</v>
      </c>
      <c r="L261" s="1" t="s">
        <v>30</v>
      </c>
      <c r="M261" s="1" t="s">
        <v>96</v>
      </c>
      <c r="N261" s="1" t="s">
        <v>97</v>
      </c>
      <c r="O261" s="1" t="s">
        <v>61</v>
      </c>
      <c r="P261" s="3">
        <v>1</v>
      </c>
      <c r="Q261" s="3">
        <v>26.676470999999999</v>
      </c>
      <c r="R261" s="1" t="s">
        <v>34</v>
      </c>
      <c r="S261" s="1" t="s">
        <v>35</v>
      </c>
      <c r="T261" s="1" t="s">
        <v>36</v>
      </c>
      <c r="U261" s="1" t="s">
        <v>37</v>
      </c>
      <c r="V261" s="1" t="s">
        <v>38</v>
      </c>
      <c r="W261" s="1" t="s">
        <v>39</v>
      </c>
      <c r="X261" s="8">
        <f>+IFERROR(VLOOKUP(N261,[1]Hoja1!$B$2:$F$52,4,0)*P261,"")</f>
        <v>0.38145161290322577</v>
      </c>
      <c r="Y261" s="8" t="e">
        <f>+VLOOKUP(M261,[1]SKU!$B$3:$E$81,4,0)</f>
        <v>#N/A</v>
      </c>
      <c r="Z261" s="8" t="str">
        <f t="shared" si="4"/>
        <v>BEES</v>
      </c>
      <c r="AA261" s="8" t="str">
        <f>+VLOOKUP(I261,[1]SKU!$H$2:$I$97,2,0)</f>
        <v>PE07009</v>
      </c>
    </row>
    <row r="262" spans="1:27">
      <c r="A262" s="1" t="s">
        <v>51</v>
      </c>
      <c r="B262" s="2">
        <v>46295</v>
      </c>
      <c r="C262" s="1" t="s">
        <v>581</v>
      </c>
      <c r="D262" s="1" t="s">
        <v>52</v>
      </c>
      <c r="E262" s="1" t="s">
        <v>582</v>
      </c>
      <c r="F262" s="1" t="s">
        <v>583</v>
      </c>
      <c r="G262" s="1" t="s">
        <v>26</v>
      </c>
      <c r="H262" s="1" t="s">
        <v>27</v>
      </c>
      <c r="I262" s="1" t="s">
        <v>238</v>
      </c>
      <c r="J262" s="1" t="s">
        <v>28</v>
      </c>
      <c r="K262" s="1" t="s">
        <v>29</v>
      </c>
      <c r="L262" s="1" t="s">
        <v>30</v>
      </c>
      <c r="M262" s="1" t="s">
        <v>96</v>
      </c>
      <c r="N262" s="1" t="s">
        <v>97</v>
      </c>
      <c r="O262" s="1" t="s">
        <v>61</v>
      </c>
      <c r="P262" s="3">
        <v>1</v>
      </c>
      <c r="Q262" s="3">
        <v>31.18</v>
      </c>
      <c r="R262" s="1" t="s">
        <v>34</v>
      </c>
      <c r="S262" s="1" t="s">
        <v>35</v>
      </c>
      <c r="T262" s="1" t="s">
        <v>36</v>
      </c>
      <c r="U262" s="1" t="s">
        <v>37</v>
      </c>
      <c r="V262" s="1" t="s">
        <v>38</v>
      </c>
      <c r="W262" s="1" t="s">
        <v>39</v>
      </c>
      <c r="X262" s="8">
        <f>+IFERROR(VLOOKUP(N262,[1]Hoja1!$B$2:$F$52,4,0)*P262,"")</f>
        <v>0.38145161290322577</v>
      </c>
      <c r="Y262" s="8" t="e">
        <f>+VLOOKUP(M262,[1]SKU!$B$3:$E$81,4,0)</f>
        <v>#N/A</v>
      </c>
      <c r="Z262" s="8" t="str">
        <f t="shared" si="4"/>
        <v>BEES</v>
      </c>
      <c r="AA262" s="8" t="str">
        <f>+VLOOKUP(I262,[1]SKU!$H$2:$I$97,2,0)</f>
        <v>PE07011</v>
      </c>
    </row>
    <row r="263" spans="1:27">
      <c r="A263" s="1" t="s">
        <v>51</v>
      </c>
      <c r="B263" s="2">
        <v>46295</v>
      </c>
      <c r="C263" s="1" t="s">
        <v>572</v>
      </c>
      <c r="D263" s="1" t="s">
        <v>52</v>
      </c>
      <c r="E263" s="1" t="s">
        <v>573</v>
      </c>
      <c r="F263" s="1" t="s">
        <v>574</v>
      </c>
      <c r="G263" s="1" t="s">
        <v>26</v>
      </c>
      <c r="H263" s="1" t="s">
        <v>27</v>
      </c>
      <c r="I263" s="1" t="s">
        <v>238</v>
      </c>
      <c r="J263" s="1" t="s">
        <v>28</v>
      </c>
      <c r="K263" s="1" t="s">
        <v>29</v>
      </c>
      <c r="L263" s="1" t="s">
        <v>30</v>
      </c>
      <c r="M263" s="1" t="s">
        <v>96</v>
      </c>
      <c r="N263" s="1" t="s">
        <v>97</v>
      </c>
      <c r="O263" s="1" t="s">
        <v>61</v>
      </c>
      <c r="P263" s="3">
        <v>1</v>
      </c>
      <c r="Q263" s="3">
        <v>30.68112</v>
      </c>
      <c r="R263" s="1" t="s">
        <v>34</v>
      </c>
      <c r="S263" s="1" t="s">
        <v>35</v>
      </c>
      <c r="T263" s="1" t="s">
        <v>36</v>
      </c>
      <c r="U263" s="1" t="s">
        <v>37</v>
      </c>
      <c r="V263" s="1" t="s">
        <v>38</v>
      </c>
      <c r="W263" s="1" t="s">
        <v>39</v>
      </c>
      <c r="X263" s="8">
        <f>+IFERROR(VLOOKUP(N263,[1]Hoja1!$B$2:$F$52,4,0)*P263,"")</f>
        <v>0.38145161290322577</v>
      </c>
      <c r="Y263" s="8" t="e">
        <f>+VLOOKUP(M263,[1]SKU!$B$3:$E$81,4,0)</f>
        <v>#N/A</v>
      </c>
      <c r="Z263" s="8" t="str">
        <f t="shared" si="4"/>
        <v>BEES</v>
      </c>
      <c r="AA263" s="8" t="str">
        <f>+VLOOKUP(I263,[1]SKU!$H$2:$I$97,2,0)</f>
        <v>PE07011</v>
      </c>
    </row>
    <row r="264" spans="1:27">
      <c r="A264" s="1" t="s">
        <v>44</v>
      </c>
      <c r="B264" s="2">
        <v>46295</v>
      </c>
      <c r="C264" s="1" t="s">
        <v>294</v>
      </c>
      <c r="D264" s="1" t="s">
        <v>58</v>
      </c>
      <c r="E264" s="1" t="s">
        <v>295</v>
      </c>
      <c r="F264" s="1" t="s">
        <v>296</v>
      </c>
      <c r="G264" s="1" t="s">
        <v>26</v>
      </c>
      <c r="H264" s="1" t="s">
        <v>27</v>
      </c>
      <c r="I264" s="1" t="s">
        <v>297</v>
      </c>
      <c r="J264" s="1" t="s">
        <v>28</v>
      </c>
      <c r="K264" s="1" t="s">
        <v>29</v>
      </c>
      <c r="L264" s="1" t="s">
        <v>30</v>
      </c>
      <c r="M264" s="1" t="s">
        <v>96</v>
      </c>
      <c r="N264" s="1" t="s">
        <v>97</v>
      </c>
      <c r="O264" s="1" t="s">
        <v>61</v>
      </c>
      <c r="P264" s="3">
        <v>1</v>
      </c>
      <c r="Q264" s="3">
        <v>31.18</v>
      </c>
      <c r="R264" s="1" t="s">
        <v>34</v>
      </c>
      <c r="S264" s="1" t="s">
        <v>35</v>
      </c>
      <c r="T264" s="1" t="s">
        <v>36</v>
      </c>
      <c r="U264" s="1" t="s">
        <v>37</v>
      </c>
      <c r="V264" s="1" t="s">
        <v>38</v>
      </c>
      <c r="W264" s="1" t="s">
        <v>39</v>
      </c>
      <c r="X264" s="8">
        <f>+IFERROR(VLOOKUP(N264,[1]Hoja1!$B$2:$F$52,4,0)*P264,"")</f>
        <v>0.38145161290322577</v>
      </c>
      <c r="Y264" s="8" t="e">
        <f>+VLOOKUP(M264,[1]SKU!$B$3:$E$81,4,0)</f>
        <v>#N/A</v>
      </c>
      <c r="Z264" s="8" t="str">
        <f t="shared" si="4"/>
        <v>BEES</v>
      </c>
      <c r="AA264" s="8" t="str">
        <f>+VLOOKUP(I264,[1]SKU!$H$2:$I$97,2,0)</f>
        <v>PE07004</v>
      </c>
    </row>
    <row r="265" spans="1:27">
      <c r="A265" s="1" t="s">
        <v>42</v>
      </c>
      <c r="B265" s="2">
        <v>46295</v>
      </c>
      <c r="C265" s="1" t="s">
        <v>276</v>
      </c>
      <c r="D265" s="1" t="s">
        <v>43</v>
      </c>
      <c r="E265" s="1" t="s">
        <v>277</v>
      </c>
      <c r="F265" s="1" t="s">
        <v>278</v>
      </c>
      <c r="G265" s="1" t="s">
        <v>26</v>
      </c>
      <c r="H265" s="1" t="s">
        <v>27</v>
      </c>
      <c r="I265" s="1" t="s">
        <v>180</v>
      </c>
      <c r="J265" s="1" t="s">
        <v>28</v>
      </c>
      <c r="K265" s="1" t="s">
        <v>29</v>
      </c>
      <c r="L265" s="1" t="s">
        <v>30</v>
      </c>
      <c r="M265" s="1" t="s">
        <v>96</v>
      </c>
      <c r="N265" s="1" t="s">
        <v>97</v>
      </c>
      <c r="O265" s="1" t="s">
        <v>61</v>
      </c>
      <c r="P265" s="3">
        <v>1</v>
      </c>
      <c r="Q265" s="3">
        <v>30.68112</v>
      </c>
      <c r="R265" s="1" t="s">
        <v>34</v>
      </c>
      <c r="S265" s="1" t="s">
        <v>35</v>
      </c>
      <c r="T265" s="1" t="s">
        <v>36</v>
      </c>
      <c r="U265" s="1" t="s">
        <v>37</v>
      </c>
      <c r="V265" s="1" t="s">
        <v>38</v>
      </c>
      <c r="W265" s="1" t="s">
        <v>39</v>
      </c>
      <c r="X265" s="8">
        <f>+IFERROR(VLOOKUP(N265,[1]Hoja1!$B$2:$F$52,4,0)*P265,"")</f>
        <v>0.38145161290322577</v>
      </c>
      <c r="Y265" s="8" t="e">
        <f>+VLOOKUP(M265,[1]SKU!$B$3:$E$81,4,0)</f>
        <v>#N/A</v>
      </c>
      <c r="Z265" s="8" t="str">
        <f t="shared" si="4"/>
        <v>BEES</v>
      </c>
      <c r="AA265" s="8" t="str">
        <f>+VLOOKUP(I265,[1]SKU!$H$2:$I$97,2,0)</f>
        <v>PE07002</v>
      </c>
    </row>
    <row r="266" spans="1:27">
      <c r="A266" s="1" t="s">
        <v>42</v>
      </c>
      <c r="B266" s="2">
        <v>46295</v>
      </c>
      <c r="C266" s="1" t="s">
        <v>578</v>
      </c>
      <c r="D266" s="1" t="s">
        <v>43</v>
      </c>
      <c r="E266" s="1" t="s">
        <v>579</v>
      </c>
      <c r="F266" s="1" t="s">
        <v>580</v>
      </c>
      <c r="G266" s="1" t="s">
        <v>26</v>
      </c>
      <c r="H266" s="1" t="s">
        <v>27</v>
      </c>
      <c r="I266" s="1" t="s">
        <v>65</v>
      </c>
      <c r="J266" s="1" t="s">
        <v>28</v>
      </c>
      <c r="K266" s="1" t="s">
        <v>29</v>
      </c>
      <c r="L266" s="1" t="s">
        <v>30</v>
      </c>
      <c r="M266" s="1" t="s">
        <v>98</v>
      </c>
      <c r="N266" s="1" t="s">
        <v>99</v>
      </c>
      <c r="O266" s="1" t="s">
        <v>100</v>
      </c>
      <c r="P266" s="3">
        <v>2</v>
      </c>
      <c r="Q266" s="3">
        <v>23.78</v>
      </c>
      <c r="R266" s="1" t="s">
        <v>34</v>
      </c>
      <c r="S266" s="1" t="s">
        <v>35</v>
      </c>
      <c r="T266" s="1" t="s">
        <v>36</v>
      </c>
      <c r="U266" s="1" t="s">
        <v>37</v>
      </c>
      <c r="V266" s="1" t="s">
        <v>85</v>
      </c>
      <c r="W266" s="1" t="s">
        <v>39</v>
      </c>
      <c r="X266" s="8" t="str">
        <f>+IFERROR(VLOOKUP(N266,[1]Hoja1!$B$2:$F$52,4,0)*P266,"")</f>
        <v/>
      </c>
      <c r="Y266" s="8" t="e">
        <f>+VLOOKUP(M266,[1]SKU!$B$3:$E$81,4,0)</f>
        <v>#N/A</v>
      </c>
      <c r="Z266" s="8" t="str">
        <f t="shared" si="4"/>
        <v>BEES</v>
      </c>
      <c r="AA266" s="8" t="str">
        <f>+VLOOKUP(I266,[1]SKU!$H$2:$I$97,2,0)</f>
        <v>PE07003</v>
      </c>
    </row>
    <row r="267" spans="1:27">
      <c r="A267" s="1" t="s">
        <v>42</v>
      </c>
      <c r="B267" s="2">
        <v>46295</v>
      </c>
      <c r="C267" s="1" t="s">
        <v>584</v>
      </c>
      <c r="D267" s="1" t="s">
        <v>43</v>
      </c>
      <c r="E267" s="1" t="s">
        <v>585</v>
      </c>
      <c r="F267" s="1" t="s">
        <v>586</v>
      </c>
      <c r="G267" s="1" t="s">
        <v>26</v>
      </c>
      <c r="H267" s="1" t="s">
        <v>27</v>
      </c>
      <c r="I267" s="1" t="s">
        <v>587</v>
      </c>
      <c r="J267" s="1" t="s">
        <v>28</v>
      </c>
      <c r="K267" s="1" t="s">
        <v>29</v>
      </c>
      <c r="L267" s="1" t="s">
        <v>30</v>
      </c>
      <c r="M267" s="1" t="s">
        <v>96</v>
      </c>
      <c r="N267" s="1" t="s">
        <v>97</v>
      </c>
      <c r="O267" s="1" t="s">
        <v>61</v>
      </c>
      <c r="P267" s="3">
        <v>3</v>
      </c>
      <c r="Q267" s="3">
        <v>86.049019999999999</v>
      </c>
      <c r="R267" s="1" t="s">
        <v>34</v>
      </c>
      <c r="S267" s="1" t="s">
        <v>35</v>
      </c>
      <c r="T267" s="1" t="s">
        <v>36</v>
      </c>
      <c r="U267" s="1" t="s">
        <v>37</v>
      </c>
      <c r="V267" s="1" t="s">
        <v>38</v>
      </c>
      <c r="W267" s="1" t="s">
        <v>39</v>
      </c>
      <c r="X267" s="8">
        <f>+IFERROR(VLOOKUP(N267,[1]Hoja1!$B$2:$F$52,4,0)*P267,"")</f>
        <v>1.1443548387096774</v>
      </c>
      <c r="Y267" s="8" t="e">
        <f>+VLOOKUP(M267,[1]SKU!$B$3:$E$81,4,0)</f>
        <v>#N/A</v>
      </c>
      <c r="Z267" s="8" t="str">
        <f t="shared" si="4"/>
        <v>BEES</v>
      </c>
      <c r="AA267" s="8" t="str">
        <f>+VLOOKUP(I267,[1]SKU!$H$2:$I$97,2,0)</f>
        <v>PE07006</v>
      </c>
    </row>
    <row r="268" spans="1:27">
      <c r="A268" s="1" t="s">
        <v>24</v>
      </c>
      <c r="B268" s="2">
        <v>46295</v>
      </c>
      <c r="C268" s="1" t="s">
        <v>551</v>
      </c>
      <c r="D268" s="1" t="s">
        <v>25</v>
      </c>
      <c r="E268" s="1" t="s">
        <v>552</v>
      </c>
      <c r="F268" s="1" t="s">
        <v>553</v>
      </c>
      <c r="G268" s="1" t="s">
        <v>26</v>
      </c>
      <c r="H268" s="1" t="s">
        <v>27</v>
      </c>
      <c r="I268" s="1" t="s">
        <v>53</v>
      </c>
      <c r="J268" s="1" t="s">
        <v>28</v>
      </c>
      <c r="K268" s="1" t="s">
        <v>29</v>
      </c>
      <c r="L268" s="1" t="s">
        <v>30</v>
      </c>
      <c r="M268" s="1" t="s">
        <v>96</v>
      </c>
      <c r="N268" s="1" t="s">
        <v>97</v>
      </c>
      <c r="O268" s="1" t="s">
        <v>61</v>
      </c>
      <c r="P268" s="3">
        <v>2</v>
      </c>
      <c r="Q268" s="3">
        <v>62.36</v>
      </c>
      <c r="R268" s="1" t="s">
        <v>34</v>
      </c>
      <c r="S268" s="1" t="s">
        <v>35</v>
      </c>
      <c r="T268" s="1" t="s">
        <v>36</v>
      </c>
      <c r="U268" s="1" t="s">
        <v>37</v>
      </c>
      <c r="V268" s="1" t="s">
        <v>38</v>
      </c>
      <c r="W268" s="1" t="s">
        <v>39</v>
      </c>
      <c r="X268" s="8">
        <f>+IFERROR(VLOOKUP(N268,[1]Hoja1!$B$2:$F$52,4,0)*P268,"")</f>
        <v>0.76290322580645153</v>
      </c>
      <c r="Y268" s="8" t="e">
        <f>+VLOOKUP(M268,[1]SKU!$B$3:$E$81,4,0)</f>
        <v>#N/A</v>
      </c>
      <c r="Z268" s="8" t="str">
        <f t="shared" si="4"/>
        <v>BEES</v>
      </c>
      <c r="AA268" s="8" t="str">
        <f>+VLOOKUP(I268,[1]SKU!$H$2:$I$97,2,0)</f>
        <v>PE07010</v>
      </c>
    </row>
    <row r="269" spans="1:27">
      <c r="A269" s="1" t="s">
        <v>42</v>
      </c>
      <c r="B269" s="2">
        <v>46295</v>
      </c>
      <c r="C269" s="1" t="s">
        <v>440</v>
      </c>
      <c r="D269" s="1" t="s">
        <v>43</v>
      </c>
      <c r="E269" s="1" t="s">
        <v>441</v>
      </c>
      <c r="F269" s="1" t="s">
        <v>442</v>
      </c>
      <c r="G269" s="1" t="s">
        <v>26</v>
      </c>
      <c r="H269" s="1" t="s">
        <v>27</v>
      </c>
      <c r="I269" s="1" t="s">
        <v>72</v>
      </c>
      <c r="J269" s="1" t="s">
        <v>28</v>
      </c>
      <c r="K269" s="1" t="s">
        <v>29</v>
      </c>
      <c r="L269" s="1" t="s">
        <v>30</v>
      </c>
      <c r="M269" s="1" t="s">
        <v>96</v>
      </c>
      <c r="N269" s="1" t="s">
        <v>97</v>
      </c>
      <c r="O269" s="1" t="s">
        <v>61</v>
      </c>
      <c r="P269" s="3">
        <v>4</v>
      </c>
      <c r="Q269" s="3">
        <v>124.72</v>
      </c>
      <c r="R269" s="1" t="s">
        <v>34</v>
      </c>
      <c r="S269" s="1" t="s">
        <v>35</v>
      </c>
      <c r="T269" s="1" t="s">
        <v>36</v>
      </c>
      <c r="U269" s="1" t="s">
        <v>37</v>
      </c>
      <c r="V269" s="1" t="s">
        <v>38</v>
      </c>
      <c r="W269" s="1" t="s">
        <v>39</v>
      </c>
      <c r="X269" s="8">
        <f>+IFERROR(VLOOKUP(N269,[1]Hoja1!$B$2:$F$52,4,0)*P269,"")</f>
        <v>1.5258064516129031</v>
      </c>
      <c r="Y269" s="8" t="e">
        <f>+VLOOKUP(M269,[1]SKU!$B$3:$E$81,4,0)</f>
        <v>#N/A</v>
      </c>
      <c r="Z269" s="8" t="str">
        <f t="shared" si="4"/>
        <v>BEES</v>
      </c>
      <c r="AA269" s="8" t="str">
        <f>+VLOOKUP(I269,[1]SKU!$H$2:$I$97,2,0)</f>
        <v>PE07001</v>
      </c>
    </row>
    <row r="270" spans="1:27">
      <c r="A270" s="1" t="s">
        <v>40</v>
      </c>
      <c r="B270" s="2">
        <v>46295</v>
      </c>
      <c r="C270" s="1" t="s">
        <v>279</v>
      </c>
      <c r="D270" s="1" t="s">
        <v>41</v>
      </c>
      <c r="E270" s="1" t="s">
        <v>139</v>
      </c>
      <c r="F270" s="1" t="s">
        <v>140</v>
      </c>
      <c r="G270" s="1" t="s">
        <v>26</v>
      </c>
      <c r="H270" s="1" t="s">
        <v>27</v>
      </c>
      <c r="I270" s="1" t="s">
        <v>132</v>
      </c>
      <c r="J270" s="1" t="s">
        <v>28</v>
      </c>
      <c r="K270" s="1" t="s">
        <v>29</v>
      </c>
      <c r="L270" s="1" t="s">
        <v>30</v>
      </c>
      <c r="M270" s="1" t="s">
        <v>96</v>
      </c>
      <c r="N270" s="1" t="s">
        <v>97</v>
      </c>
      <c r="O270" s="1" t="s">
        <v>61</v>
      </c>
      <c r="P270" s="3">
        <v>1</v>
      </c>
      <c r="Q270" s="3">
        <v>26.676470999999999</v>
      </c>
      <c r="R270" s="1" t="s">
        <v>34</v>
      </c>
      <c r="S270" s="1" t="s">
        <v>35</v>
      </c>
      <c r="T270" s="1" t="s">
        <v>36</v>
      </c>
      <c r="U270" s="1" t="s">
        <v>37</v>
      </c>
      <c r="V270" s="1" t="s">
        <v>38</v>
      </c>
      <c r="W270" s="1" t="s">
        <v>39</v>
      </c>
      <c r="X270" s="8">
        <f>+IFERROR(VLOOKUP(N270,[1]Hoja1!$B$2:$F$52,4,0)*P270,"")</f>
        <v>0.38145161290322577</v>
      </c>
      <c r="Y270" s="8" t="e">
        <f>+VLOOKUP(M270,[1]SKU!$B$3:$E$81,4,0)</f>
        <v>#N/A</v>
      </c>
      <c r="Z270" s="8" t="str">
        <f t="shared" si="4"/>
        <v>BEES</v>
      </c>
      <c r="AA270" s="8" t="str">
        <f>+VLOOKUP(I270,[1]SKU!$H$2:$I$97,2,0)</f>
        <v>PE07009</v>
      </c>
    </row>
    <row r="271" spans="1:27">
      <c r="A271" s="1" t="s">
        <v>51</v>
      </c>
      <c r="B271" s="2">
        <v>46295</v>
      </c>
      <c r="C271" s="1" t="s">
        <v>588</v>
      </c>
      <c r="D271" s="1" t="s">
        <v>52</v>
      </c>
      <c r="E271" s="1" t="s">
        <v>589</v>
      </c>
      <c r="F271" s="1" t="s">
        <v>590</v>
      </c>
      <c r="G271" s="1" t="s">
        <v>26</v>
      </c>
      <c r="H271" s="1" t="s">
        <v>27</v>
      </c>
      <c r="I271" s="1" t="s">
        <v>329</v>
      </c>
      <c r="J271" s="1" t="s">
        <v>28</v>
      </c>
      <c r="K271" s="1" t="s">
        <v>29</v>
      </c>
      <c r="L271" s="1" t="s">
        <v>30</v>
      </c>
      <c r="M271" s="1" t="s">
        <v>96</v>
      </c>
      <c r="N271" s="1" t="s">
        <v>97</v>
      </c>
      <c r="O271" s="1" t="s">
        <v>61</v>
      </c>
      <c r="P271" s="3">
        <v>1</v>
      </c>
      <c r="Q271" s="3">
        <v>30.68112</v>
      </c>
      <c r="R271" s="1" t="s">
        <v>34</v>
      </c>
      <c r="S271" s="1" t="s">
        <v>35</v>
      </c>
      <c r="T271" s="1" t="s">
        <v>36</v>
      </c>
      <c r="U271" s="1" t="s">
        <v>37</v>
      </c>
      <c r="V271" s="1" t="s">
        <v>38</v>
      </c>
      <c r="W271" s="1" t="s">
        <v>39</v>
      </c>
      <c r="X271" s="8">
        <f>+IFERROR(VLOOKUP(N271,[1]Hoja1!$B$2:$F$52,4,0)*P271,"")</f>
        <v>0.38145161290322577</v>
      </c>
      <c r="Y271" s="8" t="e">
        <f>+VLOOKUP(M271,[1]SKU!$B$3:$E$81,4,0)</f>
        <v>#N/A</v>
      </c>
      <c r="Z271" s="8" t="str">
        <f t="shared" si="4"/>
        <v>BEES</v>
      </c>
      <c r="AA271" s="8" t="str">
        <f>+VLOOKUP(I271,[1]SKU!$H$2:$I$97,2,0)</f>
        <v>PE07011</v>
      </c>
    </row>
    <row r="272" spans="1:27">
      <c r="A272" s="1" t="s">
        <v>42</v>
      </c>
      <c r="B272" s="2">
        <v>46295</v>
      </c>
      <c r="C272" s="1" t="s">
        <v>477</v>
      </c>
      <c r="D272" s="1" t="s">
        <v>43</v>
      </c>
      <c r="E272" s="1" t="s">
        <v>478</v>
      </c>
      <c r="F272" s="1" t="s">
        <v>479</v>
      </c>
      <c r="G272" s="1" t="s">
        <v>26</v>
      </c>
      <c r="H272" s="1" t="s">
        <v>27</v>
      </c>
      <c r="I272" s="1" t="s">
        <v>180</v>
      </c>
      <c r="J272" s="1" t="s">
        <v>28</v>
      </c>
      <c r="K272" s="1" t="s">
        <v>29</v>
      </c>
      <c r="L272" s="1" t="s">
        <v>30</v>
      </c>
      <c r="M272" s="1" t="s">
        <v>98</v>
      </c>
      <c r="N272" s="1" t="s">
        <v>99</v>
      </c>
      <c r="O272" s="1" t="s">
        <v>100</v>
      </c>
      <c r="P272" s="3">
        <v>1</v>
      </c>
      <c r="Q272" s="3">
        <v>11.89</v>
      </c>
      <c r="R272" s="1" t="s">
        <v>34</v>
      </c>
      <c r="S272" s="1" t="s">
        <v>35</v>
      </c>
      <c r="T272" s="1" t="s">
        <v>36</v>
      </c>
      <c r="U272" s="1" t="s">
        <v>37</v>
      </c>
      <c r="V272" s="1" t="s">
        <v>85</v>
      </c>
      <c r="W272" s="1" t="s">
        <v>39</v>
      </c>
      <c r="X272" s="8" t="str">
        <f>+IFERROR(VLOOKUP(N272,[1]Hoja1!$B$2:$F$52,4,0)*P272,"")</f>
        <v/>
      </c>
      <c r="Y272" s="8" t="e">
        <f>+VLOOKUP(M272,[1]SKU!$B$3:$E$81,4,0)</f>
        <v>#N/A</v>
      </c>
      <c r="Z272" s="8" t="str">
        <f t="shared" si="4"/>
        <v>BEES</v>
      </c>
      <c r="AA272" s="8" t="str">
        <f>+VLOOKUP(I272,[1]SKU!$H$2:$I$97,2,0)</f>
        <v>PE07002</v>
      </c>
    </row>
    <row r="273" spans="1:27">
      <c r="A273" s="1" t="s">
        <v>42</v>
      </c>
      <c r="B273" s="2">
        <v>46295</v>
      </c>
      <c r="C273" s="1" t="s">
        <v>547</v>
      </c>
      <c r="D273" s="1" t="s">
        <v>43</v>
      </c>
      <c r="E273" s="1" t="s">
        <v>548</v>
      </c>
      <c r="F273" s="1" t="s">
        <v>549</v>
      </c>
      <c r="G273" s="1" t="s">
        <v>26</v>
      </c>
      <c r="H273" s="1" t="s">
        <v>27</v>
      </c>
      <c r="I273" s="1" t="s">
        <v>180</v>
      </c>
      <c r="J273" s="1" t="s">
        <v>28</v>
      </c>
      <c r="K273" s="1" t="s">
        <v>29</v>
      </c>
      <c r="L273" s="1" t="s">
        <v>30</v>
      </c>
      <c r="M273" s="1" t="s">
        <v>96</v>
      </c>
      <c r="N273" s="1" t="s">
        <v>97</v>
      </c>
      <c r="O273" s="1" t="s">
        <v>61</v>
      </c>
      <c r="P273" s="3">
        <v>1</v>
      </c>
      <c r="Q273" s="3">
        <v>31.18</v>
      </c>
      <c r="R273" s="1" t="s">
        <v>34</v>
      </c>
      <c r="S273" s="1" t="s">
        <v>35</v>
      </c>
      <c r="T273" s="1" t="s">
        <v>36</v>
      </c>
      <c r="U273" s="1" t="s">
        <v>37</v>
      </c>
      <c r="V273" s="1" t="s">
        <v>38</v>
      </c>
      <c r="W273" s="1" t="s">
        <v>39</v>
      </c>
      <c r="X273" s="8">
        <f>+IFERROR(VLOOKUP(N273,[1]Hoja1!$B$2:$F$52,4,0)*P273,"")</f>
        <v>0.38145161290322577</v>
      </c>
      <c r="Y273" s="8" t="e">
        <f>+VLOOKUP(M273,[1]SKU!$B$3:$E$81,4,0)</f>
        <v>#N/A</v>
      </c>
      <c r="Z273" s="8" t="str">
        <f t="shared" si="4"/>
        <v>BEES</v>
      </c>
      <c r="AA273" s="8" t="str">
        <f>+VLOOKUP(I273,[1]SKU!$H$2:$I$97,2,0)</f>
        <v>PE07002</v>
      </c>
    </row>
    <row r="274" spans="1:27">
      <c r="A274" s="1" t="s">
        <v>42</v>
      </c>
      <c r="B274" s="2">
        <v>46295</v>
      </c>
      <c r="C274" s="1" t="s">
        <v>557</v>
      </c>
      <c r="D274" s="1" t="s">
        <v>43</v>
      </c>
      <c r="E274" s="1" t="s">
        <v>558</v>
      </c>
      <c r="F274" s="1" t="s">
        <v>559</v>
      </c>
      <c r="G274" s="1" t="s">
        <v>26</v>
      </c>
      <c r="H274" s="1" t="s">
        <v>27</v>
      </c>
      <c r="I274" s="1" t="s">
        <v>267</v>
      </c>
      <c r="J274" s="1" t="s">
        <v>28</v>
      </c>
      <c r="K274" s="1" t="s">
        <v>29</v>
      </c>
      <c r="L274" s="1" t="s">
        <v>30</v>
      </c>
      <c r="M274" s="1" t="s">
        <v>96</v>
      </c>
      <c r="N274" s="1" t="s">
        <v>97</v>
      </c>
      <c r="O274" s="1" t="s">
        <v>61</v>
      </c>
      <c r="P274" s="3">
        <v>5</v>
      </c>
      <c r="Q274" s="3">
        <v>152.47020000000001</v>
      </c>
      <c r="R274" s="1" t="s">
        <v>34</v>
      </c>
      <c r="S274" s="1" t="s">
        <v>35</v>
      </c>
      <c r="T274" s="1" t="s">
        <v>36</v>
      </c>
      <c r="U274" s="1" t="s">
        <v>37</v>
      </c>
      <c r="V274" s="1" t="s">
        <v>38</v>
      </c>
      <c r="W274" s="1" t="s">
        <v>39</v>
      </c>
      <c r="X274" s="8">
        <f>+IFERROR(VLOOKUP(N274,[1]Hoja1!$B$2:$F$52,4,0)*P274,"")</f>
        <v>1.9072580645161288</v>
      </c>
      <c r="Y274" s="8" t="e">
        <f>+VLOOKUP(M274,[1]SKU!$B$3:$E$81,4,0)</f>
        <v>#N/A</v>
      </c>
      <c r="Z274" s="8" t="str">
        <f t="shared" si="4"/>
        <v>BEES</v>
      </c>
      <c r="AA274" s="8" t="str">
        <f>+VLOOKUP(I274,[1]SKU!$H$2:$I$97,2,0)</f>
        <v>PE07006</v>
      </c>
    </row>
    <row r="275" spans="1:27">
      <c r="A275" s="1" t="s">
        <v>40</v>
      </c>
      <c r="B275" s="2">
        <v>46295</v>
      </c>
      <c r="C275" s="1" t="s">
        <v>298</v>
      </c>
      <c r="D275" s="1" t="s">
        <v>41</v>
      </c>
      <c r="E275" s="1" t="s">
        <v>299</v>
      </c>
      <c r="F275" s="1" t="s">
        <v>300</v>
      </c>
      <c r="G275" s="1" t="s">
        <v>26</v>
      </c>
      <c r="H275" s="1" t="s">
        <v>27</v>
      </c>
      <c r="I275" s="1" t="s">
        <v>132</v>
      </c>
      <c r="J275" s="1" t="s">
        <v>28</v>
      </c>
      <c r="K275" s="1" t="s">
        <v>29</v>
      </c>
      <c r="L275" s="1" t="s">
        <v>30</v>
      </c>
      <c r="M275" s="1" t="s">
        <v>135</v>
      </c>
      <c r="N275" s="1" t="s">
        <v>136</v>
      </c>
      <c r="O275" s="1" t="s">
        <v>61</v>
      </c>
      <c r="P275" s="3">
        <v>1</v>
      </c>
      <c r="Q275" s="3">
        <v>30.852941000000001</v>
      </c>
      <c r="R275" s="1" t="s">
        <v>34</v>
      </c>
      <c r="S275" s="1" t="s">
        <v>35</v>
      </c>
      <c r="T275" s="1" t="s">
        <v>36</v>
      </c>
      <c r="U275" s="1" t="s">
        <v>37</v>
      </c>
      <c r="V275" s="1" t="s">
        <v>38</v>
      </c>
      <c r="W275" s="1" t="s">
        <v>39</v>
      </c>
      <c r="X275" s="8">
        <f>+IFERROR(VLOOKUP(N275,[1]Hoja1!$B$2:$F$52,4,0)*P275,"")</f>
        <v>0.38145161290322577</v>
      </c>
      <c r="Y275" s="8" t="str">
        <f>+VLOOKUP(M275,[1]SKU!$B$3:$E$81,4,0)</f>
        <v>LATAS</v>
      </c>
      <c r="Z275" s="8" t="str">
        <f t="shared" si="4"/>
        <v>BEES</v>
      </c>
      <c r="AA275" s="8" t="str">
        <f>+VLOOKUP(I275,[1]SKU!$H$2:$I$97,2,0)</f>
        <v>PE07009</v>
      </c>
    </row>
    <row r="276" spans="1:27">
      <c r="A276" s="1" t="s">
        <v>40</v>
      </c>
      <c r="B276" s="2">
        <v>46295</v>
      </c>
      <c r="C276" s="1" t="s">
        <v>377</v>
      </c>
      <c r="D276" s="1" t="s">
        <v>41</v>
      </c>
      <c r="E276" s="1" t="s">
        <v>378</v>
      </c>
      <c r="F276" s="1" t="s">
        <v>379</v>
      </c>
      <c r="G276" s="1" t="s">
        <v>26</v>
      </c>
      <c r="H276" s="1" t="s">
        <v>27</v>
      </c>
      <c r="I276" s="1" t="s">
        <v>132</v>
      </c>
      <c r="J276" s="1" t="s">
        <v>28</v>
      </c>
      <c r="K276" s="1" t="s">
        <v>29</v>
      </c>
      <c r="L276" s="1" t="s">
        <v>30</v>
      </c>
      <c r="M276" s="1" t="s">
        <v>135</v>
      </c>
      <c r="N276" s="1" t="s">
        <v>136</v>
      </c>
      <c r="O276" s="1" t="s">
        <v>61</v>
      </c>
      <c r="P276" s="3">
        <v>1</v>
      </c>
      <c r="Q276" s="3">
        <v>29.627451000000001</v>
      </c>
      <c r="R276" s="1" t="s">
        <v>34</v>
      </c>
      <c r="S276" s="1" t="s">
        <v>35</v>
      </c>
      <c r="T276" s="1" t="s">
        <v>36</v>
      </c>
      <c r="U276" s="1" t="s">
        <v>37</v>
      </c>
      <c r="V276" s="1" t="s">
        <v>38</v>
      </c>
      <c r="W276" s="1" t="s">
        <v>39</v>
      </c>
      <c r="X276" s="8">
        <f>+IFERROR(VLOOKUP(N276,[1]Hoja1!$B$2:$F$52,4,0)*P276,"")</f>
        <v>0.38145161290322577</v>
      </c>
      <c r="Y276" s="8" t="str">
        <f>+VLOOKUP(M276,[1]SKU!$B$3:$E$81,4,0)</f>
        <v>LATAS</v>
      </c>
      <c r="Z276" s="8" t="str">
        <f t="shared" si="4"/>
        <v>BEES</v>
      </c>
      <c r="AA276" s="8" t="str">
        <f>+VLOOKUP(I276,[1]SKU!$H$2:$I$97,2,0)</f>
        <v>PE07009</v>
      </c>
    </row>
    <row r="277" spans="1:27">
      <c r="A277" s="1" t="s">
        <v>40</v>
      </c>
      <c r="B277" s="2">
        <v>46295</v>
      </c>
      <c r="C277" s="1" t="s">
        <v>364</v>
      </c>
      <c r="D277" s="1" t="s">
        <v>41</v>
      </c>
      <c r="E277" s="1" t="s">
        <v>365</v>
      </c>
      <c r="F277" s="1" t="s">
        <v>366</v>
      </c>
      <c r="G277" s="1" t="s">
        <v>26</v>
      </c>
      <c r="H277" s="1" t="s">
        <v>27</v>
      </c>
      <c r="I277" s="1" t="s">
        <v>132</v>
      </c>
      <c r="J277" s="1" t="s">
        <v>28</v>
      </c>
      <c r="K277" s="1" t="s">
        <v>29</v>
      </c>
      <c r="L277" s="1" t="s">
        <v>30</v>
      </c>
      <c r="M277" s="1" t="s">
        <v>135</v>
      </c>
      <c r="N277" s="1" t="s">
        <v>136</v>
      </c>
      <c r="O277" s="1" t="s">
        <v>61</v>
      </c>
      <c r="P277" s="3">
        <v>1</v>
      </c>
      <c r="Q277" s="3">
        <v>29.627451000000001</v>
      </c>
      <c r="R277" s="1" t="s">
        <v>34</v>
      </c>
      <c r="S277" s="1" t="s">
        <v>35</v>
      </c>
      <c r="T277" s="1" t="s">
        <v>36</v>
      </c>
      <c r="U277" s="1" t="s">
        <v>37</v>
      </c>
      <c r="V277" s="1" t="s">
        <v>38</v>
      </c>
      <c r="W277" s="1" t="s">
        <v>39</v>
      </c>
      <c r="X277" s="8">
        <f>+IFERROR(VLOOKUP(N277,[1]Hoja1!$B$2:$F$52,4,0)*P277,"")</f>
        <v>0.38145161290322577</v>
      </c>
      <c r="Y277" s="8" t="str">
        <f>+VLOOKUP(M277,[1]SKU!$B$3:$E$81,4,0)</f>
        <v>LATAS</v>
      </c>
      <c r="Z277" s="8" t="str">
        <f t="shared" si="4"/>
        <v>BEES</v>
      </c>
      <c r="AA277" s="8" t="str">
        <f>+VLOOKUP(I277,[1]SKU!$H$2:$I$97,2,0)</f>
        <v>PE07009</v>
      </c>
    </row>
    <row r="278" spans="1:27">
      <c r="A278" s="1" t="s">
        <v>42</v>
      </c>
      <c r="B278" s="2">
        <v>46295</v>
      </c>
      <c r="C278" s="1" t="s">
        <v>496</v>
      </c>
      <c r="D278" s="1" t="s">
        <v>43</v>
      </c>
      <c r="E278" s="1" t="s">
        <v>497</v>
      </c>
      <c r="F278" s="1" t="s">
        <v>498</v>
      </c>
      <c r="G278" s="1" t="s">
        <v>26</v>
      </c>
      <c r="H278" s="1" t="s">
        <v>27</v>
      </c>
      <c r="I278" s="1" t="s">
        <v>180</v>
      </c>
      <c r="J278" s="1" t="s">
        <v>28</v>
      </c>
      <c r="K278" s="1" t="s">
        <v>29</v>
      </c>
      <c r="L278" s="1" t="s">
        <v>30</v>
      </c>
      <c r="M278" s="1" t="s">
        <v>135</v>
      </c>
      <c r="N278" s="1" t="s">
        <v>136</v>
      </c>
      <c r="O278" s="1" t="s">
        <v>61</v>
      </c>
      <c r="P278" s="3">
        <v>1</v>
      </c>
      <c r="Q278" s="3">
        <v>0</v>
      </c>
      <c r="R278" s="1" t="s">
        <v>77</v>
      </c>
      <c r="S278" s="1" t="s">
        <v>35</v>
      </c>
      <c r="T278" s="1" t="s">
        <v>36</v>
      </c>
      <c r="U278" s="1" t="s">
        <v>37</v>
      </c>
      <c r="V278" s="1" t="s">
        <v>38</v>
      </c>
      <c r="W278" s="1" t="s">
        <v>39</v>
      </c>
      <c r="X278" s="8">
        <f>+IFERROR(VLOOKUP(N278,[1]Hoja1!$B$2:$F$52,4,0)*P278,"")</f>
        <v>0.38145161290322577</v>
      </c>
      <c r="Y278" s="8" t="str">
        <f>+VLOOKUP(M278,[1]SKU!$B$3:$E$81,4,0)</f>
        <v>LATAS</v>
      </c>
      <c r="Z278" s="8" t="str">
        <f t="shared" si="4"/>
        <v>BEES</v>
      </c>
      <c r="AA278" s="8" t="str">
        <f>+VLOOKUP(I278,[1]SKU!$H$2:$I$97,2,0)</f>
        <v>PE07002</v>
      </c>
    </row>
    <row r="279" spans="1:27">
      <c r="A279" s="1" t="s">
        <v>42</v>
      </c>
      <c r="B279" s="2">
        <v>46295</v>
      </c>
      <c r="C279" s="1" t="s">
        <v>502</v>
      </c>
      <c r="D279" s="1" t="s">
        <v>43</v>
      </c>
      <c r="E279" s="1" t="s">
        <v>503</v>
      </c>
      <c r="F279" s="1" t="s">
        <v>504</v>
      </c>
      <c r="G279" s="1" t="s">
        <v>26</v>
      </c>
      <c r="H279" s="1" t="s">
        <v>27</v>
      </c>
      <c r="I279" s="1" t="s">
        <v>72</v>
      </c>
      <c r="J279" s="1" t="s">
        <v>28</v>
      </c>
      <c r="K279" s="1" t="s">
        <v>29</v>
      </c>
      <c r="L279" s="1" t="s">
        <v>30</v>
      </c>
      <c r="M279" s="1" t="s">
        <v>135</v>
      </c>
      <c r="N279" s="1" t="s">
        <v>136</v>
      </c>
      <c r="O279" s="1" t="s">
        <v>61</v>
      </c>
      <c r="P279" s="3">
        <v>2</v>
      </c>
      <c r="Q279" s="3">
        <v>65.242199999999997</v>
      </c>
      <c r="R279" s="1" t="s">
        <v>34</v>
      </c>
      <c r="S279" s="1" t="s">
        <v>35</v>
      </c>
      <c r="T279" s="1" t="s">
        <v>36</v>
      </c>
      <c r="U279" s="1" t="s">
        <v>37</v>
      </c>
      <c r="V279" s="1" t="s">
        <v>38</v>
      </c>
      <c r="W279" s="1" t="s">
        <v>39</v>
      </c>
      <c r="X279" s="8">
        <f>+IFERROR(VLOOKUP(N279,[1]Hoja1!$B$2:$F$52,4,0)*P279,"")</f>
        <v>0.76290322580645153</v>
      </c>
      <c r="Y279" s="8" t="str">
        <f>+VLOOKUP(M279,[1]SKU!$B$3:$E$81,4,0)</f>
        <v>LATAS</v>
      </c>
      <c r="Z279" s="8" t="str">
        <f t="shared" si="4"/>
        <v>BEES</v>
      </c>
      <c r="AA279" s="8" t="str">
        <f>+VLOOKUP(I279,[1]SKU!$H$2:$I$97,2,0)</f>
        <v>PE07001</v>
      </c>
    </row>
    <row r="280" spans="1:27">
      <c r="A280" s="1" t="s">
        <v>24</v>
      </c>
      <c r="B280" s="2">
        <v>46295</v>
      </c>
      <c r="C280" s="1" t="s">
        <v>386</v>
      </c>
      <c r="D280" s="1" t="s">
        <v>25</v>
      </c>
      <c r="E280" s="1" t="s">
        <v>387</v>
      </c>
      <c r="F280" s="1" t="s">
        <v>388</v>
      </c>
      <c r="G280" s="1" t="s">
        <v>26</v>
      </c>
      <c r="H280" s="1" t="s">
        <v>27</v>
      </c>
      <c r="I280" s="1" t="s">
        <v>53</v>
      </c>
      <c r="J280" s="1" t="s">
        <v>28</v>
      </c>
      <c r="K280" s="1" t="s">
        <v>29</v>
      </c>
      <c r="L280" s="1" t="s">
        <v>30</v>
      </c>
      <c r="M280" s="1" t="s">
        <v>135</v>
      </c>
      <c r="N280" s="1" t="s">
        <v>136</v>
      </c>
      <c r="O280" s="1" t="s">
        <v>61</v>
      </c>
      <c r="P280" s="3">
        <v>1</v>
      </c>
      <c r="Q280" s="3">
        <v>33.630000000000003</v>
      </c>
      <c r="R280" s="1" t="s">
        <v>34</v>
      </c>
      <c r="S280" s="1" t="s">
        <v>35</v>
      </c>
      <c r="T280" s="1" t="s">
        <v>36</v>
      </c>
      <c r="U280" s="1" t="s">
        <v>37</v>
      </c>
      <c r="V280" s="1" t="s">
        <v>38</v>
      </c>
      <c r="W280" s="1" t="s">
        <v>39</v>
      </c>
      <c r="X280" s="8">
        <f>+IFERROR(VLOOKUP(N280,[1]Hoja1!$B$2:$F$52,4,0)*P280,"")</f>
        <v>0.38145161290322577</v>
      </c>
      <c r="Y280" s="8" t="str">
        <f>+VLOOKUP(M280,[1]SKU!$B$3:$E$81,4,0)</f>
        <v>LATAS</v>
      </c>
      <c r="Z280" s="8" t="str">
        <f t="shared" si="4"/>
        <v>BEES</v>
      </c>
      <c r="AA280" s="8" t="str">
        <f>+VLOOKUP(I280,[1]SKU!$H$2:$I$97,2,0)</f>
        <v>PE07010</v>
      </c>
    </row>
    <row r="281" spans="1:27">
      <c r="A281" s="1" t="s">
        <v>40</v>
      </c>
      <c r="B281" s="2">
        <v>46295</v>
      </c>
      <c r="C281" s="1" t="s">
        <v>316</v>
      </c>
      <c r="D281" s="1" t="s">
        <v>41</v>
      </c>
      <c r="E281" s="1" t="s">
        <v>317</v>
      </c>
      <c r="F281" s="1" t="s">
        <v>318</v>
      </c>
      <c r="G281" s="1" t="s">
        <v>26</v>
      </c>
      <c r="H281" s="1" t="s">
        <v>27</v>
      </c>
      <c r="I281" s="1" t="s">
        <v>132</v>
      </c>
      <c r="J281" s="1" t="s">
        <v>28</v>
      </c>
      <c r="K281" s="1" t="s">
        <v>29</v>
      </c>
      <c r="L281" s="1" t="s">
        <v>30</v>
      </c>
      <c r="M281" s="1" t="s">
        <v>135</v>
      </c>
      <c r="N281" s="1" t="s">
        <v>136</v>
      </c>
      <c r="O281" s="1" t="s">
        <v>61</v>
      </c>
      <c r="P281" s="3">
        <v>1</v>
      </c>
      <c r="Q281" s="3">
        <v>29.627451000000001</v>
      </c>
      <c r="R281" s="1" t="s">
        <v>34</v>
      </c>
      <c r="S281" s="1" t="s">
        <v>35</v>
      </c>
      <c r="T281" s="1" t="s">
        <v>36</v>
      </c>
      <c r="U281" s="1" t="s">
        <v>37</v>
      </c>
      <c r="V281" s="1" t="s">
        <v>38</v>
      </c>
      <c r="W281" s="1" t="s">
        <v>39</v>
      </c>
      <c r="X281" s="8">
        <f>+IFERROR(VLOOKUP(N281,[1]Hoja1!$B$2:$F$52,4,0)*P281,"")</f>
        <v>0.38145161290322577</v>
      </c>
      <c r="Y281" s="8" t="str">
        <f>+VLOOKUP(M281,[1]SKU!$B$3:$E$81,4,0)</f>
        <v>LATAS</v>
      </c>
      <c r="Z281" s="8" t="str">
        <f t="shared" si="4"/>
        <v>BEES</v>
      </c>
      <c r="AA281" s="8" t="str">
        <f>+VLOOKUP(I281,[1]SKU!$H$2:$I$97,2,0)</f>
        <v>PE07009</v>
      </c>
    </row>
    <row r="282" spans="1:27">
      <c r="A282" s="1" t="s">
        <v>40</v>
      </c>
      <c r="B282" s="2">
        <v>46295</v>
      </c>
      <c r="C282" s="1" t="s">
        <v>232</v>
      </c>
      <c r="D282" s="1" t="s">
        <v>41</v>
      </c>
      <c r="E282" s="1" t="s">
        <v>233</v>
      </c>
      <c r="F282" s="1" t="s">
        <v>234</v>
      </c>
      <c r="G282" s="1" t="s">
        <v>26</v>
      </c>
      <c r="H282" s="1" t="s">
        <v>27</v>
      </c>
      <c r="I282" s="1" t="s">
        <v>132</v>
      </c>
      <c r="J282" s="1" t="s">
        <v>28</v>
      </c>
      <c r="K282" s="1" t="s">
        <v>29</v>
      </c>
      <c r="L282" s="1" t="s">
        <v>30</v>
      </c>
      <c r="M282" s="1" t="s">
        <v>31</v>
      </c>
      <c r="N282" s="1" t="s">
        <v>32</v>
      </c>
      <c r="O282" s="1" t="s">
        <v>33</v>
      </c>
      <c r="P282" s="3">
        <v>1</v>
      </c>
      <c r="Q282" s="3">
        <v>77.45</v>
      </c>
      <c r="R282" s="1" t="s">
        <v>34</v>
      </c>
      <c r="S282" s="1" t="s">
        <v>35</v>
      </c>
      <c r="T282" s="1" t="s">
        <v>36</v>
      </c>
      <c r="U282" s="1" t="s">
        <v>37</v>
      </c>
      <c r="V282" s="1" t="s">
        <v>38</v>
      </c>
      <c r="W282" s="1" t="s">
        <v>39</v>
      </c>
      <c r="X282" s="8">
        <f>+IFERROR(VLOOKUP(N282,[1]Hoja1!$B$2:$F$52,4,0)*P282,"")</f>
        <v>1</v>
      </c>
      <c r="Y282" s="8" t="str">
        <f>+VLOOKUP(M282,[1]SKU!$B$3:$E$81,4,0)</f>
        <v>REGULAR</v>
      </c>
      <c r="Z282" s="8" t="str">
        <f t="shared" si="4"/>
        <v>BEES</v>
      </c>
      <c r="AA282" s="8" t="str">
        <f>+VLOOKUP(I282,[1]SKU!$H$2:$I$97,2,0)</f>
        <v>PE07009</v>
      </c>
    </row>
    <row r="283" spans="1:27">
      <c r="A283" s="1" t="s">
        <v>24</v>
      </c>
      <c r="B283" s="2">
        <v>46295</v>
      </c>
      <c r="C283" s="1" t="s">
        <v>245</v>
      </c>
      <c r="D283" s="1" t="s">
        <v>25</v>
      </c>
      <c r="E283" s="1" t="s">
        <v>246</v>
      </c>
      <c r="F283" s="1" t="s">
        <v>247</v>
      </c>
      <c r="G283" s="1" t="s">
        <v>26</v>
      </c>
      <c r="H283" s="1" t="s">
        <v>27</v>
      </c>
      <c r="I283" s="1" t="s">
        <v>53</v>
      </c>
      <c r="J283" s="1" t="s">
        <v>28</v>
      </c>
      <c r="K283" s="1" t="s">
        <v>29</v>
      </c>
      <c r="L283" s="1" t="s">
        <v>30</v>
      </c>
      <c r="M283" s="1" t="s">
        <v>31</v>
      </c>
      <c r="N283" s="1" t="s">
        <v>32</v>
      </c>
      <c r="O283" s="1" t="s">
        <v>33</v>
      </c>
      <c r="P283" s="3">
        <v>1</v>
      </c>
      <c r="Q283" s="3">
        <v>77.45</v>
      </c>
      <c r="R283" s="1" t="s">
        <v>34</v>
      </c>
      <c r="S283" s="1" t="s">
        <v>35</v>
      </c>
      <c r="T283" s="1" t="s">
        <v>36</v>
      </c>
      <c r="U283" s="1" t="s">
        <v>37</v>
      </c>
      <c r="V283" s="1" t="s">
        <v>38</v>
      </c>
      <c r="W283" s="1" t="s">
        <v>39</v>
      </c>
      <c r="X283" s="8">
        <f>+IFERROR(VLOOKUP(N283,[1]Hoja1!$B$2:$F$52,4,0)*P283,"")</f>
        <v>1</v>
      </c>
      <c r="Y283" s="8" t="str">
        <f>+VLOOKUP(M283,[1]SKU!$B$3:$E$81,4,0)</f>
        <v>REGULAR</v>
      </c>
      <c r="Z283" s="8" t="str">
        <f t="shared" si="4"/>
        <v>BEES</v>
      </c>
      <c r="AA283" s="8" t="str">
        <f>+VLOOKUP(I283,[1]SKU!$H$2:$I$97,2,0)</f>
        <v>PE07010</v>
      </c>
    </row>
    <row r="284" spans="1:27">
      <c r="A284" s="1" t="s">
        <v>40</v>
      </c>
      <c r="B284" s="2">
        <v>46295</v>
      </c>
      <c r="C284" s="1" t="s">
        <v>364</v>
      </c>
      <c r="D284" s="1" t="s">
        <v>41</v>
      </c>
      <c r="E284" s="1" t="s">
        <v>365</v>
      </c>
      <c r="F284" s="1" t="s">
        <v>366</v>
      </c>
      <c r="G284" s="1" t="s">
        <v>26</v>
      </c>
      <c r="H284" s="1" t="s">
        <v>27</v>
      </c>
      <c r="I284" s="1" t="s">
        <v>132</v>
      </c>
      <c r="J284" s="1" t="s">
        <v>28</v>
      </c>
      <c r="K284" s="1" t="s">
        <v>29</v>
      </c>
      <c r="L284" s="1" t="s">
        <v>30</v>
      </c>
      <c r="M284" s="1" t="s">
        <v>31</v>
      </c>
      <c r="N284" s="1" t="s">
        <v>32</v>
      </c>
      <c r="O284" s="1" t="s">
        <v>33</v>
      </c>
      <c r="P284" s="3">
        <v>1</v>
      </c>
      <c r="Q284" s="3">
        <v>73.460784000000004</v>
      </c>
      <c r="R284" s="1" t="s">
        <v>34</v>
      </c>
      <c r="S284" s="1" t="s">
        <v>35</v>
      </c>
      <c r="T284" s="1" t="s">
        <v>36</v>
      </c>
      <c r="U284" s="1" t="s">
        <v>37</v>
      </c>
      <c r="V284" s="1" t="s">
        <v>38</v>
      </c>
      <c r="W284" s="1" t="s">
        <v>39</v>
      </c>
      <c r="X284" s="8">
        <f>+IFERROR(VLOOKUP(N284,[1]Hoja1!$B$2:$F$52,4,0)*P284,"")</f>
        <v>1</v>
      </c>
      <c r="Y284" s="8" t="str">
        <f>+VLOOKUP(M284,[1]SKU!$B$3:$E$81,4,0)</f>
        <v>REGULAR</v>
      </c>
      <c r="Z284" s="8" t="str">
        <f t="shared" si="4"/>
        <v>BEES</v>
      </c>
      <c r="AA284" s="8" t="str">
        <f>+VLOOKUP(I284,[1]SKU!$H$2:$I$97,2,0)</f>
        <v>PE07009</v>
      </c>
    </row>
    <row r="285" spans="1:27">
      <c r="A285" s="1" t="s">
        <v>42</v>
      </c>
      <c r="B285" s="2">
        <v>46295</v>
      </c>
      <c r="C285" s="1" t="s">
        <v>407</v>
      </c>
      <c r="D285" s="1" t="s">
        <v>43</v>
      </c>
      <c r="E285" s="1" t="s">
        <v>408</v>
      </c>
      <c r="F285" s="1" t="s">
        <v>409</v>
      </c>
      <c r="G285" s="1" t="s">
        <v>26</v>
      </c>
      <c r="H285" s="1" t="s">
        <v>27</v>
      </c>
      <c r="I285" s="1" t="s">
        <v>180</v>
      </c>
      <c r="J285" s="1" t="s">
        <v>28</v>
      </c>
      <c r="K285" s="1" t="s">
        <v>29</v>
      </c>
      <c r="L285" s="1" t="s">
        <v>30</v>
      </c>
      <c r="M285" s="1" t="s">
        <v>31</v>
      </c>
      <c r="N285" s="1" t="s">
        <v>32</v>
      </c>
      <c r="O285" s="1" t="s">
        <v>33</v>
      </c>
      <c r="P285" s="3">
        <v>1</v>
      </c>
      <c r="Q285" s="3">
        <v>76.210800000000006</v>
      </c>
      <c r="R285" s="1" t="s">
        <v>34</v>
      </c>
      <c r="S285" s="1" t="s">
        <v>35</v>
      </c>
      <c r="T285" s="1" t="s">
        <v>36</v>
      </c>
      <c r="U285" s="1" t="s">
        <v>37</v>
      </c>
      <c r="V285" s="1" t="s">
        <v>38</v>
      </c>
      <c r="W285" s="1" t="s">
        <v>39</v>
      </c>
      <c r="X285" s="8">
        <f>+IFERROR(VLOOKUP(N285,[1]Hoja1!$B$2:$F$52,4,0)*P285,"")</f>
        <v>1</v>
      </c>
      <c r="Y285" s="8" t="str">
        <f>+VLOOKUP(M285,[1]SKU!$B$3:$E$81,4,0)</f>
        <v>REGULAR</v>
      </c>
      <c r="Z285" s="8" t="str">
        <f t="shared" si="4"/>
        <v>BEES</v>
      </c>
      <c r="AA285" s="8" t="str">
        <f>+VLOOKUP(I285,[1]SKU!$H$2:$I$97,2,0)</f>
        <v>PE07002</v>
      </c>
    </row>
    <row r="286" spans="1:27">
      <c r="A286" s="1" t="s">
        <v>51</v>
      </c>
      <c r="B286" s="2">
        <v>46295</v>
      </c>
      <c r="C286" s="1" t="s">
        <v>235</v>
      </c>
      <c r="D286" s="1" t="s">
        <v>52</v>
      </c>
      <c r="E286" s="1" t="s">
        <v>236</v>
      </c>
      <c r="F286" s="1" t="s">
        <v>237</v>
      </c>
      <c r="G286" s="1" t="s">
        <v>26</v>
      </c>
      <c r="H286" s="1" t="s">
        <v>27</v>
      </c>
      <c r="I286" s="1" t="s">
        <v>238</v>
      </c>
      <c r="J286" s="1" t="s">
        <v>28</v>
      </c>
      <c r="K286" s="1" t="s">
        <v>29</v>
      </c>
      <c r="L286" s="1" t="s">
        <v>30</v>
      </c>
      <c r="M286" s="1" t="s">
        <v>90</v>
      </c>
      <c r="N286" s="1" t="s">
        <v>91</v>
      </c>
      <c r="O286" s="1" t="s">
        <v>61</v>
      </c>
      <c r="P286" s="3">
        <v>3</v>
      </c>
      <c r="Q286" s="3">
        <v>73.564141000000006</v>
      </c>
      <c r="R286" s="1" t="s">
        <v>34</v>
      </c>
      <c r="S286" s="1" t="s">
        <v>35</v>
      </c>
      <c r="T286" s="1" t="s">
        <v>36</v>
      </c>
      <c r="U286" s="1" t="s">
        <v>37</v>
      </c>
      <c r="V286" s="1" t="s">
        <v>38</v>
      </c>
      <c r="W286" s="1" t="s">
        <v>39</v>
      </c>
      <c r="X286" s="8">
        <f>+IFERROR(VLOOKUP(N286,[1]Hoja1!$B$2:$F$52,4,0)*P286,"")</f>
        <v>0.8588709677419355</v>
      </c>
      <c r="Y286" s="8" t="str">
        <f>+VLOOKUP(M286,[1]SKU!$B$3:$E$81,4,0)</f>
        <v>LATAS</v>
      </c>
      <c r="Z286" s="8" t="str">
        <f t="shared" si="4"/>
        <v>BEES</v>
      </c>
      <c r="AA286" s="8" t="str">
        <f>+VLOOKUP(I286,[1]SKU!$H$2:$I$97,2,0)</f>
        <v>PE07011</v>
      </c>
    </row>
    <row r="287" spans="1:27">
      <c r="A287" s="1" t="s">
        <v>24</v>
      </c>
      <c r="B287" s="2">
        <v>46295</v>
      </c>
      <c r="C287" s="1" t="s">
        <v>401</v>
      </c>
      <c r="D287" s="1" t="s">
        <v>25</v>
      </c>
      <c r="E287" s="1" t="s">
        <v>402</v>
      </c>
      <c r="F287" s="1" t="s">
        <v>403</v>
      </c>
      <c r="G287" s="1" t="s">
        <v>26</v>
      </c>
      <c r="H287" s="1" t="s">
        <v>27</v>
      </c>
      <c r="I287" s="1" t="s">
        <v>53</v>
      </c>
      <c r="J287" s="1" t="s">
        <v>28</v>
      </c>
      <c r="K287" s="1" t="s">
        <v>29</v>
      </c>
      <c r="L287" s="1" t="s">
        <v>30</v>
      </c>
      <c r="M287" s="1" t="s">
        <v>90</v>
      </c>
      <c r="N287" s="1" t="s">
        <v>91</v>
      </c>
      <c r="O287" s="1" t="s">
        <v>61</v>
      </c>
      <c r="P287" s="3">
        <v>1</v>
      </c>
      <c r="Q287" s="3">
        <v>24.929220000000001</v>
      </c>
      <c r="R287" s="1" t="s">
        <v>34</v>
      </c>
      <c r="S287" s="1" t="s">
        <v>35</v>
      </c>
      <c r="T287" s="1" t="s">
        <v>36</v>
      </c>
      <c r="U287" s="1" t="s">
        <v>37</v>
      </c>
      <c r="V287" s="1" t="s">
        <v>38</v>
      </c>
      <c r="W287" s="1" t="s">
        <v>39</v>
      </c>
      <c r="X287" s="8">
        <f>+IFERROR(VLOOKUP(N287,[1]Hoja1!$B$2:$F$52,4,0)*P287,"")</f>
        <v>0.28629032258064518</v>
      </c>
      <c r="Y287" s="8" t="str">
        <f>+VLOOKUP(M287,[1]SKU!$B$3:$E$81,4,0)</f>
        <v>LATAS</v>
      </c>
      <c r="Z287" s="8" t="str">
        <f t="shared" si="4"/>
        <v>BEES</v>
      </c>
      <c r="AA287" s="8" t="str">
        <f>+VLOOKUP(I287,[1]SKU!$H$2:$I$97,2,0)</f>
        <v>PE07010</v>
      </c>
    </row>
    <row r="288" spans="1:27">
      <c r="A288" s="1" t="s">
        <v>40</v>
      </c>
      <c r="B288" s="2">
        <v>46295</v>
      </c>
      <c r="C288" s="1" t="s">
        <v>345</v>
      </c>
      <c r="D288" s="1" t="s">
        <v>41</v>
      </c>
      <c r="E288" s="1" t="s">
        <v>346</v>
      </c>
      <c r="F288" s="1" t="s">
        <v>347</v>
      </c>
      <c r="G288" s="1" t="s">
        <v>26</v>
      </c>
      <c r="H288" s="1" t="s">
        <v>27</v>
      </c>
      <c r="I288" s="1" t="s">
        <v>132</v>
      </c>
      <c r="J288" s="1" t="s">
        <v>28</v>
      </c>
      <c r="K288" s="1" t="s">
        <v>29</v>
      </c>
      <c r="L288" s="1" t="s">
        <v>30</v>
      </c>
      <c r="M288" s="1" t="s">
        <v>90</v>
      </c>
      <c r="N288" s="1" t="s">
        <v>91</v>
      </c>
      <c r="O288" s="1" t="s">
        <v>61</v>
      </c>
      <c r="P288" s="3">
        <v>3</v>
      </c>
      <c r="Q288" s="3">
        <v>73.564141000000006</v>
      </c>
      <c r="R288" s="1" t="s">
        <v>34</v>
      </c>
      <c r="S288" s="1" t="s">
        <v>35</v>
      </c>
      <c r="T288" s="1" t="s">
        <v>36</v>
      </c>
      <c r="U288" s="1" t="s">
        <v>37</v>
      </c>
      <c r="V288" s="1" t="s">
        <v>38</v>
      </c>
      <c r="W288" s="1" t="s">
        <v>39</v>
      </c>
      <c r="X288" s="8">
        <f>+IFERROR(VLOOKUP(N288,[1]Hoja1!$B$2:$F$52,4,0)*P288,"")</f>
        <v>0.8588709677419355</v>
      </c>
      <c r="Y288" s="8" t="str">
        <f>+VLOOKUP(M288,[1]SKU!$B$3:$E$81,4,0)</f>
        <v>LATAS</v>
      </c>
      <c r="Z288" s="8" t="str">
        <f t="shared" si="4"/>
        <v>BEES</v>
      </c>
      <c r="AA288" s="8" t="str">
        <f>+VLOOKUP(I288,[1]SKU!$H$2:$I$97,2,0)</f>
        <v>PE07009</v>
      </c>
    </row>
    <row r="289" spans="1:27">
      <c r="A289" s="1" t="s">
        <v>42</v>
      </c>
      <c r="B289" s="2">
        <v>46295</v>
      </c>
      <c r="C289" s="1" t="s">
        <v>563</v>
      </c>
      <c r="D289" s="1" t="s">
        <v>43</v>
      </c>
      <c r="E289" s="1" t="s">
        <v>564</v>
      </c>
      <c r="F289" s="1" t="s">
        <v>565</v>
      </c>
      <c r="G289" s="1" t="s">
        <v>26</v>
      </c>
      <c r="H289" s="1" t="s">
        <v>27</v>
      </c>
      <c r="I289" s="1" t="s">
        <v>180</v>
      </c>
      <c r="J289" s="1" t="s">
        <v>28</v>
      </c>
      <c r="K289" s="1" t="s">
        <v>29</v>
      </c>
      <c r="L289" s="1" t="s">
        <v>30</v>
      </c>
      <c r="M289" s="1" t="s">
        <v>92</v>
      </c>
      <c r="N289" s="1" t="s">
        <v>93</v>
      </c>
      <c r="O289" s="1" t="s">
        <v>61</v>
      </c>
      <c r="P289" s="3">
        <v>2</v>
      </c>
      <c r="Q289" s="3">
        <v>53.01</v>
      </c>
      <c r="R289" s="1" t="s">
        <v>34</v>
      </c>
      <c r="S289" s="1" t="s">
        <v>35</v>
      </c>
      <c r="T289" s="1" t="s">
        <v>36</v>
      </c>
      <c r="U289" s="1" t="s">
        <v>37</v>
      </c>
      <c r="V289" s="1" t="s">
        <v>38</v>
      </c>
      <c r="W289" s="1" t="s">
        <v>39</v>
      </c>
      <c r="X289" s="8">
        <f>+IFERROR(VLOOKUP(N289,[1]Hoja1!$B$2:$F$52,4,0)*P289,"")</f>
        <v>0.57258064516129037</v>
      </c>
      <c r="Y289" s="8" t="e">
        <f>+VLOOKUP(M289,[1]SKU!$B$3:$E$81,4,0)</f>
        <v>#N/A</v>
      </c>
      <c r="Z289" s="8" t="str">
        <f t="shared" si="4"/>
        <v>BEES</v>
      </c>
      <c r="AA289" s="8" t="str">
        <f>+VLOOKUP(I289,[1]SKU!$H$2:$I$97,2,0)</f>
        <v>PE07002</v>
      </c>
    </row>
    <row r="290" spans="1:27">
      <c r="A290" s="1" t="s">
        <v>42</v>
      </c>
      <c r="B290" s="2">
        <v>46295</v>
      </c>
      <c r="C290" s="1" t="s">
        <v>443</v>
      </c>
      <c r="D290" s="1" t="s">
        <v>43</v>
      </c>
      <c r="E290" s="1" t="s">
        <v>444</v>
      </c>
      <c r="F290" s="1" t="s">
        <v>445</v>
      </c>
      <c r="G290" s="1" t="s">
        <v>26</v>
      </c>
      <c r="H290" s="1" t="s">
        <v>27</v>
      </c>
      <c r="I290" s="1" t="s">
        <v>267</v>
      </c>
      <c r="J290" s="1" t="s">
        <v>28</v>
      </c>
      <c r="K290" s="1" t="s">
        <v>29</v>
      </c>
      <c r="L290" s="1" t="s">
        <v>30</v>
      </c>
      <c r="M290" s="1" t="s">
        <v>92</v>
      </c>
      <c r="N290" s="1" t="s">
        <v>93</v>
      </c>
      <c r="O290" s="1" t="s">
        <v>61</v>
      </c>
      <c r="P290" s="3">
        <v>1</v>
      </c>
      <c r="Q290" s="3">
        <v>27.521000000000001</v>
      </c>
      <c r="R290" s="1" t="s">
        <v>34</v>
      </c>
      <c r="S290" s="1" t="s">
        <v>35</v>
      </c>
      <c r="T290" s="1" t="s">
        <v>36</v>
      </c>
      <c r="U290" s="1" t="s">
        <v>37</v>
      </c>
      <c r="V290" s="1" t="s">
        <v>38</v>
      </c>
      <c r="W290" s="1" t="s">
        <v>39</v>
      </c>
      <c r="X290" s="8">
        <f>+IFERROR(VLOOKUP(N290,[1]Hoja1!$B$2:$F$52,4,0)*P290,"")</f>
        <v>0.28629032258064518</v>
      </c>
      <c r="Y290" s="8" t="e">
        <f>+VLOOKUP(M290,[1]SKU!$B$3:$E$81,4,0)</f>
        <v>#N/A</v>
      </c>
      <c r="Z290" s="8" t="str">
        <f t="shared" si="4"/>
        <v>BEES</v>
      </c>
      <c r="AA290" s="8" t="str">
        <f>+VLOOKUP(I290,[1]SKU!$H$2:$I$97,2,0)</f>
        <v>PE07006</v>
      </c>
    </row>
    <row r="291" spans="1:27">
      <c r="A291" s="1" t="s">
        <v>42</v>
      </c>
      <c r="B291" s="2">
        <v>46295</v>
      </c>
      <c r="C291" s="1" t="s">
        <v>361</v>
      </c>
      <c r="D291" s="1" t="s">
        <v>43</v>
      </c>
      <c r="E291" s="1" t="s">
        <v>362</v>
      </c>
      <c r="F291" s="1" t="s">
        <v>363</v>
      </c>
      <c r="G291" s="1" t="s">
        <v>26</v>
      </c>
      <c r="H291" s="1" t="s">
        <v>27</v>
      </c>
      <c r="I291" s="1" t="s">
        <v>180</v>
      </c>
      <c r="J291" s="1" t="s">
        <v>28</v>
      </c>
      <c r="K291" s="1" t="s">
        <v>29</v>
      </c>
      <c r="L291" s="1" t="s">
        <v>30</v>
      </c>
      <c r="M291" s="1" t="s">
        <v>92</v>
      </c>
      <c r="N291" s="1" t="s">
        <v>93</v>
      </c>
      <c r="O291" s="1" t="s">
        <v>61</v>
      </c>
      <c r="P291" s="3">
        <v>1</v>
      </c>
      <c r="Q291" s="3">
        <v>25</v>
      </c>
      <c r="R291" s="1" t="s">
        <v>34</v>
      </c>
      <c r="S291" s="1" t="s">
        <v>35</v>
      </c>
      <c r="T291" s="1" t="s">
        <v>36</v>
      </c>
      <c r="U291" s="1" t="s">
        <v>37</v>
      </c>
      <c r="V291" s="1" t="s">
        <v>38</v>
      </c>
      <c r="W291" s="1" t="s">
        <v>39</v>
      </c>
      <c r="X291" s="8">
        <f>+IFERROR(VLOOKUP(N291,[1]Hoja1!$B$2:$F$52,4,0)*P291,"")</f>
        <v>0.28629032258064518</v>
      </c>
      <c r="Y291" s="8" t="e">
        <f>+VLOOKUP(M291,[1]SKU!$B$3:$E$81,4,0)</f>
        <v>#N/A</v>
      </c>
      <c r="Z291" s="8" t="str">
        <f t="shared" si="4"/>
        <v>BEES</v>
      </c>
      <c r="AA291" s="8" t="str">
        <f>+VLOOKUP(I291,[1]SKU!$H$2:$I$97,2,0)</f>
        <v>PE07002</v>
      </c>
    </row>
    <row r="292" spans="1:27">
      <c r="A292" s="1" t="s">
        <v>42</v>
      </c>
      <c r="B292" s="2">
        <v>46295</v>
      </c>
      <c r="C292" s="1" t="s">
        <v>563</v>
      </c>
      <c r="D292" s="1" t="s">
        <v>43</v>
      </c>
      <c r="E292" s="1" t="s">
        <v>564</v>
      </c>
      <c r="F292" s="1" t="s">
        <v>565</v>
      </c>
      <c r="G292" s="1" t="s">
        <v>26</v>
      </c>
      <c r="H292" s="1" t="s">
        <v>27</v>
      </c>
      <c r="I292" s="1" t="s">
        <v>180</v>
      </c>
      <c r="J292" s="1" t="s">
        <v>28</v>
      </c>
      <c r="K292" s="1" t="s">
        <v>29</v>
      </c>
      <c r="L292" s="1" t="s">
        <v>30</v>
      </c>
      <c r="M292" s="1" t="s">
        <v>92</v>
      </c>
      <c r="N292" s="1" t="s">
        <v>93</v>
      </c>
      <c r="O292" s="1" t="s">
        <v>61</v>
      </c>
      <c r="P292" s="3">
        <v>2</v>
      </c>
      <c r="Q292" s="3">
        <v>50</v>
      </c>
      <c r="R292" s="1" t="s">
        <v>34</v>
      </c>
      <c r="S292" s="1" t="s">
        <v>35</v>
      </c>
      <c r="T292" s="1" t="s">
        <v>36</v>
      </c>
      <c r="U292" s="1" t="s">
        <v>37</v>
      </c>
      <c r="V292" s="1" t="s">
        <v>38</v>
      </c>
      <c r="W292" s="1" t="s">
        <v>39</v>
      </c>
      <c r="X292" s="8">
        <f>+IFERROR(VLOOKUP(N292,[1]Hoja1!$B$2:$F$52,4,0)*P292,"")</f>
        <v>0.57258064516129037</v>
      </c>
      <c r="Y292" s="8" t="e">
        <f>+VLOOKUP(M292,[1]SKU!$B$3:$E$81,4,0)</f>
        <v>#N/A</v>
      </c>
      <c r="Z292" s="8" t="str">
        <f t="shared" si="4"/>
        <v>BEES</v>
      </c>
      <c r="AA292" s="8" t="str">
        <f>+VLOOKUP(I292,[1]SKU!$H$2:$I$97,2,0)</f>
        <v>PE07002</v>
      </c>
    </row>
    <row r="293" spans="1:27">
      <c r="A293" s="1" t="s">
        <v>51</v>
      </c>
      <c r="B293" s="2">
        <v>46295</v>
      </c>
      <c r="C293" s="1" t="s">
        <v>433</v>
      </c>
      <c r="D293" s="1" t="s">
        <v>52</v>
      </c>
      <c r="E293" s="1" t="s">
        <v>434</v>
      </c>
      <c r="F293" s="1" t="s">
        <v>435</v>
      </c>
      <c r="G293" s="1" t="s">
        <v>26</v>
      </c>
      <c r="H293" s="1" t="s">
        <v>27</v>
      </c>
      <c r="I293" s="1" t="s">
        <v>238</v>
      </c>
      <c r="J293" s="1" t="s">
        <v>28</v>
      </c>
      <c r="K293" s="1" t="s">
        <v>29</v>
      </c>
      <c r="L293" s="1" t="s">
        <v>30</v>
      </c>
      <c r="M293" s="1" t="s">
        <v>90</v>
      </c>
      <c r="N293" s="1" t="s">
        <v>91</v>
      </c>
      <c r="O293" s="1" t="s">
        <v>61</v>
      </c>
      <c r="P293" s="3">
        <v>1</v>
      </c>
      <c r="Q293" s="3">
        <v>24.929220000000001</v>
      </c>
      <c r="R293" s="1" t="s">
        <v>34</v>
      </c>
      <c r="S293" s="1" t="s">
        <v>35</v>
      </c>
      <c r="T293" s="1" t="s">
        <v>36</v>
      </c>
      <c r="U293" s="1" t="s">
        <v>37</v>
      </c>
      <c r="V293" s="1" t="s">
        <v>38</v>
      </c>
      <c r="W293" s="1" t="s">
        <v>39</v>
      </c>
      <c r="X293" s="8">
        <f>+IFERROR(VLOOKUP(N293,[1]Hoja1!$B$2:$F$52,4,0)*P293,"")</f>
        <v>0.28629032258064518</v>
      </c>
      <c r="Y293" s="8" t="str">
        <f>+VLOOKUP(M293,[1]SKU!$B$3:$E$81,4,0)</f>
        <v>LATAS</v>
      </c>
      <c r="Z293" s="8" t="str">
        <f t="shared" si="4"/>
        <v>BEES</v>
      </c>
      <c r="AA293" s="8" t="str">
        <f>+VLOOKUP(I293,[1]SKU!$H$2:$I$97,2,0)</f>
        <v>PE07011</v>
      </c>
    </row>
    <row r="294" spans="1:27">
      <c r="A294" s="1" t="s">
        <v>42</v>
      </c>
      <c r="B294" s="2">
        <v>46295</v>
      </c>
      <c r="C294" s="1" t="s">
        <v>584</v>
      </c>
      <c r="D294" s="1" t="s">
        <v>43</v>
      </c>
      <c r="E294" s="1" t="s">
        <v>585</v>
      </c>
      <c r="F294" s="1" t="s">
        <v>586</v>
      </c>
      <c r="G294" s="1" t="s">
        <v>26</v>
      </c>
      <c r="H294" s="1" t="s">
        <v>27</v>
      </c>
      <c r="I294" s="1" t="s">
        <v>587</v>
      </c>
      <c r="J294" s="1" t="s">
        <v>28</v>
      </c>
      <c r="K294" s="1" t="s">
        <v>29</v>
      </c>
      <c r="L294" s="1" t="s">
        <v>30</v>
      </c>
      <c r="M294" s="1" t="s">
        <v>92</v>
      </c>
      <c r="N294" s="1" t="s">
        <v>93</v>
      </c>
      <c r="O294" s="1" t="s">
        <v>61</v>
      </c>
      <c r="P294" s="3">
        <v>1</v>
      </c>
      <c r="Q294" s="3">
        <v>27.521000000000001</v>
      </c>
      <c r="R294" s="1" t="s">
        <v>34</v>
      </c>
      <c r="S294" s="1" t="s">
        <v>35</v>
      </c>
      <c r="T294" s="1" t="s">
        <v>36</v>
      </c>
      <c r="U294" s="1" t="s">
        <v>37</v>
      </c>
      <c r="V294" s="1" t="s">
        <v>38</v>
      </c>
      <c r="W294" s="1" t="s">
        <v>39</v>
      </c>
      <c r="X294" s="8">
        <f>+IFERROR(VLOOKUP(N294,[1]Hoja1!$B$2:$F$52,4,0)*P294,"")</f>
        <v>0.28629032258064518</v>
      </c>
      <c r="Y294" s="8" t="e">
        <f>+VLOOKUP(M294,[1]SKU!$B$3:$E$81,4,0)</f>
        <v>#N/A</v>
      </c>
      <c r="Z294" s="8" t="str">
        <f t="shared" si="4"/>
        <v>BEES</v>
      </c>
      <c r="AA294" s="8" t="str">
        <f>+VLOOKUP(I294,[1]SKU!$H$2:$I$97,2,0)</f>
        <v>PE07006</v>
      </c>
    </row>
    <row r="295" spans="1:27">
      <c r="A295" s="1" t="s">
        <v>44</v>
      </c>
      <c r="B295" s="2">
        <v>46295</v>
      </c>
      <c r="C295" s="1" t="s">
        <v>510</v>
      </c>
      <c r="D295" s="1" t="s">
        <v>45</v>
      </c>
      <c r="E295" s="1" t="s">
        <v>511</v>
      </c>
      <c r="F295" s="1" t="s">
        <v>512</v>
      </c>
      <c r="G295" s="1" t="s">
        <v>26</v>
      </c>
      <c r="H295" s="1" t="s">
        <v>46</v>
      </c>
      <c r="I295" s="1" t="s">
        <v>297</v>
      </c>
      <c r="J295" s="1" t="s">
        <v>47</v>
      </c>
      <c r="K295" s="1" t="s">
        <v>48</v>
      </c>
      <c r="L295" s="1" t="s">
        <v>30</v>
      </c>
      <c r="M295" s="1" t="s">
        <v>113</v>
      </c>
      <c r="N295" s="1" t="s">
        <v>114</v>
      </c>
      <c r="O295" s="1" t="s">
        <v>115</v>
      </c>
      <c r="P295" s="3">
        <v>1</v>
      </c>
      <c r="Q295" s="3">
        <v>9.9996749999999999</v>
      </c>
      <c r="R295" s="1" t="s">
        <v>34</v>
      </c>
      <c r="S295" s="1" t="s">
        <v>35</v>
      </c>
      <c r="T295" s="1" t="s">
        <v>36</v>
      </c>
      <c r="U295" s="1" t="s">
        <v>37</v>
      </c>
      <c r="V295" s="1" t="s">
        <v>116</v>
      </c>
      <c r="W295" s="1" t="s">
        <v>39</v>
      </c>
      <c r="X295" s="8">
        <f>+IFERROR(VLOOKUP(N295,[1]Hoja1!$B$2:$F$52,4,0)*P295,"")</f>
        <v>1.0080645161290323</v>
      </c>
      <c r="Y295" s="8" t="str">
        <f>+VLOOKUP(M295,[1]SKU!$B$3:$E$81,4,0)</f>
        <v>REGULAR</v>
      </c>
      <c r="Z295" s="8" t="str">
        <f t="shared" si="4"/>
        <v>FLEX</v>
      </c>
      <c r="AA295" s="8" t="str">
        <f>+VLOOKUP(I295,[1]SKU!$H$2:$I$97,2,0)</f>
        <v>PE07004</v>
      </c>
    </row>
    <row r="296" spans="1:27">
      <c r="A296" s="1" t="s">
        <v>40</v>
      </c>
      <c r="B296" s="2">
        <v>46295</v>
      </c>
      <c r="C296" s="1" t="s">
        <v>569</v>
      </c>
      <c r="D296" s="1" t="s">
        <v>41</v>
      </c>
      <c r="E296" s="1" t="s">
        <v>570</v>
      </c>
      <c r="F296" s="1" t="s">
        <v>571</v>
      </c>
      <c r="G296" s="1" t="s">
        <v>26</v>
      </c>
      <c r="H296" s="1" t="s">
        <v>27</v>
      </c>
      <c r="I296" s="1" t="s">
        <v>132</v>
      </c>
      <c r="J296" s="1" t="s">
        <v>28</v>
      </c>
      <c r="K296" s="1" t="s">
        <v>29</v>
      </c>
      <c r="L296" s="1" t="s">
        <v>30</v>
      </c>
      <c r="M296" s="1" t="s">
        <v>49</v>
      </c>
      <c r="N296" s="1" t="s">
        <v>50</v>
      </c>
      <c r="O296" s="1" t="s">
        <v>33</v>
      </c>
      <c r="P296" s="3">
        <v>2</v>
      </c>
      <c r="Q296" s="3">
        <v>145.68</v>
      </c>
      <c r="R296" s="1" t="s">
        <v>34</v>
      </c>
      <c r="S296" s="1" t="s">
        <v>35</v>
      </c>
      <c r="T296" s="1" t="s">
        <v>36</v>
      </c>
      <c r="U296" s="1" t="s">
        <v>37</v>
      </c>
      <c r="V296" s="1" t="s">
        <v>38</v>
      </c>
      <c r="W296" s="1" t="s">
        <v>39</v>
      </c>
      <c r="X296" s="8">
        <f>+IFERROR(VLOOKUP(N296,[1]Hoja1!$B$2:$F$52,4,0)*P296,"")</f>
        <v>2.032258064516129</v>
      </c>
      <c r="Y296" s="8" t="str">
        <f>+VLOOKUP(M296,[1]SKU!$B$3:$E$81,4,0)</f>
        <v>REGULAR</v>
      </c>
      <c r="Z296" s="8" t="str">
        <f t="shared" si="4"/>
        <v>BEES</v>
      </c>
      <c r="AA296" s="8" t="str">
        <f>+VLOOKUP(I296,[1]SKU!$H$2:$I$97,2,0)</f>
        <v>PE07009</v>
      </c>
    </row>
    <row r="297" spans="1:27">
      <c r="A297" s="1" t="s">
        <v>40</v>
      </c>
      <c r="B297" s="2">
        <v>46295</v>
      </c>
      <c r="C297" s="1" t="s">
        <v>419</v>
      </c>
      <c r="D297" s="1" t="s">
        <v>41</v>
      </c>
      <c r="E297" s="1" t="s">
        <v>420</v>
      </c>
      <c r="F297" s="1" t="s">
        <v>421</v>
      </c>
      <c r="G297" s="1" t="s">
        <v>26</v>
      </c>
      <c r="H297" s="1" t="s">
        <v>27</v>
      </c>
      <c r="I297" s="1" t="s">
        <v>422</v>
      </c>
      <c r="J297" s="1" t="s">
        <v>28</v>
      </c>
      <c r="K297" s="1" t="s">
        <v>29</v>
      </c>
      <c r="L297" s="1" t="s">
        <v>30</v>
      </c>
      <c r="M297" s="1" t="s">
        <v>49</v>
      </c>
      <c r="N297" s="1" t="s">
        <v>50</v>
      </c>
      <c r="O297" s="1" t="s">
        <v>33</v>
      </c>
      <c r="P297" s="3">
        <v>1</v>
      </c>
      <c r="Q297" s="3">
        <v>71.637254999999996</v>
      </c>
      <c r="R297" s="1" t="s">
        <v>34</v>
      </c>
      <c r="S297" s="1" t="s">
        <v>35</v>
      </c>
      <c r="T297" s="1" t="s">
        <v>36</v>
      </c>
      <c r="U297" s="1" t="s">
        <v>37</v>
      </c>
      <c r="V297" s="1" t="s">
        <v>38</v>
      </c>
      <c r="W297" s="1" t="s">
        <v>39</v>
      </c>
      <c r="X297" s="8">
        <f>+IFERROR(VLOOKUP(N297,[1]Hoja1!$B$2:$F$52,4,0)*P297,"")</f>
        <v>1.0161290322580645</v>
      </c>
      <c r="Y297" s="8" t="str">
        <f>+VLOOKUP(M297,[1]SKU!$B$3:$E$81,4,0)</f>
        <v>REGULAR</v>
      </c>
      <c r="Z297" s="8" t="str">
        <f t="shared" si="4"/>
        <v>BEES</v>
      </c>
      <c r="AA297" s="8" t="str">
        <f>+VLOOKUP(I297,[1]SKU!$H$2:$I$97,2,0)</f>
        <v>PE07009</v>
      </c>
    </row>
    <row r="298" spans="1:27">
      <c r="A298" s="1" t="s">
        <v>40</v>
      </c>
      <c r="B298" s="2">
        <v>46295</v>
      </c>
      <c r="C298" s="1" t="s">
        <v>486</v>
      </c>
      <c r="D298" s="1" t="s">
        <v>41</v>
      </c>
      <c r="E298" s="1" t="s">
        <v>487</v>
      </c>
      <c r="F298" s="1" t="s">
        <v>488</v>
      </c>
      <c r="G298" s="1" t="s">
        <v>26</v>
      </c>
      <c r="H298" s="1" t="s">
        <v>27</v>
      </c>
      <c r="I298" s="1" t="s">
        <v>132</v>
      </c>
      <c r="J298" s="1" t="s">
        <v>28</v>
      </c>
      <c r="K298" s="1" t="s">
        <v>29</v>
      </c>
      <c r="L298" s="1" t="s">
        <v>30</v>
      </c>
      <c r="M298" s="1" t="s">
        <v>128</v>
      </c>
      <c r="N298" s="1" t="s">
        <v>129</v>
      </c>
      <c r="O298" s="1" t="s">
        <v>115</v>
      </c>
      <c r="P298" s="3">
        <v>1</v>
      </c>
      <c r="Q298" s="3">
        <v>12.157021</v>
      </c>
      <c r="R298" s="1" t="s">
        <v>34</v>
      </c>
      <c r="S298" s="1" t="s">
        <v>35</v>
      </c>
      <c r="T298" s="1" t="s">
        <v>36</v>
      </c>
      <c r="U298" s="1" t="s">
        <v>37</v>
      </c>
      <c r="V298" s="1" t="s">
        <v>69</v>
      </c>
      <c r="W298" s="1" t="s">
        <v>39</v>
      </c>
      <c r="X298" s="8" t="str">
        <f>+IFERROR(VLOOKUP(N298,[1]Hoja1!$B$2:$F$52,4,0)*P298,"")</f>
        <v/>
      </c>
      <c r="Y298" s="8" t="e">
        <f>+VLOOKUP(M298,[1]SKU!$B$3:$E$81,4,0)</f>
        <v>#N/A</v>
      </c>
      <c r="Z298" s="8" t="str">
        <f t="shared" si="4"/>
        <v>BEES</v>
      </c>
      <c r="AA298" s="8" t="str">
        <f>+VLOOKUP(I298,[1]SKU!$H$2:$I$97,2,0)</f>
        <v>PE07009</v>
      </c>
    </row>
    <row r="299" spans="1:27">
      <c r="A299" s="1" t="s">
        <v>40</v>
      </c>
      <c r="B299" s="2">
        <v>46295</v>
      </c>
      <c r="C299" s="1" t="s">
        <v>554</v>
      </c>
      <c r="D299" s="1" t="s">
        <v>41</v>
      </c>
      <c r="E299" s="1" t="s">
        <v>555</v>
      </c>
      <c r="F299" s="1" t="s">
        <v>556</v>
      </c>
      <c r="G299" s="1" t="s">
        <v>26</v>
      </c>
      <c r="H299" s="1" t="s">
        <v>27</v>
      </c>
      <c r="I299" s="1" t="s">
        <v>132</v>
      </c>
      <c r="J299" s="1" t="s">
        <v>28</v>
      </c>
      <c r="K299" s="1" t="s">
        <v>29</v>
      </c>
      <c r="L299" s="1" t="s">
        <v>30</v>
      </c>
      <c r="M299" s="1" t="s">
        <v>128</v>
      </c>
      <c r="N299" s="1" t="s">
        <v>129</v>
      </c>
      <c r="O299" s="1" t="s">
        <v>115</v>
      </c>
      <c r="P299" s="3">
        <v>1</v>
      </c>
      <c r="Q299" s="3">
        <v>12.157021</v>
      </c>
      <c r="R299" s="1" t="s">
        <v>34</v>
      </c>
      <c r="S299" s="1" t="s">
        <v>35</v>
      </c>
      <c r="T299" s="1" t="s">
        <v>36</v>
      </c>
      <c r="U299" s="1" t="s">
        <v>37</v>
      </c>
      <c r="V299" s="1" t="s">
        <v>69</v>
      </c>
      <c r="W299" s="1" t="s">
        <v>39</v>
      </c>
      <c r="X299" s="8" t="str">
        <f>+IFERROR(VLOOKUP(N299,[1]Hoja1!$B$2:$F$52,4,0)*P299,"")</f>
        <v/>
      </c>
      <c r="Y299" s="8" t="e">
        <f>+VLOOKUP(M299,[1]SKU!$B$3:$E$81,4,0)</f>
        <v>#N/A</v>
      </c>
      <c r="Z299" s="8" t="str">
        <f t="shared" si="4"/>
        <v>BEES</v>
      </c>
      <c r="AA299" s="8" t="str">
        <f>+VLOOKUP(I299,[1]SKU!$H$2:$I$97,2,0)</f>
        <v>PE07009</v>
      </c>
    </row>
    <row r="300" spans="1:27">
      <c r="A300" s="1" t="s">
        <v>24</v>
      </c>
      <c r="B300" s="2">
        <v>46295</v>
      </c>
      <c r="C300" s="1" t="s">
        <v>339</v>
      </c>
      <c r="D300" s="1" t="s">
        <v>25</v>
      </c>
      <c r="E300" s="1" t="s">
        <v>340</v>
      </c>
      <c r="F300" s="1" t="s">
        <v>341</v>
      </c>
      <c r="G300" s="1" t="s">
        <v>26</v>
      </c>
      <c r="H300" s="1" t="s">
        <v>27</v>
      </c>
      <c r="I300" s="1" t="s">
        <v>53</v>
      </c>
      <c r="J300" s="1" t="s">
        <v>28</v>
      </c>
      <c r="K300" s="1" t="s">
        <v>29</v>
      </c>
      <c r="L300" s="1" t="s">
        <v>30</v>
      </c>
      <c r="M300" s="1" t="s">
        <v>128</v>
      </c>
      <c r="N300" s="1" t="s">
        <v>129</v>
      </c>
      <c r="O300" s="1" t="s">
        <v>115</v>
      </c>
      <c r="P300" s="3">
        <v>1</v>
      </c>
      <c r="Q300" s="3">
        <v>12.157021</v>
      </c>
      <c r="R300" s="1" t="s">
        <v>34</v>
      </c>
      <c r="S300" s="1" t="s">
        <v>35</v>
      </c>
      <c r="T300" s="1" t="s">
        <v>36</v>
      </c>
      <c r="U300" s="1" t="s">
        <v>37</v>
      </c>
      <c r="V300" s="1" t="s">
        <v>69</v>
      </c>
      <c r="W300" s="1" t="s">
        <v>39</v>
      </c>
      <c r="X300" s="8" t="str">
        <f>+IFERROR(VLOOKUP(N300,[1]Hoja1!$B$2:$F$52,4,0)*P300,"")</f>
        <v/>
      </c>
      <c r="Y300" s="8" t="e">
        <f>+VLOOKUP(M300,[1]SKU!$B$3:$E$81,4,0)</f>
        <v>#N/A</v>
      </c>
      <c r="Z300" s="8" t="str">
        <f t="shared" si="4"/>
        <v>BEES</v>
      </c>
      <c r="AA300" s="8" t="str">
        <f>+VLOOKUP(I300,[1]SKU!$H$2:$I$97,2,0)</f>
        <v>PE07010</v>
      </c>
    </row>
    <row r="301" spans="1:27">
      <c r="A301" s="1" t="s">
        <v>42</v>
      </c>
      <c r="B301" s="2">
        <v>46295</v>
      </c>
      <c r="C301" s="1" t="s">
        <v>286</v>
      </c>
      <c r="D301" s="1" t="s">
        <v>43</v>
      </c>
      <c r="E301" s="1" t="s">
        <v>287</v>
      </c>
      <c r="F301" s="1" t="s">
        <v>288</v>
      </c>
      <c r="G301" s="1" t="s">
        <v>26</v>
      </c>
      <c r="H301" s="1" t="s">
        <v>27</v>
      </c>
      <c r="I301" s="1" t="s">
        <v>65</v>
      </c>
      <c r="J301" s="1" t="s">
        <v>28</v>
      </c>
      <c r="K301" s="1" t="s">
        <v>29</v>
      </c>
      <c r="L301" s="1" t="s">
        <v>30</v>
      </c>
      <c r="M301" s="1" t="s">
        <v>49</v>
      </c>
      <c r="N301" s="1" t="s">
        <v>50</v>
      </c>
      <c r="O301" s="1" t="s">
        <v>33</v>
      </c>
      <c r="P301" s="3">
        <v>2</v>
      </c>
      <c r="Q301" s="3">
        <v>145.68</v>
      </c>
      <c r="R301" s="1" t="s">
        <v>34</v>
      </c>
      <c r="S301" s="1" t="s">
        <v>35</v>
      </c>
      <c r="T301" s="1" t="s">
        <v>36</v>
      </c>
      <c r="U301" s="1" t="s">
        <v>37</v>
      </c>
      <c r="V301" s="1" t="s">
        <v>38</v>
      </c>
      <c r="W301" s="1" t="s">
        <v>39</v>
      </c>
      <c r="X301" s="8">
        <f>+IFERROR(VLOOKUP(N301,[1]Hoja1!$B$2:$F$52,4,0)*P301,"")</f>
        <v>2.032258064516129</v>
      </c>
      <c r="Y301" s="8" t="str">
        <f>+VLOOKUP(M301,[1]SKU!$B$3:$E$81,4,0)</f>
        <v>REGULAR</v>
      </c>
      <c r="Z301" s="8" t="str">
        <f t="shared" si="4"/>
        <v>BEES</v>
      </c>
      <c r="AA301" s="8" t="str">
        <f>+VLOOKUP(I301,[1]SKU!$H$2:$I$97,2,0)</f>
        <v>PE07003</v>
      </c>
    </row>
    <row r="302" spans="1:27">
      <c r="A302" s="1" t="s">
        <v>40</v>
      </c>
      <c r="B302" s="2">
        <v>46295</v>
      </c>
      <c r="C302" s="1" t="s">
        <v>591</v>
      </c>
      <c r="D302" s="1" t="s">
        <v>41</v>
      </c>
      <c r="E302" s="1" t="s">
        <v>592</v>
      </c>
      <c r="F302" s="1" t="s">
        <v>593</v>
      </c>
      <c r="G302" s="1" t="s">
        <v>26</v>
      </c>
      <c r="H302" s="1" t="s">
        <v>27</v>
      </c>
      <c r="I302" s="1" t="s">
        <v>132</v>
      </c>
      <c r="J302" s="1" t="s">
        <v>28</v>
      </c>
      <c r="K302" s="1" t="s">
        <v>29</v>
      </c>
      <c r="L302" s="1" t="s">
        <v>30</v>
      </c>
      <c r="M302" s="1" t="s">
        <v>49</v>
      </c>
      <c r="N302" s="1" t="s">
        <v>50</v>
      </c>
      <c r="O302" s="1" t="s">
        <v>33</v>
      </c>
      <c r="P302" s="3">
        <v>4</v>
      </c>
      <c r="Q302" s="3">
        <v>291.36</v>
      </c>
      <c r="R302" s="1" t="s">
        <v>34</v>
      </c>
      <c r="S302" s="1" t="s">
        <v>35</v>
      </c>
      <c r="T302" s="1" t="s">
        <v>36</v>
      </c>
      <c r="U302" s="1" t="s">
        <v>37</v>
      </c>
      <c r="V302" s="1" t="s">
        <v>38</v>
      </c>
      <c r="W302" s="1" t="s">
        <v>39</v>
      </c>
      <c r="X302" s="8">
        <f>+IFERROR(VLOOKUP(N302,[1]Hoja1!$B$2:$F$52,4,0)*P302,"")</f>
        <v>4.064516129032258</v>
      </c>
      <c r="Y302" s="8" t="str">
        <f>+VLOOKUP(M302,[1]SKU!$B$3:$E$81,4,0)</f>
        <v>REGULAR</v>
      </c>
      <c r="Z302" s="8" t="str">
        <f t="shared" si="4"/>
        <v>BEES</v>
      </c>
      <c r="AA302" s="8" t="str">
        <f>+VLOOKUP(I302,[1]SKU!$H$2:$I$97,2,0)</f>
        <v>PE07009</v>
      </c>
    </row>
    <row r="303" spans="1:27">
      <c r="A303" s="1" t="s">
        <v>24</v>
      </c>
      <c r="B303" s="2">
        <v>46295</v>
      </c>
      <c r="C303" s="1" t="s">
        <v>449</v>
      </c>
      <c r="D303" s="1" t="s">
        <v>25</v>
      </c>
      <c r="E303" s="1" t="s">
        <v>450</v>
      </c>
      <c r="F303" s="1" t="s">
        <v>451</v>
      </c>
      <c r="G303" s="1" t="s">
        <v>26</v>
      </c>
      <c r="H303" s="1" t="s">
        <v>27</v>
      </c>
      <c r="I303" s="1" t="s">
        <v>64</v>
      </c>
      <c r="J303" s="1" t="s">
        <v>28</v>
      </c>
      <c r="K303" s="1" t="s">
        <v>29</v>
      </c>
      <c r="L303" s="1" t="s">
        <v>30</v>
      </c>
      <c r="M303" s="1" t="s">
        <v>135</v>
      </c>
      <c r="N303" s="1" t="s">
        <v>136</v>
      </c>
      <c r="O303" s="1" t="s">
        <v>61</v>
      </c>
      <c r="P303" s="3">
        <v>1</v>
      </c>
      <c r="Q303" s="3">
        <v>33.630000000000003</v>
      </c>
      <c r="R303" s="1" t="s">
        <v>34</v>
      </c>
      <c r="S303" s="1" t="s">
        <v>35</v>
      </c>
      <c r="T303" s="1" t="s">
        <v>36</v>
      </c>
      <c r="U303" s="1" t="s">
        <v>37</v>
      </c>
      <c r="V303" s="1" t="s">
        <v>38</v>
      </c>
      <c r="W303" s="1" t="s">
        <v>39</v>
      </c>
      <c r="X303" s="8">
        <f>+IFERROR(VLOOKUP(N303,[1]Hoja1!$B$2:$F$52,4,0)*P303,"")</f>
        <v>0.38145161290322577</v>
      </c>
      <c r="Y303" s="8" t="str">
        <f>+VLOOKUP(M303,[1]SKU!$B$3:$E$81,4,0)</f>
        <v>LATAS</v>
      </c>
      <c r="Z303" s="8" t="str">
        <f t="shared" si="4"/>
        <v>BEES</v>
      </c>
      <c r="AA303" s="8" t="str">
        <f>+VLOOKUP(I303,[1]SKU!$H$2:$I$97,2,0)</f>
        <v>PE07012</v>
      </c>
    </row>
    <row r="304" spans="1:27">
      <c r="A304" s="1" t="s">
        <v>42</v>
      </c>
      <c r="B304" s="2">
        <v>46295</v>
      </c>
      <c r="C304" s="1" t="s">
        <v>440</v>
      </c>
      <c r="D304" s="1" t="s">
        <v>43</v>
      </c>
      <c r="E304" s="1" t="s">
        <v>441</v>
      </c>
      <c r="F304" s="1" t="s">
        <v>442</v>
      </c>
      <c r="G304" s="1" t="s">
        <v>26</v>
      </c>
      <c r="H304" s="1" t="s">
        <v>27</v>
      </c>
      <c r="I304" s="1" t="s">
        <v>72</v>
      </c>
      <c r="J304" s="1" t="s">
        <v>28</v>
      </c>
      <c r="K304" s="1" t="s">
        <v>29</v>
      </c>
      <c r="L304" s="1" t="s">
        <v>30</v>
      </c>
      <c r="M304" s="1" t="s">
        <v>135</v>
      </c>
      <c r="N304" s="1" t="s">
        <v>136</v>
      </c>
      <c r="O304" s="1" t="s">
        <v>61</v>
      </c>
      <c r="P304" s="3">
        <v>6</v>
      </c>
      <c r="Q304" s="3">
        <v>194.51591999999999</v>
      </c>
      <c r="R304" s="1" t="s">
        <v>34</v>
      </c>
      <c r="S304" s="1" t="s">
        <v>35</v>
      </c>
      <c r="T304" s="1" t="s">
        <v>36</v>
      </c>
      <c r="U304" s="1" t="s">
        <v>37</v>
      </c>
      <c r="V304" s="1" t="s">
        <v>38</v>
      </c>
      <c r="W304" s="1" t="s">
        <v>39</v>
      </c>
      <c r="X304" s="8">
        <f>+IFERROR(VLOOKUP(N304,[1]Hoja1!$B$2:$F$52,4,0)*P304,"")</f>
        <v>2.2887096774193547</v>
      </c>
      <c r="Y304" s="8" t="str">
        <f>+VLOOKUP(M304,[1]SKU!$B$3:$E$81,4,0)</f>
        <v>LATAS</v>
      </c>
      <c r="Z304" s="8" t="str">
        <f t="shared" si="4"/>
        <v>BEES</v>
      </c>
      <c r="AA304" s="8" t="str">
        <f>+VLOOKUP(I304,[1]SKU!$H$2:$I$97,2,0)</f>
        <v>PE07001</v>
      </c>
    </row>
    <row r="305" spans="1:27">
      <c r="A305" s="1" t="s">
        <v>42</v>
      </c>
      <c r="B305" s="2">
        <v>46295</v>
      </c>
      <c r="C305" s="1" t="s">
        <v>584</v>
      </c>
      <c r="D305" s="1" t="s">
        <v>43</v>
      </c>
      <c r="E305" s="1" t="s">
        <v>585</v>
      </c>
      <c r="F305" s="1" t="s">
        <v>586</v>
      </c>
      <c r="G305" s="1" t="s">
        <v>26</v>
      </c>
      <c r="H305" s="1" t="s">
        <v>27</v>
      </c>
      <c r="I305" s="1" t="s">
        <v>587</v>
      </c>
      <c r="J305" s="1" t="s">
        <v>28</v>
      </c>
      <c r="K305" s="1" t="s">
        <v>29</v>
      </c>
      <c r="L305" s="1" t="s">
        <v>30</v>
      </c>
      <c r="M305" s="1" t="s">
        <v>135</v>
      </c>
      <c r="N305" s="1" t="s">
        <v>136</v>
      </c>
      <c r="O305" s="1" t="s">
        <v>61</v>
      </c>
      <c r="P305" s="3">
        <v>3</v>
      </c>
      <c r="Q305" s="3">
        <v>100.89</v>
      </c>
      <c r="R305" s="1" t="s">
        <v>34</v>
      </c>
      <c r="S305" s="1" t="s">
        <v>35</v>
      </c>
      <c r="T305" s="1" t="s">
        <v>36</v>
      </c>
      <c r="U305" s="1" t="s">
        <v>37</v>
      </c>
      <c r="V305" s="1" t="s">
        <v>38</v>
      </c>
      <c r="W305" s="1" t="s">
        <v>39</v>
      </c>
      <c r="X305" s="8">
        <f>+IFERROR(VLOOKUP(N305,[1]Hoja1!$B$2:$F$52,4,0)*P305,"")</f>
        <v>1.1443548387096774</v>
      </c>
      <c r="Y305" s="8" t="str">
        <f>+VLOOKUP(M305,[1]SKU!$B$3:$E$81,4,0)</f>
        <v>LATAS</v>
      </c>
      <c r="Z305" s="8" t="str">
        <f t="shared" si="4"/>
        <v>BEES</v>
      </c>
      <c r="AA305" s="8" t="str">
        <f>+VLOOKUP(I305,[1]SKU!$H$2:$I$97,2,0)</f>
        <v>PE07006</v>
      </c>
    </row>
    <row r="306" spans="1:27">
      <c r="A306" s="1" t="s">
        <v>42</v>
      </c>
      <c r="B306" s="2">
        <v>46295</v>
      </c>
      <c r="C306" s="1" t="s">
        <v>543</v>
      </c>
      <c r="D306" s="1" t="s">
        <v>43</v>
      </c>
      <c r="E306" s="1" t="s">
        <v>544</v>
      </c>
      <c r="F306" s="1" t="s">
        <v>545</v>
      </c>
      <c r="G306" s="1" t="s">
        <v>26</v>
      </c>
      <c r="H306" s="1" t="s">
        <v>27</v>
      </c>
      <c r="I306" s="1" t="s">
        <v>65</v>
      </c>
      <c r="J306" s="1" t="s">
        <v>28</v>
      </c>
      <c r="K306" s="1" t="s">
        <v>29</v>
      </c>
      <c r="L306" s="1" t="s">
        <v>30</v>
      </c>
      <c r="M306" s="1" t="s">
        <v>135</v>
      </c>
      <c r="N306" s="1" t="s">
        <v>136</v>
      </c>
      <c r="O306" s="1" t="s">
        <v>61</v>
      </c>
      <c r="P306" s="3">
        <v>2</v>
      </c>
      <c r="Q306" s="3">
        <v>65.645759999999996</v>
      </c>
      <c r="R306" s="1" t="s">
        <v>34</v>
      </c>
      <c r="S306" s="1" t="s">
        <v>35</v>
      </c>
      <c r="T306" s="1" t="s">
        <v>36</v>
      </c>
      <c r="U306" s="1" t="s">
        <v>37</v>
      </c>
      <c r="V306" s="1" t="s">
        <v>38</v>
      </c>
      <c r="W306" s="1" t="s">
        <v>39</v>
      </c>
      <c r="X306" s="8">
        <f>+IFERROR(VLOOKUP(N306,[1]Hoja1!$B$2:$F$52,4,0)*P306,"")</f>
        <v>0.76290322580645153</v>
      </c>
      <c r="Y306" s="8" t="str">
        <f>+VLOOKUP(M306,[1]SKU!$B$3:$E$81,4,0)</f>
        <v>LATAS</v>
      </c>
      <c r="Z306" s="8" t="str">
        <f t="shared" si="4"/>
        <v>BEES</v>
      </c>
      <c r="AA306" s="8" t="str">
        <f>+VLOOKUP(I306,[1]SKU!$H$2:$I$97,2,0)</f>
        <v>PE07003</v>
      </c>
    </row>
    <row r="307" spans="1:27">
      <c r="A307" s="1" t="s">
        <v>40</v>
      </c>
      <c r="B307" s="2">
        <v>46295</v>
      </c>
      <c r="C307" s="1" t="s">
        <v>279</v>
      </c>
      <c r="D307" s="1" t="s">
        <v>41</v>
      </c>
      <c r="E307" s="1" t="s">
        <v>139</v>
      </c>
      <c r="F307" s="1" t="s">
        <v>140</v>
      </c>
      <c r="G307" s="1" t="s">
        <v>26</v>
      </c>
      <c r="H307" s="1" t="s">
        <v>27</v>
      </c>
      <c r="I307" s="1" t="s">
        <v>132</v>
      </c>
      <c r="J307" s="1" t="s">
        <v>28</v>
      </c>
      <c r="K307" s="1" t="s">
        <v>29</v>
      </c>
      <c r="L307" s="1" t="s">
        <v>30</v>
      </c>
      <c r="M307" s="1" t="s">
        <v>135</v>
      </c>
      <c r="N307" s="1" t="s">
        <v>136</v>
      </c>
      <c r="O307" s="1" t="s">
        <v>61</v>
      </c>
      <c r="P307" s="3">
        <v>1</v>
      </c>
      <c r="Q307" s="3">
        <v>29.627451000000001</v>
      </c>
      <c r="R307" s="1" t="s">
        <v>34</v>
      </c>
      <c r="S307" s="1" t="s">
        <v>35</v>
      </c>
      <c r="T307" s="1" t="s">
        <v>36</v>
      </c>
      <c r="U307" s="1" t="s">
        <v>37</v>
      </c>
      <c r="V307" s="1" t="s">
        <v>38</v>
      </c>
      <c r="W307" s="1" t="s">
        <v>39</v>
      </c>
      <c r="X307" s="8">
        <f>+IFERROR(VLOOKUP(N307,[1]Hoja1!$B$2:$F$52,4,0)*P307,"")</f>
        <v>0.38145161290322577</v>
      </c>
      <c r="Y307" s="8" t="str">
        <f>+VLOOKUP(M307,[1]SKU!$B$3:$E$81,4,0)</f>
        <v>LATAS</v>
      </c>
      <c r="Z307" s="8" t="str">
        <f t="shared" si="4"/>
        <v>BEES</v>
      </c>
      <c r="AA307" s="8" t="str">
        <f>+VLOOKUP(I307,[1]SKU!$H$2:$I$97,2,0)</f>
        <v>PE07009</v>
      </c>
    </row>
    <row r="308" spans="1:27">
      <c r="A308" s="1" t="s">
        <v>24</v>
      </c>
      <c r="B308" s="2">
        <v>46295</v>
      </c>
      <c r="C308" s="1" t="s">
        <v>551</v>
      </c>
      <c r="D308" s="1" t="s">
        <v>25</v>
      </c>
      <c r="E308" s="1" t="s">
        <v>552</v>
      </c>
      <c r="F308" s="1" t="s">
        <v>553</v>
      </c>
      <c r="G308" s="1" t="s">
        <v>26</v>
      </c>
      <c r="H308" s="1" t="s">
        <v>27</v>
      </c>
      <c r="I308" s="1" t="s">
        <v>53</v>
      </c>
      <c r="J308" s="1" t="s">
        <v>28</v>
      </c>
      <c r="K308" s="1" t="s">
        <v>29</v>
      </c>
      <c r="L308" s="1" t="s">
        <v>30</v>
      </c>
      <c r="M308" s="1" t="s">
        <v>135</v>
      </c>
      <c r="N308" s="1" t="s">
        <v>136</v>
      </c>
      <c r="O308" s="1" t="s">
        <v>61</v>
      </c>
      <c r="P308" s="3">
        <v>1</v>
      </c>
      <c r="Q308" s="3">
        <v>30.852941000000001</v>
      </c>
      <c r="R308" s="1" t="s">
        <v>34</v>
      </c>
      <c r="S308" s="1" t="s">
        <v>35</v>
      </c>
      <c r="T308" s="1" t="s">
        <v>36</v>
      </c>
      <c r="U308" s="1" t="s">
        <v>37</v>
      </c>
      <c r="V308" s="1" t="s">
        <v>38</v>
      </c>
      <c r="W308" s="1" t="s">
        <v>39</v>
      </c>
      <c r="X308" s="8">
        <f>+IFERROR(VLOOKUP(N308,[1]Hoja1!$B$2:$F$52,4,0)*P308,"")</f>
        <v>0.38145161290322577</v>
      </c>
      <c r="Y308" s="8" t="str">
        <f>+VLOOKUP(M308,[1]SKU!$B$3:$E$81,4,0)</f>
        <v>LATAS</v>
      </c>
      <c r="Z308" s="8" t="str">
        <f t="shared" si="4"/>
        <v>BEES</v>
      </c>
      <c r="AA308" s="8" t="str">
        <f>+VLOOKUP(I308,[1]SKU!$H$2:$I$97,2,0)</f>
        <v>PE07010</v>
      </c>
    </row>
    <row r="309" spans="1:27">
      <c r="A309" s="1" t="s">
        <v>24</v>
      </c>
      <c r="B309" s="2">
        <v>46295</v>
      </c>
      <c r="C309" s="1" t="s">
        <v>594</v>
      </c>
      <c r="D309" s="1" t="s">
        <v>25</v>
      </c>
      <c r="E309" s="1" t="s">
        <v>75</v>
      </c>
      <c r="F309" s="1" t="s">
        <v>76</v>
      </c>
      <c r="G309" s="1" t="s">
        <v>26</v>
      </c>
      <c r="H309" s="1" t="s">
        <v>27</v>
      </c>
      <c r="I309" s="1" t="s">
        <v>53</v>
      </c>
      <c r="J309" s="1" t="s">
        <v>28</v>
      </c>
      <c r="K309" s="1" t="s">
        <v>29</v>
      </c>
      <c r="L309" s="1" t="s">
        <v>30</v>
      </c>
      <c r="M309" s="1" t="s">
        <v>193</v>
      </c>
      <c r="N309" s="1" t="s">
        <v>194</v>
      </c>
      <c r="O309" s="1" t="s">
        <v>195</v>
      </c>
      <c r="P309" s="3">
        <v>1</v>
      </c>
      <c r="Q309" s="3">
        <v>23.458100999999999</v>
      </c>
      <c r="R309" s="1" t="s">
        <v>34</v>
      </c>
      <c r="S309" s="1" t="s">
        <v>35</v>
      </c>
      <c r="T309" s="1" t="s">
        <v>36</v>
      </c>
      <c r="U309" s="1" t="s">
        <v>37</v>
      </c>
      <c r="V309" s="1" t="s">
        <v>85</v>
      </c>
      <c r="W309" s="1" t="s">
        <v>39</v>
      </c>
      <c r="X309" s="8" t="str">
        <f>+IFERROR(VLOOKUP(N309,[1]Hoja1!$B$2:$F$52,4,0)*P309,"")</f>
        <v/>
      </c>
      <c r="Y309" s="8" t="e">
        <f>+VLOOKUP(M309,[1]SKU!$B$3:$E$81,4,0)</f>
        <v>#N/A</v>
      </c>
      <c r="Z309" s="8" t="str">
        <f t="shared" si="4"/>
        <v>BEES</v>
      </c>
      <c r="AA309" s="8" t="str">
        <f>+VLOOKUP(I309,[1]SKU!$H$2:$I$97,2,0)</f>
        <v>PE07010</v>
      </c>
    </row>
    <row r="310" spans="1:27">
      <c r="A310" s="1" t="s">
        <v>24</v>
      </c>
      <c r="B310" s="2">
        <v>46295</v>
      </c>
      <c r="C310" s="1" t="s">
        <v>550</v>
      </c>
      <c r="D310" s="1" t="s">
        <v>25</v>
      </c>
      <c r="E310" s="1" t="s">
        <v>246</v>
      </c>
      <c r="F310" s="1" t="s">
        <v>247</v>
      </c>
      <c r="G310" s="1" t="s">
        <v>26</v>
      </c>
      <c r="H310" s="1" t="s">
        <v>27</v>
      </c>
      <c r="I310" s="1" t="s">
        <v>53</v>
      </c>
      <c r="J310" s="1" t="s">
        <v>28</v>
      </c>
      <c r="K310" s="1" t="s">
        <v>29</v>
      </c>
      <c r="L310" s="1" t="s">
        <v>30</v>
      </c>
      <c r="M310" s="1" t="s">
        <v>109</v>
      </c>
      <c r="N310" s="1" t="s">
        <v>110</v>
      </c>
      <c r="O310" s="1" t="s">
        <v>61</v>
      </c>
      <c r="P310" s="3">
        <v>1</v>
      </c>
      <c r="Q310" s="3">
        <v>29.181362</v>
      </c>
      <c r="R310" s="1" t="s">
        <v>34</v>
      </c>
      <c r="S310" s="1" t="s">
        <v>35</v>
      </c>
      <c r="T310" s="1" t="s">
        <v>36</v>
      </c>
      <c r="U310" s="1" t="s">
        <v>37</v>
      </c>
      <c r="V310" s="1" t="s">
        <v>38</v>
      </c>
      <c r="W310" s="1" t="s">
        <v>39</v>
      </c>
      <c r="X310" s="8" t="str">
        <f>+IFERROR(VLOOKUP(N310,[1]Hoja1!$B$2:$F$52,4,0)*P310,"")</f>
        <v/>
      </c>
      <c r="Y310" s="8" t="e">
        <f>+VLOOKUP(M310,[1]SKU!$B$3:$E$81,4,0)</f>
        <v>#N/A</v>
      </c>
      <c r="Z310" s="8" t="str">
        <f t="shared" si="4"/>
        <v>BEES</v>
      </c>
      <c r="AA310" s="8" t="str">
        <f>+VLOOKUP(I310,[1]SKU!$H$2:$I$97,2,0)</f>
        <v>PE07010</v>
      </c>
    </row>
    <row r="311" spans="1:27">
      <c r="A311" s="1" t="s">
        <v>51</v>
      </c>
      <c r="B311" s="2">
        <v>46295</v>
      </c>
      <c r="C311" s="1" t="s">
        <v>588</v>
      </c>
      <c r="D311" s="1" t="s">
        <v>52</v>
      </c>
      <c r="E311" s="1" t="s">
        <v>589</v>
      </c>
      <c r="F311" s="1" t="s">
        <v>590</v>
      </c>
      <c r="G311" s="1" t="s">
        <v>26</v>
      </c>
      <c r="H311" s="1" t="s">
        <v>27</v>
      </c>
      <c r="I311" s="1" t="s">
        <v>329</v>
      </c>
      <c r="J311" s="1" t="s">
        <v>28</v>
      </c>
      <c r="K311" s="1" t="s">
        <v>29</v>
      </c>
      <c r="L311" s="1" t="s">
        <v>30</v>
      </c>
      <c r="M311" s="1" t="s">
        <v>109</v>
      </c>
      <c r="N311" s="1" t="s">
        <v>110</v>
      </c>
      <c r="O311" s="1" t="s">
        <v>61</v>
      </c>
      <c r="P311" s="3">
        <v>1</v>
      </c>
      <c r="Q311" s="3">
        <v>29.181362</v>
      </c>
      <c r="R311" s="1" t="s">
        <v>34</v>
      </c>
      <c r="S311" s="1" t="s">
        <v>35</v>
      </c>
      <c r="T311" s="1" t="s">
        <v>36</v>
      </c>
      <c r="U311" s="1" t="s">
        <v>37</v>
      </c>
      <c r="V311" s="1" t="s">
        <v>38</v>
      </c>
      <c r="W311" s="1" t="s">
        <v>39</v>
      </c>
      <c r="X311" s="8" t="str">
        <f>+IFERROR(VLOOKUP(N311,[1]Hoja1!$B$2:$F$52,4,0)*P311,"")</f>
        <v/>
      </c>
      <c r="Y311" s="8" t="e">
        <f>+VLOOKUP(M311,[1]SKU!$B$3:$E$81,4,0)</f>
        <v>#N/A</v>
      </c>
      <c r="Z311" s="8" t="str">
        <f t="shared" si="4"/>
        <v>BEES</v>
      </c>
      <c r="AA311" s="8" t="str">
        <f>+VLOOKUP(I311,[1]SKU!$H$2:$I$97,2,0)</f>
        <v>PE07011</v>
      </c>
    </row>
    <row r="312" spans="1:27">
      <c r="A312" s="1" t="s">
        <v>51</v>
      </c>
      <c r="B312" s="2">
        <v>46295</v>
      </c>
      <c r="C312" s="1" t="s">
        <v>437</v>
      </c>
      <c r="D312" s="1" t="s">
        <v>52</v>
      </c>
      <c r="E312" s="1" t="s">
        <v>438</v>
      </c>
      <c r="F312" s="1" t="s">
        <v>439</v>
      </c>
      <c r="G312" s="1" t="s">
        <v>26</v>
      </c>
      <c r="H312" s="1" t="s">
        <v>27</v>
      </c>
      <c r="I312" s="1" t="s">
        <v>238</v>
      </c>
      <c r="J312" s="1" t="s">
        <v>28</v>
      </c>
      <c r="K312" s="1" t="s">
        <v>29</v>
      </c>
      <c r="L312" s="1" t="s">
        <v>30</v>
      </c>
      <c r="M312" s="1" t="s">
        <v>204</v>
      </c>
      <c r="N312" s="1" t="s">
        <v>205</v>
      </c>
      <c r="O312" s="1" t="s">
        <v>84</v>
      </c>
      <c r="P312" s="3">
        <v>1</v>
      </c>
      <c r="Q312" s="3">
        <v>14.54</v>
      </c>
      <c r="R312" s="1" t="s">
        <v>34</v>
      </c>
      <c r="S312" s="1" t="s">
        <v>35</v>
      </c>
      <c r="T312" s="1" t="s">
        <v>36</v>
      </c>
      <c r="U312" s="1" t="s">
        <v>37</v>
      </c>
      <c r="V312" s="1" t="s">
        <v>85</v>
      </c>
      <c r="W312" s="1" t="s">
        <v>39</v>
      </c>
      <c r="X312" s="8" t="str">
        <f>+IFERROR(VLOOKUP(N312,[1]Hoja1!$B$2:$F$52,4,0)*P312,"")</f>
        <v/>
      </c>
      <c r="Y312" s="8" t="e">
        <f>+VLOOKUP(M312,[1]SKU!$B$3:$E$81,4,0)</f>
        <v>#N/A</v>
      </c>
      <c r="Z312" s="8" t="str">
        <f t="shared" si="4"/>
        <v>BEES</v>
      </c>
      <c r="AA312" s="8" t="str">
        <f>+VLOOKUP(I312,[1]SKU!$H$2:$I$97,2,0)</f>
        <v>PE07011</v>
      </c>
    </row>
    <row r="313" spans="1:27">
      <c r="A313" s="1" t="s">
        <v>42</v>
      </c>
      <c r="B313" s="2">
        <v>46295</v>
      </c>
      <c r="C313" s="1" t="s">
        <v>505</v>
      </c>
      <c r="D313" s="1" t="s">
        <v>43</v>
      </c>
      <c r="E313" s="1" t="s">
        <v>506</v>
      </c>
      <c r="F313" s="1" t="s">
        <v>507</v>
      </c>
      <c r="G313" s="1" t="s">
        <v>26</v>
      </c>
      <c r="H313" s="1" t="s">
        <v>27</v>
      </c>
      <c r="I313" s="1" t="s">
        <v>65</v>
      </c>
      <c r="J313" s="1" t="s">
        <v>28</v>
      </c>
      <c r="K313" s="1" t="s">
        <v>29</v>
      </c>
      <c r="L313" s="1" t="s">
        <v>30</v>
      </c>
      <c r="M313" s="1" t="s">
        <v>211</v>
      </c>
      <c r="N313" s="1" t="s">
        <v>212</v>
      </c>
      <c r="O313" s="1" t="s">
        <v>155</v>
      </c>
      <c r="P313" s="3">
        <v>3</v>
      </c>
      <c r="Q313" s="3">
        <v>72.33</v>
      </c>
      <c r="R313" s="1" t="s">
        <v>34</v>
      </c>
      <c r="S313" s="1" t="s">
        <v>35</v>
      </c>
      <c r="T313" s="1" t="s">
        <v>36</v>
      </c>
      <c r="U313" s="1" t="s">
        <v>37</v>
      </c>
      <c r="V313" s="1" t="s">
        <v>85</v>
      </c>
      <c r="W313" s="1" t="s">
        <v>39</v>
      </c>
      <c r="X313" s="8" t="str">
        <f>+IFERROR(VLOOKUP(N313,[1]Hoja1!$B$2:$F$52,4,0)*P313,"")</f>
        <v/>
      </c>
      <c r="Y313" s="8" t="e">
        <f>+VLOOKUP(M313,[1]SKU!$B$3:$E$81,4,0)</f>
        <v>#N/A</v>
      </c>
      <c r="Z313" s="8" t="str">
        <f t="shared" si="4"/>
        <v>BEES</v>
      </c>
      <c r="AA313" s="8" t="str">
        <f>+VLOOKUP(I313,[1]SKU!$H$2:$I$97,2,0)</f>
        <v>PE07003</v>
      </c>
    </row>
    <row r="314" spans="1:27">
      <c r="A314" s="1" t="s">
        <v>42</v>
      </c>
      <c r="B314" s="2">
        <v>46295</v>
      </c>
      <c r="C314" s="1" t="s">
        <v>323</v>
      </c>
      <c r="D314" s="1" t="s">
        <v>43</v>
      </c>
      <c r="E314" s="1" t="s">
        <v>324</v>
      </c>
      <c r="F314" s="1" t="s">
        <v>325</v>
      </c>
      <c r="G314" s="1" t="s">
        <v>26</v>
      </c>
      <c r="H314" s="1" t="s">
        <v>27</v>
      </c>
      <c r="I314" s="1" t="s">
        <v>72</v>
      </c>
      <c r="J314" s="1" t="s">
        <v>28</v>
      </c>
      <c r="K314" s="1" t="s">
        <v>29</v>
      </c>
      <c r="L314" s="1" t="s">
        <v>30</v>
      </c>
      <c r="M314" s="1" t="s">
        <v>206</v>
      </c>
      <c r="N314" s="1" t="s">
        <v>207</v>
      </c>
      <c r="O314" s="1" t="s">
        <v>208</v>
      </c>
      <c r="P314" s="3">
        <v>1</v>
      </c>
      <c r="Q314" s="3">
        <v>14.600034000000001</v>
      </c>
      <c r="R314" s="1" t="s">
        <v>34</v>
      </c>
      <c r="S314" s="1" t="s">
        <v>35</v>
      </c>
      <c r="T314" s="1" t="s">
        <v>36</v>
      </c>
      <c r="U314" s="1" t="s">
        <v>37</v>
      </c>
      <c r="V314" s="1" t="s">
        <v>85</v>
      </c>
      <c r="W314" s="1" t="s">
        <v>39</v>
      </c>
      <c r="X314" s="8" t="str">
        <f>+IFERROR(VLOOKUP(N314,[1]Hoja1!$B$2:$F$52,4,0)*P314,"")</f>
        <v/>
      </c>
      <c r="Y314" s="8" t="e">
        <f>+VLOOKUP(M314,[1]SKU!$B$3:$E$81,4,0)</f>
        <v>#N/A</v>
      </c>
      <c r="Z314" s="8" t="str">
        <f t="shared" si="4"/>
        <v>BEES</v>
      </c>
      <c r="AA314" s="8" t="str">
        <f>+VLOOKUP(I314,[1]SKU!$H$2:$I$97,2,0)</f>
        <v>PE07001</v>
      </c>
    </row>
    <row r="315" spans="1:27">
      <c r="A315" s="1" t="s">
        <v>24</v>
      </c>
      <c r="B315" s="2">
        <v>46295</v>
      </c>
      <c r="C315" s="1" t="s">
        <v>248</v>
      </c>
      <c r="D315" s="1" t="s">
        <v>25</v>
      </c>
      <c r="E315" s="1" t="s">
        <v>249</v>
      </c>
      <c r="F315" s="1" t="s">
        <v>250</v>
      </c>
      <c r="G315" s="1" t="s">
        <v>26</v>
      </c>
      <c r="H315" s="1" t="s">
        <v>27</v>
      </c>
      <c r="I315" s="1" t="s">
        <v>53</v>
      </c>
      <c r="J315" s="1" t="s">
        <v>28</v>
      </c>
      <c r="K315" s="1" t="s">
        <v>29</v>
      </c>
      <c r="L315" s="1" t="s">
        <v>30</v>
      </c>
      <c r="M315" s="1" t="s">
        <v>206</v>
      </c>
      <c r="N315" s="1" t="s">
        <v>207</v>
      </c>
      <c r="O315" s="1" t="s">
        <v>208</v>
      </c>
      <c r="P315" s="3">
        <v>1</v>
      </c>
      <c r="Q315" s="3">
        <v>14.600034000000001</v>
      </c>
      <c r="R315" s="1" t="s">
        <v>34</v>
      </c>
      <c r="S315" s="1" t="s">
        <v>35</v>
      </c>
      <c r="T315" s="1" t="s">
        <v>36</v>
      </c>
      <c r="U315" s="1" t="s">
        <v>37</v>
      </c>
      <c r="V315" s="1" t="s">
        <v>85</v>
      </c>
      <c r="W315" s="1" t="s">
        <v>39</v>
      </c>
      <c r="X315" s="8" t="str">
        <f>+IFERROR(VLOOKUP(N315,[1]Hoja1!$B$2:$F$52,4,0)*P315,"")</f>
        <v/>
      </c>
      <c r="Y315" s="8" t="e">
        <f>+VLOOKUP(M315,[1]SKU!$B$3:$E$81,4,0)</f>
        <v>#N/A</v>
      </c>
      <c r="Z315" s="8" t="str">
        <f t="shared" si="4"/>
        <v>BEES</v>
      </c>
      <c r="AA315" s="8" t="str">
        <f>+VLOOKUP(I315,[1]SKU!$H$2:$I$97,2,0)</f>
        <v>PE07010</v>
      </c>
    </row>
    <row r="316" spans="1:27">
      <c r="A316" s="1" t="s">
        <v>51</v>
      </c>
      <c r="B316" s="2">
        <v>46295</v>
      </c>
      <c r="C316" s="1" t="s">
        <v>483</v>
      </c>
      <c r="D316" s="1" t="s">
        <v>52</v>
      </c>
      <c r="E316" s="1" t="s">
        <v>484</v>
      </c>
      <c r="F316" s="1" t="s">
        <v>485</v>
      </c>
      <c r="G316" s="1" t="s">
        <v>26</v>
      </c>
      <c r="H316" s="1" t="s">
        <v>27</v>
      </c>
      <c r="I316" s="1" t="s">
        <v>238</v>
      </c>
      <c r="J316" s="1" t="s">
        <v>28</v>
      </c>
      <c r="K316" s="1" t="s">
        <v>29</v>
      </c>
      <c r="L316" s="1" t="s">
        <v>30</v>
      </c>
      <c r="M316" s="1" t="s">
        <v>202</v>
      </c>
      <c r="N316" s="1" t="s">
        <v>203</v>
      </c>
      <c r="O316" s="1" t="s">
        <v>33</v>
      </c>
      <c r="P316" s="3">
        <v>1</v>
      </c>
      <c r="Q316" s="3">
        <v>77.45</v>
      </c>
      <c r="R316" s="1" t="s">
        <v>34</v>
      </c>
      <c r="S316" s="1" t="s">
        <v>35</v>
      </c>
      <c r="T316" s="1" t="s">
        <v>36</v>
      </c>
      <c r="U316" s="1" t="s">
        <v>37</v>
      </c>
      <c r="V316" s="1" t="s">
        <v>38</v>
      </c>
      <c r="W316" s="1" t="s">
        <v>39</v>
      </c>
      <c r="X316" s="8" t="str">
        <f>+IFERROR(VLOOKUP(N316,[1]Hoja1!$B$2:$F$52,4,0)*P316,"")</f>
        <v/>
      </c>
      <c r="Y316" s="8" t="e">
        <f>+VLOOKUP(M316,[1]SKU!$B$3:$E$81,4,0)</f>
        <v>#N/A</v>
      </c>
      <c r="Z316" s="8" t="str">
        <f t="shared" si="4"/>
        <v>BEES</v>
      </c>
      <c r="AA316" s="8" t="str">
        <f>+VLOOKUP(I316,[1]SKU!$H$2:$I$97,2,0)</f>
        <v>PE07011</v>
      </c>
    </row>
    <row r="317" spans="1:27">
      <c r="A317" s="1" t="s">
        <v>44</v>
      </c>
      <c r="B317" s="2">
        <v>46295</v>
      </c>
      <c r="C317" s="1" t="s">
        <v>595</v>
      </c>
      <c r="D317" s="1" t="s">
        <v>58</v>
      </c>
      <c r="E317" s="1" t="s">
        <v>295</v>
      </c>
      <c r="F317" s="1" t="s">
        <v>296</v>
      </c>
      <c r="G317" s="1" t="s">
        <v>26</v>
      </c>
      <c r="H317" s="1" t="s">
        <v>27</v>
      </c>
      <c r="I317" s="1" t="s">
        <v>297</v>
      </c>
      <c r="J317" s="1" t="s">
        <v>28</v>
      </c>
      <c r="K317" s="1" t="s">
        <v>29</v>
      </c>
      <c r="L317" s="1" t="s">
        <v>30</v>
      </c>
      <c r="M317" s="1" t="s">
        <v>73</v>
      </c>
      <c r="N317" s="1" t="s">
        <v>74</v>
      </c>
      <c r="O317" s="1" t="s">
        <v>33</v>
      </c>
      <c r="P317" s="3">
        <v>4</v>
      </c>
      <c r="Q317" s="3">
        <v>270.39999999999998</v>
      </c>
      <c r="R317" s="1" t="s">
        <v>34</v>
      </c>
      <c r="S317" s="1" t="s">
        <v>35</v>
      </c>
      <c r="T317" s="1" t="s">
        <v>36</v>
      </c>
      <c r="U317" s="1" t="s">
        <v>37</v>
      </c>
      <c r="V317" s="1" t="s">
        <v>38</v>
      </c>
      <c r="W317" s="1" t="s">
        <v>39</v>
      </c>
      <c r="X317" s="8">
        <f>+IFERROR(VLOOKUP(N317,[1]Hoja1!$B$2:$F$52,4,0)*P317,"")</f>
        <v>4.193548387096774</v>
      </c>
      <c r="Y317" s="8" t="str">
        <f>+VLOOKUP(M317,[1]SKU!$B$3:$E$81,4,0)</f>
        <v>REGULAR</v>
      </c>
      <c r="Z317" s="8" t="str">
        <f t="shared" si="4"/>
        <v>BEES</v>
      </c>
      <c r="AA317" s="8" t="str">
        <f>+VLOOKUP(I317,[1]SKU!$H$2:$I$97,2,0)</f>
        <v>PE07004</v>
      </c>
    </row>
    <row r="318" spans="1:27">
      <c r="A318" s="1" t="s">
        <v>51</v>
      </c>
      <c r="B318" s="2">
        <v>46295</v>
      </c>
      <c r="C318" s="1" t="s">
        <v>326</v>
      </c>
      <c r="D318" s="1" t="s">
        <v>52</v>
      </c>
      <c r="E318" s="1" t="s">
        <v>327</v>
      </c>
      <c r="F318" s="1" t="s">
        <v>328</v>
      </c>
      <c r="G318" s="1" t="s">
        <v>26</v>
      </c>
      <c r="H318" s="1" t="s">
        <v>27</v>
      </c>
      <c r="I318" s="1" t="s">
        <v>329</v>
      </c>
      <c r="J318" s="1" t="s">
        <v>28</v>
      </c>
      <c r="K318" s="1" t="s">
        <v>29</v>
      </c>
      <c r="L318" s="1" t="s">
        <v>30</v>
      </c>
      <c r="M318" s="1" t="s">
        <v>181</v>
      </c>
      <c r="N318" s="1" t="s">
        <v>182</v>
      </c>
      <c r="O318" s="1" t="s">
        <v>61</v>
      </c>
      <c r="P318" s="3">
        <v>4</v>
      </c>
      <c r="Q318" s="3">
        <v>94.64</v>
      </c>
      <c r="R318" s="1" t="s">
        <v>34</v>
      </c>
      <c r="S318" s="1" t="s">
        <v>35</v>
      </c>
      <c r="T318" s="1" t="s">
        <v>36</v>
      </c>
      <c r="U318" s="1" t="s">
        <v>37</v>
      </c>
      <c r="V318" s="1" t="s">
        <v>38</v>
      </c>
      <c r="W318" s="1" t="s">
        <v>39</v>
      </c>
      <c r="X318" s="8" t="str">
        <f>+IFERROR(VLOOKUP(N318,[1]Hoja1!$B$2:$F$52,4,0)*P318,"")</f>
        <v/>
      </c>
      <c r="Y318" s="8" t="e">
        <f>+VLOOKUP(M318,[1]SKU!$B$3:$E$81,4,0)</f>
        <v>#N/A</v>
      </c>
      <c r="Z318" s="8" t="str">
        <f t="shared" si="4"/>
        <v>BEES</v>
      </c>
      <c r="AA318" s="8" t="str">
        <f>+VLOOKUP(I318,[1]SKU!$H$2:$I$97,2,0)</f>
        <v>PE07011</v>
      </c>
    </row>
    <row r="319" spans="1:27">
      <c r="A319" s="1" t="s">
        <v>51</v>
      </c>
      <c r="B319" s="2">
        <v>46295</v>
      </c>
      <c r="C319" s="1" t="s">
        <v>455</v>
      </c>
      <c r="D319" s="1" t="s">
        <v>52</v>
      </c>
      <c r="E319" s="1" t="s">
        <v>456</v>
      </c>
      <c r="F319" s="1" t="s">
        <v>457</v>
      </c>
      <c r="G319" s="1" t="s">
        <v>26</v>
      </c>
      <c r="H319" s="1" t="s">
        <v>27</v>
      </c>
      <c r="I319" s="1" t="s">
        <v>238</v>
      </c>
      <c r="J319" s="1" t="s">
        <v>28</v>
      </c>
      <c r="K319" s="1" t="s">
        <v>29</v>
      </c>
      <c r="L319" s="1" t="s">
        <v>30</v>
      </c>
      <c r="M319" s="1" t="s">
        <v>181</v>
      </c>
      <c r="N319" s="1" t="s">
        <v>182</v>
      </c>
      <c r="O319" s="1" t="s">
        <v>61</v>
      </c>
      <c r="P319" s="3">
        <v>1</v>
      </c>
      <c r="Q319" s="3">
        <v>23.659998999999999</v>
      </c>
      <c r="R319" s="1" t="s">
        <v>34</v>
      </c>
      <c r="S319" s="1" t="s">
        <v>35</v>
      </c>
      <c r="T319" s="1" t="s">
        <v>36</v>
      </c>
      <c r="U319" s="1" t="s">
        <v>37</v>
      </c>
      <c r="V319" s="1" t="s">
        <v>38</v>
      </c>
      <c r="W319" s="1" t="s">
        <v>39</v>
      </c>
      <c r="X319" s="8" t="str">
        <f>+IFERROR(VLOOKUP(N319,[1]Hoja1!$B$2:$F$52,4,0)*P319,"")</f>
        <v/>
      </c>
      <c r="Y319" s="8" t="e">
        <f>+VLOOKUP(M319,[1]SKU!$B$3:$E$81,4,0)</f>
        <v>#N/A</v>
      </c>
      <c r="Z319" s="8" t="str">
        <f t="shared" si="4"/>
        <v>BEES</v>
      </c>
      <c r="AA319" s="8" t="str">
        <f>+VLOOKUP(I319,[1]SKU!$H$2:$I$97,2,0)</f>
        <v>PE07011</v>
      </c>
    </row>
    <row r="320" spans="1:27">
      <c r="A320" s="1" t="s">
        <v>42</v>
      </c>
      <c r="B320" s="2">
        <v>46295</v>
      </c>
      <c r="C320" s="1" t="s">
        <v>430</v>
      </c>
      <c r="D320" s="1" t="s">
        <v>43</v>
      </c>
      <c r="E320" s="1" t="s">
        <v>431</v>
      </c>
      <c r="F320" s="1" t="s">
        <v>432</v>
      </c>
      <c r="G320" s="1" t="s">
        <v>26</v>
      </c>
      <c r="H320" s="1" t="s">
        <v>27</v>
      </c>
      <c r="I320" s="1" t="s">
        <v>180</v>
      </c>
      <c r="J320" s="1" t="s">
        <v>28</v>
      </c>
      <c r="K320" s="1" t="s">
        <v>29</v>
      </c>
      <c r="L320" s="1" t="s">
        <v>30</v>
      </c>
      <c r="M320" s="1" t="s">
        <v>117</v>
      </c>
      <c r="N320" s="1" t="s">
        <v>118</v>
      </c>
      <c r="O320" s="1" t="s">
        <v>115</v>
      </c>
      <c r="P320" s="3">
        <v>1</v>
      </c>
      <c r="Q320" s="3">
        <v>12.058320999999999</v>
      </c>
      <c r="R320" s="1" t="s">
        <v>34</v>
      </c>
      <c r="S320" s="1" t="s">
        <v>35</v>
      </c>
      <c r="T320" s="1" t="s">
        <v>36</v>
      </c>
      <c r="U320" s="1" t="s">
        <v>37</v>
      </c>
      <c r="V320" s="1" t="s">
        <v>69</v>
      </c>
      <c r="W320" s="1" t="s">
        <v>39</v>
      </c>
      <c r="X320" s="8" t="str">
        <f>+IFERROR(VLOOKUP(N320,[1]Hoja1!$B$2:$F$52,4,0)*P320,"")</f>
        <v/>
      </c>
      <c r="Y320" s="8" t="e">
        <f>+VLOOKUP(M320,[1]SKU!$B$3:$E$81,4,0)</f>
        <v>#N/A</v>
      </c>
      <c r="Z320" s="8" t="str">
        <f t="shared" si="4"/>
        <v>BEES</v>
      </c>
      <c r="AA320" s="8" t="str">
        <f>+VLOOKUP(I320,[1]SKU!$H$2:$I$97,2,0)</f>
        <v>PE07002</v>
      </c>
    </row>
    <row r="321" spans="1:27">
      <c r="A321" s="1" t="s">
        <v>40</v>
      </c>
      <c r="B321" s="2">
        <v>46295</v>
      </c>
      <c r="C321" s="1" t="s">
        <v>251</v>
      </c>
      <c r="D321" s="1" t="s">
        <v>41</v>
      </c>
      <c r="E321" s="1" t="s">
        <v>252</v>
      </c>
      <c r="F321" s="1" t="s">
        <v>253</v>
      </c>
      <c r="G321" s="1" t="s">
        <v>26</v>
      </c>
      <c r="H321" s="1" t="s">
        <v>27</v>
      </c>
      <c r="I321" s="1" t="s">
        <v>132</v>
      </c>
      <c r="J321" s="1" t="s">
        <v>28</v>
      </c>
      <c r="K321" s="1" t="s">
        <v>29</v>
      </c>
      <c r="L321" s="1" t="s">
        <v>30</v>
      </c>
      <c r="M321" s="1" t="s">
        <v>117</v>
      </c>
      <c r="N321" s="1" t="s">
        <v>118</v>
      </c>
      <c r="O321" s="1" t="s">
        <v>115</v>
      </c>
      <c r="P321" s="3">
        <v>1</v>
      </c>
      <c r="Q321" s="3">
        <v>12.058320999999999</v>
      </c>
      <c r="R321" s="1" t="s">
        <v>34</v>
      </c>
      <c r="S321" s="1" t="s">
        <v>35</v>
      </c>
      <c r="T321" s="1" t="s">
        <v>36</v>
      </c>
      <c r="U321" s="1" t="s">
        <v>37</v>
      </c>
      <c r="V321" s="1" t="s">
        <v>69</v>
      </c>
      <c r="W321" s="1" t="s">
        <v>39</v>
      </c>
      <c r="X321" s="8" t="str">
        <f>+IFERROR(VLOOKUP(N321,[1]Hoja1!$B$2:$F$52,4,0)*P321,"")</f>
        <v/>
      </c>
      <c r="Y321" s="8" t="e">
        <f>+VLOOKUP(M321,[1]SKU!$B$3:$E$81,4,0)</f>
        <v>#N/A</v>
      </c>
      <c r="Z321" s="8" t="str">
        <f t="shared" si="4"/>
        <v>BEES</v>
      </c>
      <c r="AA321" s="8" t="str">
        <f>+VLOOKUP(I321,[1]SKU!$H$2:$I$97,2,0)</f>
        <v>PE07009</v>
      </c>
    </row>
    <row r="322" spans="1:27">
      <c r="A322" s="1" t="s">
        <v>24</v>
      </c>
      <c r="B322" s="2">
        <v>46295</v>
      </c>
      <c r="C322" s="1" t="s">
        <v>596</v>
      </c>
      <c r="D322" s="1" t="s">
        <v>25</v>
      </c>
      <c r="E322" s="1" t="s">
        <v>62</v>
      </c>
      <c r="F322" s="1" t="s">
        <v>63</v>
      </c>
      <c r="G322" s="1" t="s">
        <v>26</v>
      </c>
      <c r="H322" s="1" t="s">
        <v>27</v>
      </c>
      <c r="I322" s="1" t="s">
        <v>64</v>
      </c>
      <c r="J322" s="1" t="s">
        <v>28</v>
      </c>
      <c r="K322" s="1" t="s">
        <v>29</v>
      </c>
      <c r="L322" s="1" t="s">
        <v>30</v>
      </c>
      <c r="M322" s="1" t="s">
        <v>117</v>
      </c>
      <c r="N322" s="1" t="s">
        <v>118</v>
      </c>
      <c r="O322" s="1" t="s">
        <v>115</v>
      </c>
      <c r="P322" s="3">
        <v>1</v>
      </c>
      <c r="Q322" s="3">
        <v>12.058320999999999</v>
      </c>
      <c r="R322" s="1" t="s">
        <v>34</v>
      </c>
      <c r="S322" s="1" t="s">
        <v>35</v>
      </c>
      <c r="T322" s="1" t="s">
        <v>36</v>
      </c>
      <c r="U322" s="1" t="s">
        <v>37</v>
      </c>
      <c r="V322" s="1" t="s">
        <v>69</v>
      </c>
      <c r="W322" s="1" t="s">
        <v>39</v>
      </c>
      <c r="X322" s="8" t="str">
        <f>+IFERROR(VLOOKUP(N322,[1]Hoja1!$B$2:$F$52,4,0)*P322,"")</f>
        <v/>
      </c>
      <c r="Y322" s="8" t="e">
        <f>+VLOOKUP(M322,[1]SKU!$B$3:$E$81,4,0)</f>
        <v>#N/A</v>
      </c>
      <c r="Z322" s="8" t="str">
        <f t="shared" si="4"/>
        <v>BEES</v>
      </c>
      <c r="AA322" s="8" t="str">
        <f>+VLOOKUP(I322,[1]SKU!$H$2:$I$97,2,0)</f>
        <v>PE07012</v>
      </c>
    </row>
    <row r="323" spans="1:27">
      <c r="A323" s="1" t="s">
        <v>24</v>
      </c>
      <c r="B323" s="2">
        <v>46295</v>
      </c>
      <c r="C323" s="1" t="s">
        <v>242</v>
      </c>
      <c r="D323" s="1" t="s">
        <v>25</v>
      </c>
      <c r="E323" s="1" t="s">
        <v>243</v>
      </c>
      <c r="F323" s="1" t="s">
        <v>244</v>
      </c>
      <c r="G323" s="1" t="s">
        <v>26</v>
      </c>
      <c r="H323" s="1" t="s">
        <v>27</v>
      </c>
      <c r="I323" s="1" t="s">
        <v>53</v>
      </c>
      <c r="J323" s="1" t="s">
        <v>28</v>
      </c>
      <c r="K323" s="1" t="s">
        <v>29</v>
      </c>
      <c r="L323" s="1" t="s">
        <v>30</v>
      </c>
      <c r="M323" s="1" t="s">
        <v>117</v>
      </c>
      <c r="N323" s="1" t="s">
        <v>118</v>
      </c>
      <c r="O323" s="1" t="s">
        <v>115</v>
      </c>
      <c r="P323" s="3">
        <v>1</v>
      </c>
      <c r="Q323" s="3">
        <v>12.058320999999999</v>
      </c>
      <c r="R323" s="1" t="s">
        <v>34</v>
      </c>
      <c r="S323" s="1" t="s">
        <v>35</v>
      </c>
      <c r="T323" s="1" t="s">
        <v>36</v>
      </c>
      <c r="U323" s="1" t="s">
        <v>37</v>
      </c>
      <c r="V323" s="1" t="s">
        <v>69</v>
      </c>
      <c r="W323" s="1" t="s">
        <v>39</v>
      </c>
      <c r="X323" s="8" t="str">
        <f>+IFERROR(VLOOKUP(N323,[1]Hoja1!$B$2:$F$52,4,0)*P323,"")</f>
        <v/>
      </c>
      <c r="Y323" s="8" t="e">
        <f>+VLOOKUP(M323,[1]SKU!$B$3:$E$81,4,0)</f>
        <v>#N/A</v>
      </c>
      <c r="Z323" s="8" t="str">
        <f t="shared" ref="Z323:Z386" si="5">+IF(J323="VB01                          ","BEES","FLEX")</f>
        <v>BEES</v>
      </c>
      <c r="AA323" s="8" t="str">
        <f>+VLOOKUP(I323,[1]SKU!$H$2:$I$97,2,0)</f>
        <v>PE07010</v>
      </c>
    </row>
    <row r="324" spans="1:27">
      <c r="A324" s="1" t="s">
        <v>42</v>
      </c>
      <c r="B324" s="2">
        <v>46295</v>
      </c>
      <c r="C324" s="1" t="s">
        <v>430</v>
      </c>
      <c r="D324" s="1" t="s">
        <v>43</v>
      </c>
      <c r="E324" s="1" t="s">
        <v>431</v>
      </c>
      <c r="F324" s="1" t="s">
        <v>432</v>
      </c>
      <c r="G324" s="1" t="s">
        <v>26</v>
      </c>
      <c r="H324" s="1" t="s">
        <v>27</v>
      </c>
      <c r="I324" s="1" t="s">
        <v>180</v>
      </c>
      <c r="J324" s="1" t="s">
        <v>28</v>
      </c>
      <c r="K324" s="1" t="s">
        <v>29</v>
      </c>
      <c r="L324" s="1" t="s">
        <v>30</v>
      </c>
      <c r="M324" s="1" t="s">
        <v>107</v>
      </c>
      <c r="N324" s="1" t="s">
        <v>108</v>
      </c>
      <c r="O324" s="1" t="s">
        <v>61</v>
      </c>
      <c r="P324" s="3">
        <v>2</v>
      </c>
      <c r="Q324" s="3">
        <v>50.98</v>
      </c>
      <c r="R324" s="1" t="s">
        <v>34</v>
      </c>
      <c r="S324" s="1" t="s">
        <v>35</v>
      </c>
      <c r="T324" s="1" t="s">
        <v>36</v>
      </c>
      <c r="U324" s="1" t="s">
        <v>37</v>
      </c>
      <c r="V324" s="1" t="s">
        <v>38</v>
      </c>
      <c r="W324" s="1" t="s">
        <v>39</v>
      </c>
      <c r="X324" s="8">
        <f>+IFERROR(VLOOKUP(N324,[1]Hoja1!$B$2:$F$52,4,0)*P324,"")</f>
        <v>0.57258064516129037</v>
      </c>
      <c r="Y324" s="8" t="str">
        <f>+VLOOKUP(M324,[1]SKU!$B$3:$E$81,4,0)</f>
        <v>LATAS</v>
      </c>
      <c r="Z324" s="8" t="str">
        <f t="shared" si="5"/>
        <v>BEES</v>
      </c>
      <c r="AA324" s="8" t="str">
        <f>+VLOOKUP(I324,[1]SKU!$H$2:$I$97,2,0)</f>
        <v>PE07002</v>
      </c>
    </row>
    <row r="325" spans="1:27">
      <c r="A325" s="1" t="s">
        <v>51</v>
      </c>
      <c r="B325" s="2">
        <v>46295</v>
      </c>
      <c r="C325" s="1" t="s">
        <v>235</v>
      </c>
      <c r="D325" s="1" t="s">
        <v>52</v>
      </c>
      <c r="E325" s="1" t="s">
        <v>236</v>
      </c>
      <c r="F325" s="1" t="s">
        <v>237</v>
      </c>
      <c r="G325" s="1" t="s">
        <v>26</v>
      </c>
      <c r="H325" s="1" t="s">
        <v>27</v>
      </c>
      <c r="I325" s="1" t="s">
        <v>238</v>
      </c>
      <c r="J325" s="1" t="s">
        <v>28</v>
      </c>
      <c r="K325" s="1" t="s">
        <v>29</v>
      </c>
      <c r="L325" s="1" t="s">
        <v>30</v>
      </c>
      <c r="M325" s="1" t="s">
        <v>107</v>
      </c>
      <c r="N325" s="1" t="s">
        <v>108</v>
      </c>
      <c r="O325" s="1" t="s">
        <v>61</v>
      </c>
      <c r="P325" s="3">
        <v>6</v>
      </c>
      <c r="Q325" s="3">
        <v>147.12827999999999</v>
      </c>
      <c r="R325" s="1" t="s">
        <v>34</v>
      </c>
      <c r="S325" s="1" t="s">
        <v>35</v>
      </c>
      <c r="T325" s="1" t="s">
        <v>36</v>
      </c>
      <c r="U325" s="1" t="s">
        <v>37</v>
      </c>
      <c r="V325" s="1" t="s">
        <v>38</v>
      </c>
      <c r="W325" s="1" t="s">
        <v>39</v>
      </c>
      <c r="X325" s="8">
        <f>+IFERROR(VLOOKUP(N325,[1]Hoja1!$B$2:$F$52,4,0)*P325,"")</f>
        <v>1.717741935483871</v>
      </c>
      <c r="Y325" s="8" t="str">
        <f>+VLOOKUP(M325,[1]SKU!$B$3:$E$81,4,0)</f>
        <v>LATAS</v>
      </c>
      <c r="Z325" s="8" t="str">
        <f t="shared" si="5"/>
        <v>BEES</v>
      </c>
      <c r="AA325" s="8" t="str">
        <f>+VLOOKUP(I325,[1]SKU!$H$2:$I$97,2,0)</f>
        <v>PE07011</v>
      </c>
    </row>
    <row r="326" spans="1:27">
      <c r="A326" s="1" t="s">
        <v>42</v>
      </c>
      <c r="B326" s="2">
        <v>46295</v>
      </c>
      <c r="C326" s="1" t="s">
        <v>348</v>
      </c>
      <c r="D326" s="1" t="s">
        <v>43</v>
      </c>
      <c r="E326" s="1" t="s">
        <v>349</v>
      </c>
      <c r="F326" s="1" t="s">
        <v>350</v>
      </c>
      <c r="G326" s="1" t="s">
        <v>26</v>
      </c>
      <c r="H326" s="1" t="s">
        <v>27</v>
      </c>
      <c r="I326" s="1" t="s">
        <v>351</v>
      </c>
      <c r="J326" s="1" t="s">
        <v>28</v>
      </c>
      <c r="K326" s="1" t="s">
        <v>29</v>
      </c>
      <c r="L326" s="1" t="s">
        <v>30</v>
      </c>
      <c r="M326" s="1" t="s">
        <v>107</v>
      </c>
      <c r="N326" s="1" t="s">
        <v>108</v>
      </c>
      <c r="O326" s="1" t="s">
        <v>61</v>
      </c>
      <c r="P326" s="3">
        <v>1</v>
      </c>
      <c r="Q326" s="3">
        <v>25.49</v>
      </c>
      <c r="R326" s="1" t="s">
        <v>34</v>
      </c>
      <c r="S326" s="1" t="s">
        <v>35</v>
      </c>
      <c r="T326" s="1" t="s">
        <v>36</v>
      </c>
      <c r="U326" s="1" t="s">
        <v>37</v>
      </c>
      <c r="V326" s="1" t="s">
        <v>38</v>
      </c>
      <c r="W326" s="1" t="s">
        <v>39</v>
      </c>
      <c r="X326" s="8">
        <f>+IFERROR(VLOOKUP(N326,[1]Hoja1!$B$2:$F$52,4,0)*P326,"")</f>
        <v>0.28629032258064518</v>
      </c>
      <c r="Y326" s="8" t="str">
        <f>+VLOOKUP(M326,[1]SKU!$B$3:$E$81,4,0)</f>
        <v>LATAS</v>
      </c>
      <c r="Z326" s="8" t="str">
        <f t="shared" si="5"/>
        <v>BEES</v>
      </c>
      <c r="AA326" s="8" t="str">
        <f>+VLOOKUP(I326,[1]SKU!$H$2:$I$97,2,0)</f>
        <v>PE07003</v>
      </c>
    </row>
    <row r="327" spans="1:27">
      <c r="A327" s="1" t="s">
        <v>42</v>
      </c>
      <c r="B327" s="2">
        <v>46295</v>
      </c>
      <c r="C327" s="1" t="s">
        <v>410</v>
      </c>
      <c r="D327" s="1" t="s">
        <v>43</v>
      </c>
      <c r="E327" s="1" t="s">
        <v>411</v>
      </c>
      <c r="F327" s="1" t="s">
        <v>412</v>
      </c>
      <c r="G327" s="1" t="s">
        <v>26</v>
      </c>
      <c r="H327" s="1" t="s">
        <v>27</v>
      </c>
      <c r="I327" s="1" t="s">
        <v>267</v>
      </c>
      <c r="J327" s="1" t="s">
        <v>28</v>
      </c>
      <c r="K327" s="1" t="s">
        <v>29</v>
      </c>
      <c r="L327" s="1" t="s">
        <v>30</v>
      </c>
      <c r="M327" s="1" t="s">
        <v>107</v>
      </c>
      <c r="N327" s="1" t="s">
        <v>108</v>
      </c>
      <c r="O327" s="1" t="s">
        <v>61</v>
      </c>
      <c r="P327" s="3">
        <v>15</v>
      </c>
      <c r="Q327" s="3">
        <v>367.82069999999999</v>
      </c>
      <c r="R327" s="1" t="s">
        <v>34</v>
      </c>
      <c r="S327" s="1" t="s">
        <v>35</v>
      </c>
      <c r="T327" s="1" t="s">
        <v>36</v>
      </c>
      <c r="U327" s="1" t="s">
        <v>37</v>
      </c>
      <c r="V327" s="1" t="s">
        <v>38</v>
      </c>
      <c r="W327" s="1" t="s">
        <v>39</v>
      </c>
      <c r="X327" s="8">
        <f>+IFERROR(VLOOKUP(N327,[1]Hoja1!$B$2:$F$52,4,0)*P327,"")</f>
        <v>4.2943548387096779</v>
      </c>
      <c r="Y327" s="8" t="str">
        <f>+VLOOKUP(M327,[1]SKU!$B$3:$E$81,4,0)</f>
        <v>LATAS</v>
      </c>
      <c r="Z327" s="8" t="str">
        <f t="shared" si="5"/>
        <v>BEES</v>
      </c>
      <c r="AA327" s="8" t="str">
        <f>+VLOOKUP(I327,[1]SKU!$H$2:$I$97,2,0)</f>
        <v>PE07006</v>
      </c>
    </row>
    <row r="328" spans="1:27">
      <c r="A328" s="1" t="s">
        <v>42</v>
      </c>
      <c r="B328" s="2">
        <v>46295</v>
      </c>
      <c r="C328" s="1" t="s">
        <v>290</v>
      </c>
      <c r="D328" s="1" t="s">
        <v>43</v>
      </c>
      <c r="E328" s="1" t="s">
        <v>149</v>
      </c>
      <c r="F328" s="1" t="s">
        <v>150</v>
      </c>
      <c r="G328" s="1" t="s">
        <v>26</v>
      </c>
      <c r="H328" s="1" t="s">
        <v>27</v>
      </c>
      <c r="I328" s="1" t="s">
        <v>72</v>
      </c>
      <c r="J328" s="1" t="s">
        <v>28</v>
      </c>
      <c r="K328" s="1" t="s">
        <v>29</v>
      </c>
      <c r="L328" s="1" t="s">
        <v>30</v>
      </c>
      <c r="M328" s="1" t="s">
        <v>107</v>
      </c>
      <c r="N328" s="1" t="s">
        <v>108</v>
      </c>
      <c r="O328" s="1" t="s">
        <v>61</v>
      </c>
      <c r="P328" s="3">
        <v>5</v>
      </c>
      <c r="Q328" s="3">
        <v>127.450001</v>
      </c>
      <c r="R328" s="1" t="s">
        <v>34</v>
      </c>
      <c r="S328" s="1" t="s">
        <v>35</v>
      </c>
      <c r="T328" s="1" t="s">
        <v>36</v>
      </c>
      <c r="U328" s="1" t="s">
        <v>37</v>
      </c>
      <c r="V328" s="1" t="s">
        <v>38</v>
      </c>
      <c r="W328" s="1" t="s">
        <v>39</v>
      </c>
      <c r="X328" s="8">
        <f>+IFERROR(VLOOKUP(N328,[1]Hoja1!$B$2:$F$52,4,0)*P328,"")</f>
        <v>1.431451612903226</v>
      </c>
      <c r="Y328" s="8" t="str">
        <f>+VLOOKUP(M328,[1]SKU!$B$3:$E$81,4,0)</f>
        <v>LATAS</v>
      </c>
      <c r="Z328" s="8" t="str">
        <f t="shared" si="5"/>
        <v>BEES</v>
      </c>
      <c r="AA328" s="8" t="str">
        <f>+VLOOKUP(I328,[1]SKU!$H$2:$I$97,2,0)</f>
        <v>PE07001</v>
      </c>
    </row>
    <row r="329" spans="1:27">
      <c r="A329" s="1" t="s">
        <v>24</v>
      </c>
      <c r="B329" s="2">
        <v>46295</v>
      </c>
      <c r="C329" s="1" t="s">
        <v>248</v>
      </c>
      <c r="D329" s="1" t="s">
        <v>25</v>
      </c>
      <c r="E329" s="1" t="s">
        <v>249</v>
      </c>
      <c r="F329" s="1" t="s">
        <v>250</v>
      </c>
      <c r="G329" s="1" t="s">
        <v>26</v>
      </c>
      <c r="H329" s="1" t="s">
        <v>27</v>
      </c>
      <c r="I329" s="1" t="s">
        <v>53</v>
      </c>
      <c r="J329" s="1" t="s">
        <v>28</v>
      </c>
      <c r="K329" s="1" t="s">
        <v>29</v>
      </c>
      <c r="L329" s="1" t="s">
        <v>30</v>
      </c>
      <c r="M329" s="1" t="s">
        <v>143</v>
      </c>
      <c r="N329" s="1" t="s">
        <v>144</v>
      </c>
      <c r="O329" s="1" t="s">
        <v>61</v>
      </c>
      <c r="P329" s="3">
        <v>1</v>
      </c>
      <c r="Q329" s="3">
        <v>30.434291000000002</v>
      </c>
      <c r="R329" s="1" t="s">
        <v>34</v>
      </c>
      <c r="S329" s="1" t="s">
        <v>35</v>
      </c>
      <c r="T329" s="1" t="s">
        <v>36</v>
      </c>
      <c r="U329" s="1" t="s">
        <v>37</v>
      </c>
      <c r="V329" s="1" t="s">
        <v>85</v>
      </c>
      <c r="W329" s="1" t="s">
        <v>39</v>
      </c>
      <c r="X329" s="8" t="str">
        <f>+IFERROR(VLOOKUP(N329,[1]Hoja1!$B$2:$F$52,4,0)*P329,"")</f>
        <v/>
      </c>
      <c r="Y329" s="8" t="e">
        <f>+VLOOKUP(M329,[1]SKU!$B$3:$E$81,4,0)</f>
        <v>#N/A</v>
      </c>
      <c r="Z329" s="8" t="str">
        <f t="shared" si="5"/>
        <v>BEES</v>
      </c>
      <c r="AA329" s="8" t="str">
        <f>+VLOOKUP(I329,[1]SKU!$H$2:$I$97,2,0)</f>
        <v>PE07010</v>
      </c>
    </row>
    <row r="330" spans="1:27">
      <c r="A330" s="1" t="s">
        <v>24</v>
      </c>
      <c r="B330" s="2">
        <v>46295</v>
      </c>
      <c r="C330" s="1" t="s">
        <v>416</v>
      </c>
      <c r="D330" s="1" t="s">
        <v>25</v>
      </c>
      <c r="E330" s="1" t="s">
        <v>417</v>
      </c>
      <c r="F330" s="1" t="s">
        <v>418</v>
      </c>
      <c r="G330" s="1" t="s">
        <v>26</v>
      </c>
      <c r="H330" s="1" t="s">
        <v>27</v>
      </c>
      <c r="I330" s="1" t="s">
        <v>53</v>
      </c>
      <c r="J330" s="1" t="s">
        <v>28</v>
      </c>
      <c r="K330" s="1" t="s">
        <v>29</v>
      </c>
      <c r="L330" s="1" t="s">
        <v>30</v>
      </c>
      <c r="M330" s="1" t="s">
        <v>143</v>
      </c>
      <c r="N330" s="1" t="s">
        <v>144</v>
      </c>
      <c r="O330" s="1" t="s">
        <v>61</v>
      </c>
      <c r="P330" s="3">
        <v>1</v>
      </c>
      <c r="Q330" s="3">
        <v>30.434291000000002</v>
      </c>
      <c r="R330" s="1" t="s">
        <v>34</v>
      </c>
      <c r="S330" s="1" t="s">
        <v>35</v>
      </c>
      <c r="T330" s="1" t="s">
        <v>36</v>
      </c>
      <c r="U330" s="1" t="s">
        <v>37</v>
      </c>
      <c r="V330" s="1" t="s">
        <v>85</v>
      </c>
      <c r="W330" s="1" t="s">
        <v>39</v>
      </c>
      <c r="X330" s="8" t="str">
        <f>+IFERROR(VLOOKUP(N330,[1]Hoja1!$B$2:$F$52,4,0)*P330,"")</f>
        <v/>
      </c>
      <c r="Y330" s="8" t="e">
        <f>+VLOOKUP(M330,[1]SKU!$B$3:$E$81,4,0)</f>
        <v>#N/A</v>
      </c>
      <c r="Z330" s="8" t="str">
        <f t="shared" si="5"/>
        <v>BEES</v>
      </c>
      <c r="AA330" s="8" t="str">
        <f>+VLOOKUP(I330,[1]SKU!$H$2:$I$97,2,0)</f>
        <v>PE07010</v>
      </c>
    </row>
    <row r="331" spans="1:27">
      <c r="A331" s="1" t="s">
        <v>40</v>
      </c>
      <c r="B331" s="2">
        <v>46295</v>
      </c>
      <c r="C331" s="1" t="s">
        <v>279</v>
      </c>
      <c r="D331" s="1" t="s">
        <v>41</v>
      </c>
      <c r="E331" s="1" t="s">
        <v>139</v>
      </c>
      <c r="F331" s="1" t="s">
        <v>140</v>
      </c>
      <c r="G331" s="1" t="s">
        <v>26</v>
      </c>
      <c r="H331" s="1" t="s">
        <v>27</v>
      </c>
      <c r="I331" s="1" t="s">
        <v>132</v>
      </c>
      <c r="J331" s="1" t="s">
        <v>28</v>
      </c>
      <c r="K331" s="1" t="s">
        <v>29</v>
      </c>
      <c r="L331" s="1" t="s">
        <v>30</v>
      </c>
      <c r="M331" s="1" t="s">
        <v>105</v>
      </c>
      <c r="N331" s="1" t="s">
        <v>106</v>
      </c>
      <c r="O331" s="1" t="s">
        <v>68</v>
      </c>
      <c r="P331" s="3">
        <v>1</v>
      </c>
      <c r="Q331" s="3">
        <v>24.624896</v>
      </c>
      <c r="R331" s="1" t="s">
        <v>34</v>
      </c>
      <c r="S331" s="1" t="s">
        <v>35</v>
      </c>
      <c r="T331" s="1" t="s">
        <v>36</v>
      </c>
      <c r="U331" s="1" t="s">
        <v>37</v>
      </c>
      <c r="V331" s="1" t="s">
        <v>69</v>
      </c>
      <c r="W331" s="1" t="s">
        <v>39</v>
      </c>
      <c r="X331" s="8">
        <f>+IFERROR(VLOOKUP(N331,[1]Hoja1!$B$2:$F$52,4,0)*P331,"")</f>
        <v>1.618279569892473</v>
      </c>
      <c r="Y331" s="8" t="str">
        <f>+VLOOKUP(M331,[1]SKU!$B$3:$E$81,4,0)</f>
        <v>REGULAR</v>
      </c>
      <c r="Z331" s="8" t="str">
        <f t="shared" si="5"/>
        <v>BEES</v>
      </c>
      <c r="AA331" s="8" t="str">
        <f>+VLOOKUP(I331,[1]SKU!$H$2:$I$97,2,0)</f>
        <v>PE07009</v>
      </c>
    </row>
    <row r="332" spans="1:27">
      <c r="A332" s="1" t="s">
        <v>42</v>
      </c>
      <c r="B332" s="2">
        <v>46295</v>
      </c>
      <c r="C332" s="1" t="s">
        <v>430</v>
      </c>
      <c r="D332" s="1" t="s">
        <v>43</v>
      </c>
      <c r="E332" s="1" t="s">
        <v>431</v>
      </c>
      <c r="F332" s="1" t="s">
        <v>432</v>
      </c>
      <c r="G332" s="1" t="s">
        <v>26</v>
      </c>
      <c r="H332" s="1" t="s">
        <v>27</v>
      </c>
      <c r="I332" s="1" t="s">
        <v>180</v>
      </c>
      <c r="J332" s="1" t="s">
        <v>28</v>
      </c>
      <c r="K332" s="1" t="s">
        <v>29</v>
      </c>
      <c r="L332" s="1" t="s">
        <v>30</v>
      </c>
      <c r="M332" s="1" t="s">
        <v>105</v>
      </c>
      <c r="N332" s="1" t="s">
        <v>106</v>
      </c>
      <c r="O332" s="1" t="s">
        <v>68</v>
      </c>
      <c r="P332" s="3">
        <v>1</v>
      </c>
      <c r="Q332" s="3">
        <v>25.788136999999999</v>
      </c>
      <c r="R332" s="1" t="s">
        <v>34</v>
      </c>
      <c r="S332" s="1" t="s">
        <v>35</v>
      </c>
      <c r="T332" s="1" t="s">
        <v>36</v>
      </c>
      <c r="U332" s="1" t="s">
        <v>37</v>
      </c>
      <c r="V332" s="1" t="s">
        <v>69</v>
      </c>
      <c r="W332" s="1" t="s">
        <v>39</v>
      </c>
      <c r="X332" s="8">
        <f>+IFERROR(VLOOKUP(N332,[1]Hoja1!$B$2:$F$52,4,0)*P332,"")</f>
        <v>1.618279569892473</v>
      </c>
      <c r="Y332" s="8" t="str">
        <f>+VLOOKUP(M332,[1]SKU!$B$3:$E$81,4,0)</f>
        <v>REGULAR</v>
      </c>
      <c r="Z332" s="8" t="str">
        <f t="shared" si="5"/>
        <v>BEES</v>
      </c>
      <c r="AA332" s="8" t="str">
        <f>+VLOOKUP(I332,[1]SKU!$H$2:$I$97,2,0)</f>
        <v>PE07002</v>
      </c>
    </row>
    <row r="333" spans="1:27">
      <c r="A333" s="1" t="s">
        <v>42</v>
      </c>
      <c r="B333" s="2">
        <v>46295</v>
      </c>
      <c r="C333" s="1" t="s">
        <v>547</v>
      </c>
      <c r="D333" s="1" t="s">
        <v>43</v>
      </c>
      <c r="E333" s="1" t="s">
        <v>548</v>
      </c>
      <c r="F333" s="1" t="s">
        <v>549</v>
      </c>
      <c r="G333" s="1" t="s">
        <v>26</v>
      </c>
      <c r="H333" s="1" t="s">
        <v>27</v>
      </c>
      <c r="I333" s="1" t="s">
        <v>180</v>
      </c>
      <c r="J333" s="1" t="s">
        <v>28</v>
      </c>
      <c r="K333" s="1" t="s">
        <v>29</v>
      </c>
      <c r="L333" s="1" t="s">
        <v>30</v>
      </c>
      <c r="M333" s="1" t="s">
        <v>105</v>
      </c>
      <c r="N333" s="1" t="s">
        <v>106</v>
      </c>
      <c r="O333" s="1" t="s">
        <v>68</v>
      </c>
      <c r="P333" s="3">
        <v>1</v>
      </c>
      <c r="Q333" s="3">
        <v>25.788136999999999</v>
      </c>
      <c r="R333" s="1" t="s">
        <v>34</v>
      </c>
      <c r="S333" s="1" t="s">
        <v>35</v>
      </c>
      <c r="T333" s="1" t="s">
        <v>36</v>
      </c>
      <c r="U333" s="1" t="s">
        <v>37</v>
      </c>
      <c r="V333" s="1" t="s">
        <v>69</v>
      </c>
      <c r="W333" s="1" t="s">
        <v>39</v>
      </c>
      <c r="X333" s="8">
        <f>+IFERROR(VLOOKUP(N333,[1]Hoja1!$B$2:$F$52,4,0)*P333,"")</f>
        <v>1.618279569892473</v>
      </c>
      <c r="Y333" s="8" t="str">
        <f>+VLOOKUP(M333,[1]SKU!$B$3:$E$81,4,0)</f>
        <v>REGULAR</v>
      </c>
      <c r="Z333" s="8" t="str">
        <f t="shared" si="5"/>
        <v>BEES</v>
      </c>
      <c r="AA333" s="8" t="str">
        <f>+VLOOKUP(I333,[1]SKU!$H$2:$I$97,2,0)</f>
        <v>PE07002</v>
      </c>
    </row>
    <row r="334" spans="1:27">
      <c r="A334" s="1" t="s">
        <v>51</v>
      </c>
      <c r="B334" s="2">
        <v>46295</v>
      </c>
      <c r="C334" s="1" t="s">
        <v>437</v>
      </c>
      <c r="D334" s="1" t="s">
        <v>52</v>
      </c>
      <c r="E334" s="1" t="s">
        <v>438</v>
      </c>
      <c r="F334" s="1" t="s">
        <v>439</v>
      </c>
      <c r="G334" s="1" t="s">
        <v>26</v>
      </c>
      <c r="H334" s="1" t="s">
        <v>27</v>
      </c>
      <c r="I334" s="1" t="s">
        <v>238</v>
      </c>
      <c r="J334" s="1" t="s">
        <v>28</v>
      </c>
      <c r="K334" s="1" t="s">
        <v>29</v>
      </c>
      <c r="L334" s="1" t="s">
        <v>30</v>
      </c>
      <c r="M334" s="1" t="s">
        <v>105</v>
      </c>
      <c r="N334" s="1" t="s">
        <v>106</v>
      </c>
      <c r="O334" s="1" t="s">
        <v>68</v>
      </c>
      <c r="P334" s="3">
        <v>1</v>
      </c>
      <c r="Q334" s="3">
        <v>24.624896</v>
      </c>
      <c r="R334" s="1" t="s">
        <v>34</v>
      </c>
      <c r="S334" s="1" t="s">
        <v>35</v>
      </c>
      <c r="T334" s="1" t="s">
        <v>36</v>
      </c>
      <c r="U334" s="1" t="s">
        <v>37</v>
      </c>
      <c r="V334" s="1" t="s">
        <v>69</v>
      </c>
      <c r="W334" s="1" t="s">
        <v>39</v>
      </c>
      <c r="X334" s="8">
        <f>+IFERROR(VLOOKUP(N334,[1]Hoja1!$B$2:$F$52,4,0)*P334,"")</f>
        <v>1.618279569892473</v>
      </c>
      <c r="Y334" s="8" t="str">
        <f>+VLOOKUP(M334,[1]SKU!$B$3:$E$81,4,0)</f>
        <v>REGULAR</v>
      </c>
      <c r="Z334" s="8" t="str">
        <f t="shared" si="5"/>
        <v>BEES</v>
      </c>
      <c r="AA334" s="8" t="str">
        <f>+VLOOKUP(I334,[1]SKU!$H$2:$I$97,2,0)</f>
        <v>PE07011</v>
      </c>
    </row>
    <row r="335" spans="1:27">
      <c r="A335" s="1" t="s">
        <v>42</v>
      </c>
      <c r="B335" s="2">
        <v>46295</v>
      </c>
      <c r="C335" s="1" t="s">
        <v>492</v>
      </c>
      <c r="D335" s="1" t="s">
        <v>43</v>
      </c>
      <c r="E335" s="1" t="s">
        <v>176</v>
      </c>
      <c r="F335" s="1" t="s">
        <v>177</v>
      </c>
      <c r="G335" s="1" t="s">
        <v>26</v>
      </c>
      <c r="H335" s="1" t="s">
        <v>27</v>
      </c>
      <c r="I335" s="1" t="s">
        <v>65</v>
      </c>
      <c r="J335" s="1" t="s">
        <v>28</v>
      </c>
      <c r="K335" s="1" t="s">
        <v>29</v>
      </c>
      <c r="L335" s="1" t="s">
        <v>30</v>
      </c>
      <c r="M335" s="1" t="s">
        <v>105</v>
      </c>
      <c r="N335" s="1" t="s">
        <v>106</v>
      </c>
      <c r="O335" s="1" t="s">
        <v>68</v>
      </c>
      <c r="P335" s="3">
        <v>2</v>
      </c>
      <c r="Q335" s="3">
        <v>51.576272000000003</v>
      </c>
      <c r="R335" s="1" t="s">
        <v>34</v>
      </c>
      <c r="S335" s="1" t="s">
        <v>35</v>
      </c>
      <c r="T335" s="1" t="s">
        <v>36</v>
      </c>
      <c r="U335" s="1" t="s">
        <v>37</v>
      </c>
      <c r="V335" s="1" t="s">
        <v>69</v>
      </c>
      <c r="W335" s="1" t="s">
        <v>39</v>
      </c>
      <c r="X335" s="8">
        <f>+IFERROR(VLOOKUP(N335,[1]Hoja1!$B$2:$F$52,4,0)*P335,"")</f>
        <v>3.236559139784946</v>
      </c>
      <c r="Y335" s="8" t="str">
        <f>+VLOOKUP(M335,[1]SKU!$B$3:$E$81,4,0)</f>
        <v>REGULAR</v>
      </c>
      <c r="Z335" s="8" t="str">
        <f t="shared" si="5"/>
        <v>BEES</v>
      </c>
      <c r="AA335" s="8" t="str">
        <f>+VLOOKUP(I335,[1]SKU!$H$2:$I$97,2,0)</f>
        <v>PE07003</v>
      </c>
    </row>
    <row r="336" spans="1:27">
      <c r="A336" s="1" t="s">
        <v>44</v>
      </c>
      <c r="B336" s="2">
        <v>46295</v>
      </c>
      <c r="C336" s="1" t="s">
        <v>355</v>
      </c>
      <c r="D336" s="1" t="s">
        <v>58</v>
      </c>
      <c r="E336" s="1" t="s">
        <v>356</v>
      </c>
      <c r="F336" s="1" t="s">
        <v>357</v>
      </c>
      <c r="G336" s="1" t="s">
        <v>26</v>
      </c>
      <c r="H336" s="1" t="s">
        <v>27</v>
      </c>
      <c r="I336" s="1" t="s">
        <v>297</v>
      </c>
      <c r="J336" s="1" t="s">
        <v>28</v>
      </c>
      <c r="K336" s="1" t="s">
        <v>29</v>
      </c>
      <c r="L336" s="1" t="s">
        <v>30</v>
      </c>
      <c r="M336" s="1" t="s">
        <v>105</v>
      </c>
      <c r="N336" s="1" t="s">
        <v>106</v>
      </c>
      <c r="O336" s="1" t="s">
        <v>68</v>
      </c>
      <c r="P336" s="3">
        <v>1</v>
      </c>
      <c r="Q336" s="3">
        <v>25.788136999999999</v>
      </c>
      <c r="R336" s="1" t="s">
        <v>34</v>
      </c>
      <c r="S336" s="1" t="s">
        <v>35</v>
      </c>
      <c r="T336" s="1" t="s">
        <v>36</v>
      </c>
      <c r="U336" s="1" t="s">
        <v>37</v>
      </c>
      <c r="V336" s="1" t="s">
        <v>69</v>
      </c>
      <c r="W336" s="1" t="s">
        <v>39</v>
      </c>
      <c r="X336" s="8">
        <f>+IFERROR(VLOOKUP(N336,[1]Hoja1!$B$2:$F$52,4,0)*P336,"")</f>
        <v>1.618279569892473</v>
      </c>
      <c r="Y336" s="8" t="str">
        <f>+VLOOKUP(M336,[1]SKU!$B$3:$E$81,4,0)</f>
        <v>REGULAR</v>
      </c>
      <c r="Z336" s="8" t="str">
        <f t="shared" si="5"/>
        <v>BEES</v>
      </c>
      <c r="AA336" s="8" t="str">
        <f>+VLOOKUP(I336,[1]SKU!$H$2:$I$97,2,0)</f>
        <v>PE07004</v>
      </c>
    </row>
    <row r="337" spans="1:27">
      <c r="A337" s="1" t="s">
        <v>24</v>
      </c>
      <c r="B337" s="2">
        <v>46295</v>
      </c>
      <c r="C337" s="1" t="s">
        <v>308</v>
      </c>
      <c r="D337" s="1" t="s">
        <v>25</v>
      </c>
      <c r="E337" s="1" t="s">
        <v>78</v>
      </c>
      <c r="F337" s="1" t="s">
        <v>79</v>
      </c>
      <c r="G337" s="1" t="s">
        <v>26</v>
      </c>
      <c r="H337" s="1" t="s">
        <v>27</v>
      </c>
      <c r="I337" s="1" t="s">
        <v>53</v>
      </c>
      <c r="J337" s="1" t="s">
        <v>28</v>
      </c>
      <c r="K337" s="1" t="s">
        <v>29</v>
      </c>
      <c r="L337" s="1" t="s">
        <v>30</v>
      </c>
      <c r="M337" s="1" t="s">
        <v>105</v>
      </c>
      <c r="N337" s="1" t="s">
        <v>106</v>
      </c>
      <c r="O337" s="1" t="s">
        <v>68</v>
      </c>
      <c r="P337" s="3">
        <v>1</v>
      </c>
      <c r="Q337" s="3">
        <v>24.624896</v>
      </c>
      <c r="R337" s="1" t="s">
        <v>34</v>
      </c>
      <c r="S337" s="1" t="s">
        <v>35</v>
      </c>
      <c r="T337" s="1" t="s">
        <v>36</v>
      </c>
      <c r="U337" s="1" t="s">
        <v>37</v>
      </c>
      <c r="V337" s="1" t="s">
        <v>69</v>
      </c>
      <c r="W337" s="1" t="s">
        <v>39</v>
      </c>
      <c r="X337" s="8">
        <f>+IFERROR(VLOOKUP(N337,[1]Hoja1!$B$2:$F$52,4,0)*P337,"")</f>
        <v>1.618279569892473</v>
      </c>
      <c r="Y337" s="8" t="str">
        <f>+VLOOKUP(M337,[1]SKU!$B$3:$E$81,4,0)</f>
        <v>REGULAR</v>
      </c>
      <c r="Z337" s="8" t="str">
        <f t="shared" si="5"/>
        <v>BEES</v>
      </c>
      <c r="AA337" s="8" t="str">
        <f>+VLOOKUP(I337,[1]SKU!$H$2:$I$97,2,0)</f>
        <v>PE07010</v>
      </c>
    </row>
    <row r="338" spans="1:27">
      <c r="A338" s="1" t="s">
        <v>24</v>
      </c>
      <c r="B338" s="2">
        <v>46295</v>
      </c>
      <c r="C338" s="1" t="s">
        <v>248</v>
      </c>
      <c r="D338" s="1" t="s">
        <v>25</v>
      </c>
      <c r="E338" s="1" t="s">
        <v>249</v>
      </c>
      <c r="F338" s="1" t="s">
        <v>250</v>
      </c>
      <c r="G338" s="1" t="s">
        <v>26</v>
      </c>
      <c r="H338" s="1" t="s">
        <v>27</v>
      </c>
      <c r="I338" s="1" t="s">
        <v>53</v>
      </c>
      <c r="J338" s="1" t="s">
        <v>28</v>
      </c>
      <c r="K338" s="1" t="s">
        <v>29</v>
      </c>
      <c r="L338" s="1" t="s">
        <v>30</v>
      </c>
      <c r="M338" s="1" t="s">
        <v>215</v>
      </c>
      <c r="N338" s="1" t="s">
        <v>216</v>
      </c>
      <c r="O338" s="1" t="s">
        <v>61</v>
      </c>
      <c r="P338" s="3">
        <v>1</v>
      </c>
      <c r="Q338" s="3">
        <v>28.041</v>
      </c>
      <c r="R338" s="1" t="s">
        <v>34</v>
      </c>
      <c r="S338" s="1" t="s">
        <v>35</v>
      </c>
      <c r="T338" s="1" t="s">
        <v>36</v>
      </c>
      <c r="U338" s="1" t="s">
        <v>37</v>
      </c>
      <c r="V338" s="1" t="s">
        <v>38</v>
      </c>
      <c r="W338" s="1" t="s">
        <v>39</v>
      </c>
      <c r="X338" s="8" t="str">
        <f>+IFERROR(VLOOKUP(N338,[1]Hoja1!$B$2:$F$52,4,0)*P338,"")</f>
        <v/>
      </c>
      <c r="Y338" s="8" t="e">
        <f>+VLOOKUP(M338,[1]SKU!$B$3:$E$81,4,0)</f>
        <v>#N/A</v>
      </c>
      <c r="Z338" s="8" t="str">
        <f t="shared" si="5"/>
        <v>BEES</v>
      </c>
      <c r="AA338" s="8" t="str">
        <f>+VLOOKUP(I338,[1]SKU!$H$2:$I$97,2,0)</f>
        <v>PE07010</v>
      </c>
    </row>
    <row r="339" spans="1:27">
      <c r="A339" s="1" t="s">
        <v>24</v>
      </c>
      <c r="B339" s="2">
        <v>46295</v>
      </c>
      <c r="C339" s="1" t="s">
        <v>416</v>
      </c>
      <c r="D339" s="1" t="s">
        <v>25</v>
      </c>
      <c r="E339" s="1" t="s">
        <v>417</v>
      </c>
      <c r="F339" s="1" t="s">
        <v>418</v>
      </c>
      <c r="G339" s="1" t="s">
        <v>26</v>
      </c>
      <c r="H339" s="1" t="s">
        <v>27</v>
      </c>
      <c r="I339" s="1" t="s">
        <v>53</v>
      </c>
      <c r="J339" s="1" t="s">
        <v>28</v>
      </c>
      <c r="K339" s="1" t="s">
        <v>29</v>
      </c>
      <c r="L339" s="1" t="s">
        <v>30</v>
      </c>
      <c r="M339" s="1" t="s">
        <v>215</v>
      </c>
      <c r="N339" s="1" t="s">
        <v>216</v>
      </c>
      <c r="O339" s="1" t="s">
        <v>61</v>
      </c>
      <c r="P339" s="3">
        <v>1</v>
      </c>
      <c r="Q339" s="3">
        <v>28.041</v>
      </c>
      <c r="R339" s="1" t="s">
        <v>34</v>
      </c>
      <c r="S339" s="1" t="s">
        <v>35</v>
      </c>
      <c r="T339" s="1" t="s">
        <v>36</v>
      </c>
      <c r="U339" s="1" t="s">
        <v>37</v>
      </c>
      <c r="V339" s="1" t="s">
        <v>38</v>
      </c>
      <c r="W339" s="1" t="s">
        <v>39</v>
      </c>
      <c r="X339" s="8" t="str">
        <f>+IFERROR(VLOOKUP(N339,[1]Hoja1!$B$2:$F$52,4,0)*P339,"")</f>
        <v/>
      </c>
      <c r="Y339" s="8" t="e">
        <f>+VLOOKUP(M339,[1]SKU!$B$3:$E$81,4,0)</f>
        <v>#N/A</v>
      </c>
      <c r="Z339" s="8" t="str">
        <f t="shared" si="5"/>
        <v>BEES</v>
      </c>
      <c r="AA339" s="8" t="str">
        <f>+VLOOKUP(I339,[1]SKU!$H$2:$I$97,2,0)</f>
        <v>PE07010</v>
      </c>
    </row>
    <row r="340" spans="1:27">
      <c r="A340" s="1" t="s">
        <v>51</v>
      </c>
      <c r="B340" s="2">
        <v>46295</v>
      </c>
      <c r="C340" s="1" t="s">
        <v>312</v>
      </c>
      <c r="D340" s="1" t="s">
        <v>52</v>
      </c>
      <c r="E340" s="1" t="s">
        <v>313</v>
      </c>
      <c r="F340" s="1" t="s">
        <v>314</v>
      </c>
      <c r="G340" s="1" t="s">
        <v>26</v>
      </c>
      <c r="H340" s="1" t="s">
        <v>27</v>
      </c>
      <c r="I340" s="1" t="s">
        <v>238</v>
      </c>
      <c r="J340" s="1" t="s">
        <v>28</v>
      </c>
      <c r="K340" s="1" t="s">
        <v>29</v>
      </c>
      <c r="L340" s="1" t="s">
        <v>30</v>
      </c>
      <c r="M340" s="1" t="s">
        <v>215</v>
      </c>
      <c r="N340" s="1" t="s">
        <v>216</v>
      </c>
      <c r="O340" s="1" t="s">
        <v>61</v>
      </c>
      <c r="P340" s="3">
        <v>2</v>
      </c>
      <c r="Q340" s="3">
        <v>65</v>
      </c>
      <c r="R340" s="1" t="s">
        <v>34</v>
      </c>
      <c r="S340" s="1" t="s">
        <v>35</v>
      </c>
      <c r="T340" s="1" t="s">
        <v>36</v>
      </c>
      <c r="U340" s="1" t="s">
        <v>37</v>
      </c>
      <c r="V340" s="1" t="s">
        <v>38</v>
      </c>
      <c r="W340" s="1" t="s">
        <v>39</v>
      </c>
      <c r="X340" s="8" t="str">
        <f>+IFERROR(VLOOKUP(N340,[1]Hoja1!$B$2:$F$52,4,0)*P340,"")</f>
        <v/>
      </c>
      <c r="Y340" s="8" t="e">
        <f>+VLOOKUP(M340,[1]SKU!$B$3:$E$81,4,0)</f>
        <v>#N/A</v>
      </c>
      <c r="Z340" s="8" t="str">
        <f t="shared" si="5"/>
        <v>BEES</v>
      </c>
      <c r="AA340" s="8" t="str">
        <f>+VLOOKUP(I340,[1]SKU!$H$2:$I$97,2,0)</f>
        <v>PE07011</v>
      </c>
    </row>
    <row r="341" spans="1:27">
      <c r="A341" s="1" t="s">
        <v>42</v>
      </c>
      <c r="B341" s="2">
        <v>46295</v>
      </c>
      <c r="C341" s="1" t="s">
        <v>543</v>
      </c>
      <c r="D341" s="1" t="s">
        <v>43</v>
      </c>
      <c r="E341" s="1" t="s">
        <v>544</v>
      </c>
      <c r="F341" s="1" t="s">
        <v>545</v>
      </c>
      <c r="G341" s="1" t="s">
        <v>26</v>
      </c>
      <c r="H341" s="1" t="s">
        <v>27</v>
      </c>
      <c r="I341" s="1" t="s">
        <v>65</v>
      </c>
      <c r="J341" s="1" t="s">
        <v>28</v>
      </c>
      <c r="K341" s="1" t="s">
        <v>29</v>
      </c>
      <c r="L341" s="1" t="s">
        <v>30</v>
      </c>
      <c r="M341" s="1" t="s">
        <v>213</v>
      </c>
      <c r="N341" s="1" t="s">
        <v>214</v>
      </c>
      <c r="O341" s="1" t="s">
        <v>61</v>
      </c>
      <c r="P341" s="3">
        <v>1</v>
      </c>
      <c r="Q341" s="3">
        <v>29.181362</v>
      </c>
      <c r="R341" s="1" t="s">
        <v>34</v>
      </c>
      <c r="S341" s="1" t="s">
        <v>35</v>
      </c>
      <c r="T341" s="1" t="s">
        <v>36</v>
      </c>
      <c r="U341" s="1" t="s">
        <v>37</v>
      </c>
      <c r="V341" s="1" t="s">
        <v>38</v>
      </c>
      <c r="W341" s="1" t="s">
        <v>39</v>
      </c>
      <c r="X341" s="8" t="str">
        <f>+IFERROR(VLOOKUP(N341,[1]Hoja1!$B$2:$F$52,4,0)*P341,"")</f>
        <v/>
      </c>
      <c r="Y341" s="8" t="e">
        <f>+VLOOKUP(M341,[1]SKU!$B$3:$E$81,4,0)</f>
        <v>#N/A</v>
      </c>
      <c r="Z341" s="8" t="str">
        <f t="shared" si="5"/>
        <v>BEES</v>
      </c>
      <c r="AA341" s="8" t="str">
        <f>+VLOOKUP(I341,[1]SKU!$H$2:$I$97,2,0)</f>
        <v>PE07003</v>
      </c>
    </row>
    <row r="342" spans="1:27">
      <c r="A342" s="1" t="s">
        <v>42</v>
      </c>
      <c r="B342" s="2">
        <v>46295</v>
      </c>
      <c r="C342" s="1" t="s">
        <v>319</v>
      </c>
      <c r="D342" s="1" t="s">
        <v>43</v>
      </c>
      <c r="E342" s="1" t="s">
        <v>320</v>
      </c>
      <c r="F342" s="1" t="s">
        <v>321</v>
      </c>
      <c r="G342" s="1" t="s">
        <v>26</v>
      </c>
      <c r="H342" s="1" t="s">
        <v>27</v>
      </c>
      <c r="I342" s="1" t="s">
        <v>322</v>
      </c>
      <c r="J342" s="1" t="s">
        <v>28</v>
      </c>
      <c r="K342" s="1" t="s">
        <v>29</v>
      </c>
      <c r="L342" s="1" t="s">
        <v>30</v>
      </c>
      <c r="M342" s="1" t="s">
        <v>213</v>
      </c>
      <c r="N342" s="1" t="s">
        <v>214</v>
      </c>
      <c r="O342" s="1" t="s">
        <v>61</v>
      </c>
      <c r="P342" s="3">
        <v>1</v>
      </c>
      <c r="Q342" s="3">
        <v>29.181362</v>
      </c>
      <c r="R342" s="1" t="s">
        <v>34</v>
      </c>
      <c r="S342" s="1" t="s">
        <v>35</v>
      </c>
      <c r="T342" s="1" t="s">
        <v>36</v>
      </c>
      <c r="U342" s="1" t="s">
        <v>37</v>
      </c>
      <c r="V342" s="1" t="s">
        <v>38</v>
      </c>
      <c r="W342" s="1" t="s">
        <v>39</v>
      </c>
      <c r="X342" s="8" t="str">
        <f>+IFERROR(VLOOKUP(N342,[1]Hoja1!$B$2:$F$52,4,0)*P342,"")</f>
        <v/>
      </c>
      <c r="Y342" s="8" t="e">
        <f>+VLOOKUP(M342,[1]SKU!$B$3:$E$81,4,0)</f>
        <v>#N/A</v>
      </c>
      <c r="Z342" s="8" t="str">
        <f t="shared" si="5"/>
        <v>BEES</v>
      </c>
      <c r="AA342" s="8" t="str">
        <f>+VLOOKUP(I342,[1]SKU!$H$2:$I$97,2,0)</f>
        <v>PE07006</v>
      </c>
    </row>
    <row r="343" spans="1:27">
      <c r="A343" s="1" t="s">
        <v>42</v>
      </c>
      <c r="B343" s="2">
        <v>46295</v>
      </c>
      <c r="C343" s="1" t="s">
        <v>492</v>
      </c>
      <c r="D343" s="1" t="s">
        <v>43</v>
      </c>
      <c r="E343" s="1" t="s">
        <v>176</v>
      </c>
      <c r="F343" s="1" t="s">
        <v>177</v>
      </c>
      <c r="G343" s="1" t="s">
        <v>26</v>
      </c>
      <c r="H343" s="1" t="s">
        <v>27</v>
      </c>
      <c r="I343" s="1" t="s">
        <v>65</v>
      </c>
      <c r="J343" s="1" t="s">
        <v>28</v>
      </c>
      <c r="K343" s="1" t="s">
        <v>29</v>
      </c>
      <c r="L343" s="1" t="s">
        <v>30</v>
      </c>
      <c r="M343" s="1" t="s">
        <v>213</v>
      </c>
      <c r="N343" s="1" t="s">
        <v>214</v>
      </c>
      <c r="O343" s="1" t="s">
        <v>61</v>
      </c>
      <c r="P343" s="3">
        <v>1</v>
      </c>
      <c r="Q343" s="3">
        <v>29.181362</v>
      </c>
      <c r="R343" s="1" t="s">
        <v>34</v>
      </c>
      <c r="S343" s="1" t="s">
        <v>35</v>
      </c>
      <c r="T343" s="1" t="s">
        <v>36</v>
      </c>
      <c r="U343" s="1" t="s">
        <v>37</v>
      </c>
      <c r="V343" s="1" t="s">
        <v>38</v>
      </c>
      <c r="W343" s="1" t="s">
        <v>39</v>
      </c>
      <c r="X343" s="8" t="str">
        <f>+IFERROR(VLOOKUP(N343,[1]Hoja1!$B$2:$F$52,4,0)*P343,"")</f>
        <v/>
      </c>
      <c r="Y343" s="8" t="e">
        <f>+VLOOKUP(M343,[1]SKU!$B$3:$E$81,4,0)</f>
        <v>#N/A</v>
      </c>
      <c r="Z343" s="8" t="str">
        <f t="shared" si="5"/>
        <v>BEES</v>
      </c>
      <c r="AA343" s="8" t="str">
        <f>+VLOOKUP(I343,[1]SKU!$H$2:$I$97,2,0)</f>
        <v>PE07003</v>
      </c>
    </row>
    <row r="344" spans="1:27">
      <c r="A344" s="1" t="s">
        <v>42</v>
      </c>
      <c r="B344" s="2">
        <v>46295</v>
      </c>
      <c r="C344" s="1" t="s">
        <v>584</v>
      </c>
      <c r="D344" s="1" t="s">
        <v>43</v>
      </c>
      <c r="E344" s="1" t="s">
        <v>585</v>
      </c>
      <c r="F344" s="1" t="s">
        <v>586</v>
      </c>
      <c r="G344" s="1" t="s">
        <v>26</v>
      </c>
      <c r="H344" s="1" t="s">
        <v>27</v>
      </c>
      <c r="I344" s="1" t="s">
        <v>587</v>
      </c>
      <c r="J344" s="1" t="s">
        <v>28</v>
      </c>
      <c r="K344" s="1" t="s">
        <v>29</v>
      </c>
      <c r="L344" s="1" t="s">
        <v>30</v>
      </c>
      <c r="M344" s="1" t="s">
        <v>213</v>
      </c>
      <c r="N344" s="1" t="s">
        <v>214</v>
      </c>
      <c r="O344" s="1" t="s">
        <v>61</v>
      </c>
      <c r="P344" s="3">
        <v>3</v>
      </c>
      <c r="Q344" s="3">
        <v>93.539998999999995</v>
      </c>
      <c r="R344" s="1" t="s">
        <v>34</v>
      </c>
      <c r="S344" s="1" t="s">
        <v>35</v>
      </c>
      <c r="T344" s="1" t="s">
        <v>36</v>
      </c>
      <c r="U344" s="1" t="s">
        <v>37</v>
      </c>
      <c r="V344" s="1" t="s">
        <v>38</v>
      </c>
      <c r="W344" s="1" t="s">
        <v>39</v>
      </c>
      <c r="X344" s="8" t="str">
        <f>+IFERROR(VLOOKUP(N344,[1]Hoja1!$B$2:$F$52,4,0)*P344,"")</f>
        <v/>
      </c>
      <c r="Y344" s="8" t="e">
        <f>+VLOOKUP(M344,[1]SKU!$B$3:$E$81,4,0)</f>
        <v>#N/A</v>
      </c>
      <c r="Z344" s="8" t="str">
        <f t="shared" si="5"/>
        <v>BEES</v>
      </c>
      <c r="AA344" s="8" t="str">
        <f>+VLOOKUP(I344,[1]SKU!$H$2:$I$97,2,0)</f>
        <v>PE07006</v>
      </c>
    </row>
    <row r="345" spans="1:27">
      <c r="A345" s="1" t="s">
        <v>42</v>
      </c>
      <c r="B345" s="2">
        <v>46295</v>
      </c>
      <c r="C345" s="1" t="s">
        <v>361</v>
      </c>
      <c r="D345" s="1" t="s">
        <v>43</v>
      </c>
      <c r="E345" s="1" t="s">
        <v>362</v>
      </c>
      <c r="F345" s="1" t="s">
        <v>363</v>
      </c>
      <c r="G345" s="1" t="s">
        <v>26</v>
      </c>
      <c r="H345" s="1" t="s">
        <v>27</v>
      </c>
      <c r="I345" s="1" t="s">
        <v>180</v>
      </c>
      <c r="J345" s="1" t="s">
        <v>28</v>
      </c>
      <c r="K345" s="1" t="s">
        <v>29</v>
      </c>
      <c r="L345" s="1" t="s">
        <v>30</v>
      </c>
      <c r="M345" s="1" t="s">
        <v>185</v>
      </c>
      <c r="N345" s="1" t="s">
        <v>186</v>
      </c>
      <c r="O345" s="1" t="s">
        <v>155</v>
      </c>
      <c r="P345" s="3">
        <v>1</v>
      </c>
      <c r="Q345" s="3">
        <v>0</v>
      </c>
      <c r="R345" s="1" t="s">
        <v>77</v>
      </c>
      <c r="S345" s="1" t="s">
        <v>35</v>
      </c>
      <c r="T345" s="1" t="s">
        <v>36</v>
      </c>
      <c r="U345" s="1" t="s">
        <v>37</v>
      </c>
      <c r="V345" s="1" t="s">
        <v>85</v>
      </c>
      <c r="W345" s="1" t="s">
        <v>39</v>
      </c>
      <c r="X345" s="8" t="str">
        <f>+IFERROR(VLOOKUP(N345,[1]Hoja1!$B$2:$F$52,4,0)*P345,"")</f>
        <v/>
      </c>
      <c r="Y345" s="8" t="e">
        <f>+VLOOKUP(M345,[1]SKU!$B$3:$E$81,4,0)</f>
        <v>#N/A</v>
      </c>
      <c r="Z345" s="8" t="str">
        <f t="shared" si="5"/>
        <v>BEES</v>
      </c>
      <c r="AA345" s="8" t="str">
        <f>+VLOOKUP(I345,[1]SKU!$H$2:$I$97,2,0)</f>
        <v>PE07002</v>
      </c>
    </row>
    <row r="346" spans="1:27">
      <c r="A346" s="1" t="s">
        <v>51</v>
      </c>
      <c r="B346" s="2">
        <v>46295</v>
      </c>
      <c r="C346" s="1" t="s">
        <v>312</v>
      </c>
      <c r="D346" s="1" t="s">
        <v>52</v>
      </c>
      <c r="E346" s="1" t="s">
        <v>313</v>
      </c>
      <c r="F346" s="1" t="s">
        <v>314</v>
      </c>
      <c r="G346" s="1" t="s">
        <v>26</v>
      </c>
      <c r="H346" s="1" t="s">
        <v>27</v>
      </c>
      <c r="I346" s="1" t="s">
        <v>238</v>
      </c>
      <c r="J346" s="1" t="s">
        <v>28</v>
      </c>
      <c r="K346" s="1" t="s">
        <v>29</v>
      </c>
      <c r="L346" s="1" t="s">
        <v>30</v>
      </c>
      <c r="M346" s="1" t="s">
        <v>185</v>
      </c>
      <c r="N346" s="1" t="s">
        <v>186</v>
      </c>
      <c r="O346" s="1" t="s">
        <v>155</v>
      </c>
      <c r="P346" s="3">
        <v>24</v>
      </c>
      <c r="Q346" s="3">
        <v>229.92</v>
      </c>
      <c r="R346" s="1" t="s">
        <v>34</v>
      </c>
      <c r="S346" s="1" t="s">
        <v>35</v>
      </c>
      <c r="T346" s="1" t="s">
        <v>36</v>
      </c>
      <c r="U346" s="1" t="s">
        <v>37</v>
      </c>
      <c r="V346" s="1" t="s">
        <v>85</v>
      </c>
      <c r="W346" s="1" t="s">
        <v>39</v>
      </c>
      <c r="X346" s="8" t="str">
        <f>+IFERROR(VLOOKUP(N346,[1]Hoja1!$B$2:$F$52,4,0)*P346,"")</f>
        <v/>
      </c>
      <c r="Y346" s="8" t="e">
        <f>+VLOOKUP(M346,[1]SKU!$B$3:$E$81,4,0)</f>
        <v>#N/A</v>
      </c>
      <c r="Z346" s="8" t="str">
        <f t="shared" si="5"/>
        <v>BEES</v>
      </c>
      <c r="AA346" s="8" t="str">
        <f>+VLOOKUP(I346,[1]SKU!$H$2:$I$97,2,0)</f>
        <v>PE07011</v>
      </c>
    </row>
    <row r="347" spans="1:27">
      <c r="A347" s="1" t="s">
        <v>42</v>
      </c>
      <c r="B347" s="2">
        <v>46295</v>
      </c>
      <c r="C347" s="1" t="s">
        <v>276</v>
      </c>
      <c r="D347" s="1" t="s">
        <v>43</v>
      </c>
      <c r="E347" s="1" t="s">
        <v>277</v>
      </c>
      <c r="F347" s="1" t="s">
        <v>278</v>
      </c>
      <c r="G347" s="1" t="s">
        <v>26</v>
      </c>
      <c r="H347" s="1" t="s">
        <v>27</v>
      </c>
      <c r="I347" s="1" t="s">
        <v>180</v>
      </c>
      <c r="J347" s="1" t="s">
        <v>28</v>
      </c>
      <c r="K347" s="1" t="s">
        <v>29</v>
      </c>
      <c r="L347" s="1" t="s">
        <v>30</v>
      </c>
      <c r="M347" s="1" t="s">
        <v>185</v>
      </c>
      <c r="N347" s="1" t="s">
        <v>186</v>
      </c>
      <c r="O347" s="1" t="s">
        <v>155</v>
      </c>
      <c r="P347" s="3">
        <v>24</v>
      </c>
      <c r="Q347" s="3">
        <v>229.92</v>
      </c>
      <c r="R347" s="1" t="s">
        <v>34</v>
      </c>
      <c r="S347" s="1" t="s">
        <v>35</v>
      </c>
      <c r="T347" s="1" t="s">
        <v>36</v>
      </c>
      <c r="U347" s="1" t="s">
        <v>37</v>
      </c>
      <c r="V347" s="1" t="s">
        <v>85</v>
      </c>
      <c r="W347" s="1" t="s">
        <v>39</v>
      </c>
      <c r="X347" s="8" t="str">
        <f>+IFERROR(VLOOKUP(N347,[1]Hoja1!$B$2:$F$52,4,0)*P347,"")</f>
        <v/>
      </c>
      <c r="Y347" s="8" t="e">
        <f>+VLOOKUP(M347,[1]SKU!$B$3:$E$81,4,0)</f>
        <v>#N/A</v>
      </c>
      <c r="Z347" s="8" t="str">
        <f t="shared" si="5"/>
        <v>BEES</v>
      </c>
      <c r="AA347" s="8" t="str">
        <f>+VLOOKUP(I347,[1]SKU!$H$2:$I$97,2,0)</f>
        <v>PE07002</v>
      </c>
    </row>
    <row r="348" spans="1:27">
      <c r="A348" s="1" t="s">
        <v>42</v>
      </c>
      <c r="B348" s="2">
        <v>46295</v>
      </c>
      <c r="C348" s="1" t="s">
        <v>547</v>
      </c>
      <c r="D348" s="1" t="s">
        <v>43</v>
      </c>
      <c r="E348" s="1" t="s">
        <v>548</v>
      </c>
      <c r="F348" s="1" t="s">
        <v>549</v>
      </c>
      <c r="G348" s="1" t="s">
        <v>26</v>
      </c>
      <c r="H348" s="1" t="s">
        <v>27</v>
      </c>
      <c r="I348" s="1" t="s">
        <v>180</v>
      </c>
      <c r="J348" s="1" t="s">
        <v>28</v>
      </c>
      <c r="K348" s="1" t="s">
        <v>29</v>
      </c>
      <c r="L348" s="1" t="s">
        <v>30</v>
      </c>
      <c r="M348" s="1" t="s">
        <v>185</v>
      </c>
      <c r="N348" s="1" t="s">
        <v>186</v>
      </c>
      <c r="O348" s="1" t="s">
        <v>155</v>
      </c>
      <c r="P348" s="3">
        <v>1</v>
      </c>
      <c r="Q348" s="3">
        <v>9.58</v>
      </c>
      <c r="R348" s="1" t="s">
        <v>34</v>
      </c>
      <c r="S348" s="1" t="s">
        <v>35</v>
      </c>
      <c r="T348" s="1" t="s">
        <v>36</v>
      </c>
      <c r="U348" s="1" t="s">
        <v>37</v>
      </c>
      <c r="V348" s="1" t="s">
        <v>85</v>
      </c>
      <c r="W348" s="1" t="s">
        <v>39</v>
      </c>
      <c r="X348" s="8" t="str">
        <f>+IFERROR(VLOOKUP(N348,[1]Hoja1!$B$2:$F$52,4,0)*P348,"")</f>
        <v/>
      </c>
      <c r="Y348" s="8" t="e">
        <f>+VLOOKUP(M348,[1]SKU!$B$3:$E$81,4,0)</f>
        <v>#N/A</v>
      </c>
      <c r="Z348" s="8" t="str">
        <f t="shared" si="5"/>
        <v>BEES</v>
      </c>
      <c r="AA348" s="8" t="str">
        <f>+VLOOKUP(I348,[1]SKU!$H$2:$I$97,2,0)</f>
        <v>PE07002</v>
      </c>
    </row>
    <row r="349" spans="1:27">
      <c r="A349" s="1" t="s">
        <v>42</v>
      </c>
      <c r="B349" s="2">
        <v>46295</v>
      </c>
      <c r="C349" s="1" t="s">
        <v>525</v>
      </c>
      <c r="D349" s="1" t="s">
        <v>43</v>
      </c>
      <c r="E349" s="1" t="s">
        <v>526</v>
      </c>
      <c r="F349" s="1" t="s">
        <v>527</v>
      </c>
      <c r="G349" s="1" t="s">
        <v>26</v>
      </c>
      <c r="H349" s="1" t="s">
        <v>27</v>
      </c>
      <c r="I349" s="1" t="s">
        <v>72</v>
      </c>
      <c r="J349" s="1" t="s">
        <v>28</v>
      </c>
      <c r="K349" s="1" t="s">
        <v>29</v>
      </c>
      <c r="L349" s="1" t="s">
        <v>30</v>
      </c>
      <c r="M349" s="1" t="s">
        <v>185</v>
      </c>
      <c r="N349" s="1" t="s">
        <v>186</v>
      </c>
      <c r="O349" s="1" t="s">
        <v>155</v>
      </c>
      <c r="P349" s="3">
        <v>10</v>
      </c>
      <c r="Q349" s="3">
        <v>95.8</v>
      </c>
      <c r="R349" s="1" t="s">
        <v>34</v>
      </c>
      <c r="S349" s="1" t="s">
        <v>35</v>
      </c>
      <c r="T349" s="1" t="s">
        <v>36</v>
      </c>
      <c r="U349" s="1" t="s">
        <v>37</v>
      </c>
      <c r="V349" s="1" t="s">
        <v>85</v>
      </c>
      <c r="W349" s="1" t="s">
        <v>39</v>
      </c>
      <c r="X349" s="8" t="str">
        <f>+IFERROR(VLOOKUP(N349,[1]Hoja1!$B$2:$F$52,4,0)*P349,"")</f>
        <v/>
      </c>
      <c r="Y349" s="8" t="e">
        <f>+VLOOKUP(M349,[1]SKU!$B$3:$E$81,4,0)</f>
        <v>#N/A</v>
      </c>
      <c r="Z349" s="8" t="str">
        <f t="shared" si="5"/>
        <v>BEES</v>
      </c>
      <c r="AA349" s="8" t="str">
        <f>+VLOOKUP(I349,[1]SKU!$H$2:$I$97,2,0)</f>
        <v>PE07001</v>
      </c>
    </row>
    <row r="350" spans="1:27">
      <c r="A350" s="1" t="s">
        <v>42</v>
      </c>
      <c r="B350" s="2">
        <v>46295</v>
      </c>
      <c r="C350" s="1" t="s">
        <v>496</v>
      </c>
      <c r="D350" s="1" t="s">
        <v>43</v>
      </c>
      <c r="E350" s="1" t="s">
        <v>497</v>
      </c>
      <c r="F350" s="1" t="s">
        <v>498</v>
      </c>
      <c r="G350" s="1" t="s">
        <v>26</v>
      </c>
      <c r="H350" s="1" t="s">
        <v>27</v>
      </c>
      <c r="I350" s="1" t="s">
        <v>180</v>
      </c>
      <c r="J350" s="1" t="s">
        <v>28</v>
      </c>
      <c r="K350" s="1" t="s">
        <v>29</v>
      </c>
      <c r="L350" s="1" t="s">
        <v>30</v>
      </c>
      <c r="M350" s="1" t="s">
        <v>185</v>
      </c>
      <c r="N350" s="1" t="s">
        <v>186</v>
      </c>
      <c r="O350" s="1" t="s">
        <v>155</v>
      </c>
      <c r="P350" s="3">
        <v>1</v>
      </c>
      <c r="Q350" s="3">
        <v>9.58</v>
      </c>
      <c r="R350" s="1" t="s">
        <v>34</v>
      </c>
      <c r="S350" s="1" t="s">
        <v>35</v>
      </c>
      <c r="T350" s="1" t="s">
        <v>36</v>
      </c>
      <c r="U350" s="1" t="s">
        <v>37</v>
      </c>
      <c r="V350" s="1" t="s">
        <v>85</v>
      </c>
      <c r="W350" s="1" t="s">
        <v>39</v>
      </c>
      <c r="X350" s="8" t="str">
        <f>+IFERROR(VLOOKUP(N350,[1]Hoja1!$B$2:$F$52,4,0)*P350,"")</f>
        <v/>
      </c>
      <c r="Y350" s="8" t="e">
        <f>+VLOOKUP(M350,[1]SKU!$B$3:$E$81,4,0)</f>
        <v>#N/A</v>
      </c>
      <c r="Z350" s="8" t="str">
        <f t="shared" si="5"/>
        <v>BEES</v>
      </c>
      <c r="AA350" s="8" t="str">
        <f>+VLOOKUP(I350,[1]SKU!$H$2:$I$97,2,0)</f>
        <v>PE07002</v>
      </c>
    </row>
    <row r="351" spans="1:27">
      <c r="A351" s="1" t="s">
        <v>42</v>
      </c>
      <c r="B351" s="2">
        <v>46295</v>
      </c>
      <c r="C351" s="1" t="s">
        <v>358</v>
      </c>
      <c r="D351" s="1" t="s">
        <v>43</v>
      </c>
      <c r="E351" s="1" t="s">
        <v>359</v>
      </c>
      <c r="F351" s="1" t="s">
        <v>360</v>
      </c>
      <c r="G351" s="1" t="s">
        <v>26</v>
      </c>
      <c r="H351" s="1" t="s">
        <v>27</v>
      </c>
      <c r="I351" s="1" t="s">
        <v>65</v>
      </c>
      <c r="J351" s="1" t="s">
        <v>28</v>
      </c>
      <c r="K351" s="1" t="s">
        <v>29</v>
      </c>
      <c r="L351" s="1" t="s">
        <v>30</v>
      </c>
      <c r="M351" s="1" t="s">
        <v>185</v>
      </c>
      <c r="N351" s="1" t="s">
        <v>186</v>
      </c>
      <c r="O351" s="1" t="s">
        <v>155</v>
      </c>
      <c r="P351" s="3">
        <v>36</v>
      </c>
      <c r="Q351" s="3">
        <v>344.879999</v>
      </c>
      <c r="R351" s="1" t="s">
        <v>34</v>
      </c>
      <c r="S351" s="1" t="s">
        <v>35</v>
      </c>
      <c r="T351" s="1" t="s">
        <v>36</v>
      </c>
      <c r="U351" s="1" t="s">
        <v>37</v>
      </c>
      <c r="V351" s="1" t="s">
        <v>85</v>
      </c>
      <c r="W351" s="1" t="s">
        <v>39</v>
      </c>
      <c r="X351" s="8" t="str">
        <f>+IFERROR(VLOOKUP(N351,[1]Hoja1!$B$2:$F$52,4,0)*P351,"")</f>
        <v/>
      </c>
      <c r="Y351" s="8" t="e">
        <f>+VLOOKUP(M351,[1]SKU!$B$3:$E$81,4,0)</f>
        <v>#N/A</v>
      </c>
      <c r="Z351" s="8" t="str">
        <f t="shared" si="5"/>
        <v>BEES</v>
      </c>
      <c r="AA351" s="8" t="str">
        <f>+VLOOKUP(I351,[1]SKU!$H$2:$I$97,2,0)</f>
        <v>PE07003</v>
      </c>
    </row>
    <row r="352" spans="1:27">
      <c r="A352" s="1" t="s">
        <v>40</v>
      </c>
      <c r="B352" s="2">
        <v>46295</v>
      </c>
      <c r="C352" s="1" t="s">
        <v>467</v>
      </c>
      <c r="D352" s="1" t="s">
        <v>41</v>
      </c>
      <c r="E352" s="1" t="s">
        <v>374</v>
      </c>
      <c r="F352" s="1" t="s">
        <v>375</v>
      </c>
      <c r="G352" s="1" t="s">
        <v>26</v>
      </c>
      <c r="H352" s="1" t="s">
        <v>27</v>
      </c>
      <c r="I352" s="1" t="s">
        <v>132</v>
      </c>
      <c r="J352" s="1" t="s">
        <v>28</v>
      </c>
      <c r="K352" s="1" t="s">
        <v>29</v>
      </c>
      <c r="L352" s="1" t="s">
        <v>30</v>
      </c>
      <c r="M352" s="1" t="s">
        <v>168</v>
      </c>
      <c r="N352" s="1" t="s">
        <v>169</v>
      </c>
      <c r="O352" s="1" t="s">
        <v>61</v>
      </c>
      <c r="P352" s="3">
        <v>1</v>
      </c>
      <c r="Q352" s="3">
        <v>26.382352999999998</v>
      </c>
      <c r="R352" s="1" t="s">
        <v>34</v>
      </c>
      <c r="S352" s="1" t="s">
        <v>35</v>
      </c>
      <c r="T352" s="1" t="s">
        <v>36</v>
      </c>
      <c r="U352" s="1" t="s">
        <v>37</v>
      </c>
      <c r="V352" s="1" t="s">
        <v>38</v>
      </c>
      <c r="W352" s="1" t="s">
        <v>39</v>
      </c>
      <c r="X352" s="8" t="str">
        <f>+IFERROR(VLOOKUP(N352,[1]Hoja1!$B$2:$F$52,4,0)*P352,"")</f>
        <v/>
      </c>
      <c r="Y352" s="8" t="e">
        <f>+VLOOKUP(M352,[1]SKU!$B$3:$E$81,4,0)</f>
        <v>#N/A</v>
      </c>
      <c r="Z352" s="8" t="str">
        <f t="shared" si="5"/>
        <v>BEES</v>
      </c>
      <c r="AA352" s="8" t="str">
        <f>+VLOOKUP(I352,[1]SKU!$H$2:$I$97,2,0)</f>
        <v>PE07009</v>
      </c>
    </row>
    <row r="353" spans="1:27">
      <c r="A353" s="1" t="s">
        <v>42</v>
      </c>
      <c r="B353" s="2">
        <v>46295</v>
      </c>
      <c r="C353" s="1" t="s">
        <v>440</v>
      </c>
      <c r="D353" s="1" t="s">
        <v>43</v>
      </c>
      <c r="E353" s="1" t="s">
        <v>441</v>
      </c>
      <c r="F353" s="1" t="s">
        <v>442</v>
      </c>
      <c r="G353" s="1" t="s">
        <v>26</v>
      </c>
      <c r="H353" s="1" t="s">
        <v>27</v>
      </c>
      <c r="I353" s="1" t="s">
        <v>72</v>
      </c>
      <c r="J353" s="1" t="s">
        <v>28</v>
      </c>
      <c r="K353" s="1" t="s">
        <v>29</v>
      </c>
      <c r="L353" s="1" t="s">
        <v>30</v>
      </c>
      <c r="M353" s="1" t="s">
        <v>168</v>
      </c>
      <c r="N353" s="1" t="s">
        <v>169</v>
      </c>
      <c r="O353" s="1" t="s">
        <v>61</v>
      </c>
      <c r="P353" s="3">
        <v>2</v>
      </c>
      <c r="Q353" s="3">
        <v>55.917504000000001</v>
      </c>
      <c r="R353" s="1" t="s">
        <v>34</v>
      </c>
      <c r="S353" s="1" t="s">
        <v>35</v>
      </c>
      <c r="T353" s="1" t="s">
        <v>36</v>
      </c>
      <c r="U353" s="1" t="s">
        <v>37</v>
      </c>
      <c r="V353" s="1" t="s">
        <v>38</v>
      </c>
      <c r="W353" s="1" t="s">
        <v>39</v>
      </c>
      <c r="X353" s="8" t="str">
        <f>+IFERROR(VLOOKUP(N353,[1]Hoja1!$B$2:$F$52,4,0)*P353,"")</f>
        <v/>
      </c>
      <c r="Y353" s="8" t="e">
        <f>+VLOOKUP(M353,[1]SKU!$B$3:$E$81,4,0)</f>
        <v>#N/A</v>
      </c>
      <c r="Z353" s="8" t="str">
        <f t="shared" si="5"/>
        <v>BEES</v>
      </c>
      <c r="AA353" s="8" t="str">
        <f>+VLOOKUP(I353,[1]SKU!$H$2:$I$97,2,0)</f>
        <v>PE07001</v>
      </c>
    </row>
    <row r="354" spans="1:27">
      <c r="A354" s="1" t="s">
        <v>40</v>
      </c>
      <c r="B354" s="2">
        <v>46295</v>
      </c>
      <c r="C354" s="1" t="s">
        <v>289</v>
      </c>
      <c r="D354" s="1" t="s">
        <v>41</v>
      </c>
      <c r="E354" s="1" t="s">
        <v>133</v>
      </c>
      <c r="F354" s="1" t="s">
        <v>134</v>
      </c>
      <c r="G354" s="1" t="s">
        <v>26</v>
      </c>
      <c r="H354" s="1" t="s">
        <v>27</v>
      </c>
      <c r="I354" s="1" t="s">
        <v>132</v>
      </c>
      <c r="J354" s="1" t="s">
        <v>28</v>
      </c>
      <c r="K354" s="1" t="s">
        <v>29</v>
      </c>
      <c r="L354" s="1" t="s">
        <v>30</v>
      </c>
      <c r="M354" s="1" t="s">
        <v>168</v>
      </c>
      <c r="N354" s="1" t="s">
        <v>169</v>
      </c>
      <c r="O354" s="1" t="s">
        <v>61</v>
      </c>
      <c r="P354" s="3">
        <v>1</v>
      </c>
      <c r="Q354" s="3">
        <v>26.382352999999998</v>
      </c>
      <c r="R354" s="1" t="s">
        <v>34</v>
      </c>
      <c r="S354" s="1" t="s">
        <v>35</v>
      </c>
      <c r="T354" s="1" t="s">
        <v>36</v>
      </c>
      <c r="U354" s="1" t="s">
        <v>37</v>
      </c>
      <c r="V354" s="1" t="s">
        <v>38</v>
      </c>
      <c r="W354" s="1" t="s">
        <v>39</v>
      </c>
      <c r="X354" s="8" t="str">
        <f>+IFERROR(VLOOKUP(N354,[1]Hoja1!$B$2:$F$52,4,0)*P354,"")</f>
        <v/>
      </c>
      <c r="Y354" s="8" t="e">
        <f>+VLOOKUP(M354,[1]SKU!$B$3:$E$81,4,0)</f>
        <v>#N/A</v>
      </c>
      <c r="Z354" s="8" t="str">
        <f t="shared" si="5"/>
        <v>BEES</v>
      </c>
      <c r="AA354" s="8" t="str">
        <f>+VLOOKUP(I354,[1]SKU!$H$2:$I$97,2,0)</f>
        <v>PE07009</v>
      </c>
    </row>
    <row r="355" spans="1:27">
      <c r="A355" s="1" t="s">
        <v>40</v>
      </c>
      <c r="B355" s="2">
        <v>46295</v>
      </c>
      <c r="C355" s="1" t="s">
        <v>301</v>
      </c>
      <c r="D355" s="1" t="s">
        <v>41</v>
      </c>
      <c r="E355" s="1" t="s">
        <v>302</v>
      </c>
      <c r="F355" s="1" t="s">
        <v>303</v>
      </c>
      <c r="G355" s="1" t="s">
        <v>26</v>
      </c>
      <c r="H355" s="1" t="s">
        <v>27</v>
      </c>
      <c r="I355" s="1" t="s">
        <v>132</v>
      </c>
      <c r="J355" s="1" t="s">
        <v>28</v>
      </c>
      <c r="K355" s="1" t="s">
        <v>29</v>
      </c>
      <c r="L355" s="1" t="s">
        <v>30</v>
      </c>
      <c r="M355" s="1" t="s">
        <v>168</v>
      </c>
      <c r="N355" s="1" t="s">
        <v>169</v>
      </c>
      <c r="O355" s="1" t="s">
        <v>61</v>
      </c>
      <c r="P355" s="3">
        <v>1</v>
      </c>
      <c r="Q355" s="3">
        <v>26.382352999999998</v>
      </c>
      <c r="R355" s="1" t="s">
        <v>34</v>
      </c>
      <c r="S355" s="1" t="s">
        <v>35</v>
      </c>
      <c r="T355" s="1" t="s">
        <v>36</v>
      </c>
      <c r="U355" s="1" t="s">
        <v>37</v>
      </c>
      <c r="V355" s="1" t="s">
        <v>38</v>
      </c>
      <c r="W355" s="1" t="s">
        <v>39</v>
      </c>
      <c r="X355" s="8" t="str">
        <f>+IFERROR(VLOOKUP(N355,[1]Hoja1!$B$2:$F$52,4,0)*P355,"")</f>
        <v/>
      </c>
      <c r="Y355" s="8" t="e">
        <f>+VLOOKUP(M355,[1]SKU!$B$3:$E$81,4,0)</f>
        <v>#N/A</v>
      </c>
      <c r="Z355" s="8" t="str">
        <f t="shared" si="5"/>
        <v>BEES</v>
      </c>
      <c r="AA355" s="8" t="str">
        <f>+VLOOKUP(I355,[1]SKU!$H$2:$I$97,2,0)</f>
        <v>PE07009</v>
      </c>
    </row>
    <row r="356" spans="1:27">
      <c r="A356" s="1" t="s">
        <v>40</v>
      </c>
      <c r="B356" s="2">
        <v>46295</v>
      </c>
      <c r="C356" s="1" t="s">
        <v>279</v>
      </c>
      <c r="D356" s="1" t="s">
        <v>41</v>
      </c>
      <c r="E356" s="1" t="s">
        <v>139</v>
      </c>
      <c r="F356" s="1" t="s">
        <v>140</v>
      </c>
      <c r="G356" s="1" t="s">
        <v>26</v>
      </c>
      <c r="H356" s="1" t="s">
        <v>27</v>
      </c>
      <c r="I356" s="1" t="s">
        <v>132</v>
      </c>
      <c r="J356" s="1" t="s">
        <v>28</v>
      </c>
      <c r="K356" s="1" t="s">
        <v>29</v>
      </c>
      <c r="L356" s="1" t="s">
        <v>30</v>
      </c>
      <c r="M356" s="1" t="s">
        <v>227</v>
      </c>
      <c r="N356" s="1" t="s">
        <v>228</v>
      </c>
      <c r="O356" s="1" t="s">
        <v>61</v>
      </c>
      <c r="P356" s="3">
        <v>3</v>
      </c>
      <c r="Q356" s="3">
        <v>51.24</v>
      </c>
      <c r="R356" s="1" t="s">
        <v>34</v>
      </c>
      <c r="S356" s="1" t="s">
        <v>35</v>
      </c>
      <c r="T356" s="1" t="s">
        <v>36</v>
      </c>
      <c r="U356" s="1" t="s">
        <v>37</v>
      </c>
      <c r="V356" s="1" t="s">
        <v>38</v>
      </c>
      <c r="W356" s="1" t="s">
        <v>39</v>
      </c>
      <c r="X356" s="8" t="str">
        <f>+IFERROR(VLOOKUP(N356,[1]Hoja1!$B$2:$F$52,4,0)*P356,"")</f>
        <v/>
      </c>
      <c r="Y356" s="8" t="e">
        <f>+VLOOKUP(M356,[1]SKU!$B$3:$E$81,4,0)</f>
        <v>#N/A</v>
      </c>
      <c r="Z356" s="8" t="str">
        <f t="shared" si="5"/>
        <v>BEES</v>
      </c>
      <c r="AA356" s="8" t="str">
        <f>+VLOOKUP(I356,[1]SKU!$H$2:$I$97,2,0)</f>
        <v>PE07009</v>
      </c>
    </row>
    <row r="357" spans="1:27">
      <c r="A357" s="1" t="s">
        <v>40</v>
      </c>
      <c r="B357" s="2">
        <v>46295</v>
      </c>
      <c r="C357" s="1" t="s">
        <v>458</v>
      </c>
      <c r="D357" s="1" t="s">
        <v>41</v>
      </c>
      <c r="E357" s="1" t="s">
        <v>459</v>
      </c>
      <c r="F357" s="1" t="s">
        <v>460</v>
      </c>
      <c r="G357" s="1" t="s">
        <v>26</v>
      </c>
      <c r="H357" s="1" t="s">
        <v>27</v>
      </c>
      <c r="I357" s="1" t="s">
        <v>132</v>
      </c>
      <c r="J357" s="1" t="s">
        <v>28</v>
      </c>
      <c r="K357" s="1" t="s">
        <v>29</v>
      </c>
      <c r="L357" s="1" t="s">
        <v>30</v>
      </c>
      <c r="M357" s="1" t="s">
        <v>227</v>
      </c>
      <c r="N357" s="1" t="s">
        <v>228</v>
      </c>
      <c r="O357" s="1" t="s">
        <v>61</v>
      </c>
      <c r="P357" s="3">
        <v>1</v>
      </c>
      <c r="Q357" s="3">
        <v>0</v>
      </c>
      <c r="R357" s="1" t="s">
        <v>77</v>
      </c>
      <c r="S357" s="1" t="s">
        <v>35</v>
      </c>
      <c r="T357" s="1" t="s">
        <v>36</v>
      </c>
      <c r="U357" s="1" t="s">
        <v>37</v>
      </c>
      <c r="V357" s="1" t="s">
        <v>38</v>
      </c>
      <c r="W357" s="1" t="s">
        <v>39</v>
      </c>
      <c r="X357" s="8" t="str">
        <f>+IFERROR(VLOOKUP(N357,[1]Hoja1!$B$2:$F$52,4,0)*P357,"")</f>
        <v/>
      </c>
      <c r="Y357" s="8" t="e">
        <f>+VLOOKUP(M357,[1]SKU!$B$3:$E$81,4,0)</f>
        <v>#N/A</v>
      </c>
      <c r="Z357" s="8" t="str">
        <f t="shared" si="5"/>
        <v>BEES</v>
      </c>
      <c r="AA357" s="8" t="str">
        <f>+VLOOKUP(I357,[1]SKU!$H$2:$I$97,2,0)</f>
        <v>PE07009</v>
      </c>
    </row>
    <row r="358" spans="1:27">
      <c r="A358" s="1" t="s">
        <v>40</v>
      </c>
      <c r="B358" s="2">
        <v>46295</v>
      </c>
      <c r="C358" s="1" t="s">
        <v>289</v>
      </c>
      <c r="D358" s="1" t="s">
        <v>41</v>
      </c>
      <c r="E358" s="1" t="s">
        <v>133</v>
      </c>
      <c r="F358" s="1" t="s">
        <v>134</v>
      </c>
      <c r="G358" s="1" t="s">
        <v>26</v>
      </c>
      <c r="H358" s="1" t="s">
        <v>27</v>
      </c>
      <c r="I358" s="1" t="s">
        <v>132</v>
      </c>
      <c r="J358" s="1" t="s">
        <v>28</v>
      </c>
      <c r="K358" s="1" t="s">
        <v>29</v>
      </c>
      <c r="L358" s="1" t="s">
        <v>30</v>
      </c>
      <c r="M358" s="1" t="s">
        <v>227</v>
      </c>
      <c r="N358" s="1" t="s">
        <v>228</v>
      </c>
      <c r="O358" s="1" t="s">
        <v>61</v>
      </c>
      <c r="P358" s="3">
        <v>1</v>
      </c>
      <c r="Q358" s="3">
        <v>0</v>
      </c>
      <c r="R358" s="1" t="s">
        <v>77</v>
      </c>
      <c r="S358" s="1" t="s">
        <v>35</v>
      </c>
      <c r="T358" s="1" t="s">
        <v>36</v>
      </c>
      <c r="U358" s="1" t="s">
        <v>37</v>
      </c>
      <c r="V358" s="1" t="s">
        <v>38</v>
      </c>
      <c r="W358" s="1" t="s">
        <v>39</v>
      </c>
      <c r="X358" s="8" t="str">
        <f>+IFERROR(VLOOKUP(N358,[1]Hoja1!$B$2:$F$52,4,0)*P358,"")</f>
        <v/>
      </c>
      <c r="Y358" s="8" t="e">
        <f>+VLOOKUP(M358,[1]SKU!$B$3:$E$81,4,0)</f>
        <v>#N/A</v>
      </c>
      <c r="Z358" s="8" t="str">
        <f t="shared" si="5"/>
        <v>BEES</v>
      </c>
      <c r="AA358" s="8" t="str">
        <f>+VLOOKUP(I358,[1]SKU!$H$2:$I$97,2,0)</f>
        <v>PE07009</v>
      </c>
    </row>
    <row r="359" spans="1:27">
      <c r="A359" s="1" t="s">
        <v>42</v>
      </c>
      <c r="B359" s="2">
        <v>46295</v>
      </c>
      <c r="C359" s="1" t="s">
        <v>584</v>
      </c>
      <c r="D359" s="1" t="s">
        <v>43</v>
      </c>
      <c r="E359" s="1" t="s">
        <v>585</v>
      </c>
      <c r="F359" s="1" t="s">
        <v>586</v>
      </c>
      <c r="G359" s="1" t="s">
        <v>26</v>
      </c>
      <c r="H359" s="1" t="s">
        <v>27</v>
      </c>
      <c r="I359" s="1" t="s">
        <v>587</v>
      </c>
      <c r="J359" s="1" t="s">
        <v>28</v>
      </c>
      <c r="K359" s="1" t="s">
        <v>29</v>
      </c>
      <c r="L359" s="1" t="s">
        <v>30</v>
      </c>
      <c r="M359" s="1" t="s">
        <v>111</v>
      </c>
      <c r="N359" s="1" t="s">
        <v>112</v>
      </c>
      <c r="O359" s="1" t="s">
        <v>61</v>
      </c>
      <c r="P359" s="3">
        <v>1</v>
      </c>
      <c r="Q359" s="3">
        <v>27.521000000000001</v>
      </c>
      <c r="R359" s="1" t="s">
        <v>34</v>
      </c>
      <c r="S359" s="1" t="s">
        <v>35</v>
      </c>
      <c r="T359" s="1" t="s">
        <v>36</v>
      </c>
      <c r="U359" s="1" t="s">
        <v>37</v>
      </c>
      <c r="V359" s="1" t="s">
        <v>38</v>
      </c>
      <c r="W359" s="1" t="s">
        <v>39</v>
      </c>
      <c r="X359" s="8">
        <f>+IFERROR(VLOOKUP(N359,[1]Hoja1!$B$2:$F$52,4,0)*P359,"")</f>
        <v>0.28629032258064518</v>
      </c>
      <c r="Y359" s="8" t="e">
        <f>+VLOOKUP(M359,[1]SKU!$B$3:$E$81,4,0)</f>
        <v>#N/A</v>
      </c>
      <c r="Z359" s="8" t="str">
        <f t="shared" si="5"/>
        <v>BEES</v>
      </c>
      <c r="AA359" s="8" t="str">
        <f>+VLOOKUP(I359,[1]SKU!$H$2:$I$97,2,0)</f>
        <v>PE07006</v>
      </c>
    </row>
    <row r="360" spans="1:27">
      <c r="A360" s="1" t="s">
        <v>24</v>
      </c>
      <c r="B360" s="2">
        <v>46295</v>
      </c>
      <c r="C360" s="1" t="s">
        <v>248</v>
      </c>
      <c r="D360" s="1" t="s">
        <v>25</v>
      </c>
      <c r="E360" s="1" t="s">
        <v>249</v>
      </c>
      <c r="F360" s="1" t="s">
        <v>250</v>
      </c>
      <c r="G360" s="1" t="s">
        <v>26</v>
      </c>
      <c r="H360" s="1" t="s">
        <v>27</v>
      </c>
      <c r="I360" s="1" t="s">
        <v>53</v>
      </c>
      <c r="J360" s="1" t="s">
        <v>28</v>
      </c>
      <c r="K360" s="1" t="s">
        <v>29</v>
      </c>
      <c r="L360" s="1" t="s">
        <v>30</v>
      </c>
      <c r="M360" s="1" t="s">
        <v>111</v>
      </c>
      <c r="N360" s="1" t="s">
        <v>112</v>
      </c>
      <c r="O360" s="1" t="s">
        <v>61</v>
      </c>
      <c r="P360" s="3">
        <v>1</v>
      </c>
      <c r="Q360" s="3">
        <v>28.041</v>
      </c>
      <c r="R360" s="1" t="s">
        <v>34</v>
      </c>
      <c r="S360" s="1" t="s">
        <v>35</v>
      </c>
      <c r="T360" s="1" t="s">
        <v>36</v>
      </c>
      <c r="U360" s="1" t="s">
        <v>37</v>
      </c>
      <c r="V360" s="1" t="s">
        <v>38</v>
      </c>
      <c r="W360" s="1" t="s">
        <v>39</v>
      </c>
      <c r="X360" s="8">
        <f>+IFERROR(VLOOKUP(N360,[1]Hoja1!$B$2:$F$52,4,0)*P360,"")</f>
        <v>0.28629032258064518</v>
      </c>
      <c r="Y360" s="8" t="e">
        <f>+VLOOKUP(M360,[1]SKU!$B$3:$E$81,4,0)</f>
        <v>#N/A</v>
      </c>
      <c r="Z360" s="8" t="str">
        <f t="shared" si="5"/>
        <v>BEES</v>
      </c>
      <c r="AA360" s="8" t="str">
        <f>+VLOOKUP(I360,[1]SKU!$H$2:$I$97,2,0)</f>
        <v>PE07010</v>
      </c>
    </row>
    <row r="361" spans="1:27">
      <c r="A361" s="1" t="s">
        <v>24</v>
      </c>
      <c r="B361" s="2">
        <v>46295</v>
      </c>
      <c r="C361" s="1" t="s">
        <v>597</v>
      </c>
      <c r="D361" s="1" t="s">
        <v>25</v>
      </c>
      <c r="E361" s="1" t="s">
        <v>56</v>
      </c>
      <c r="F361" s="1" t="s">
        <v>57</v>
      </c>
      <c r="G361" s="1" t="s">
        <v>26</v>
      </c>
      <c r="H361" s="1" t="s">
        <v>27</v>
      </c>
      <c r="I361" s="1" t="s">
        <v>53</v>
      </c>
      <c r="J361" s="1" t="s">
        <v>28</v>
      </c>
      <c r="K361" s="1" t="s">
        <v>29</v>
      </c>
      <c r="L361" s="1" t="s">
        <v>30</v>
      </c>
      <c r="M361" s="1" t="s">
        <v>66</v>
      </c>
      <c r="N361" s="1" t="s">
        <v>67</v>
      </c>
      <c r="O361" s="1" t="s">
        <v>68</v>
      </c>
      <c r="P361" s="3">
        <v>1</v>
      </c>
      <c r="Q361" s="3">
        <v>19.510413</v>
      </c>
      <c r="R361" s="1" t="s">
        <v>34</v>
      </c>
      <c r="S361" s="1" t="s">
        <v>35</v>
      </c>
      <c r="T361" s="1" t="s">
        <v>36</v>
      </c>
      <c r="U361" s="1" t="s">
        <v>37</v>
      </c>
      <c r="V361" s="1" t="s">
        <v>69</v>
      </c>
      <c r="W361" s="1" t="s">
        <v>39</v>
      </c>
      <c r="X361" s="8">
        <f>+IFERROR(VLOOKUP(N361,[1]Hoja1!$B$2:$F$52,4,0)*P361,"")</f>
        <v>1.618279569892473</v>
      </c>
      <c r="Y361" s="8" t="str">
        <f>+VLOOKUP(M361,[1]SKU!$B$3:$E$81,4,0)</f>
        <v>REGULAR</v>
      </c>
      <c r="Z361" s="8" t="str">
        <f t="shared" si="5"/>
        <v>BEES</v>
      </c>
      <c r="AA361" s="8" t="str">
        <f>+VLOOKUP(I361,[1]SKU!$H$2:$I$97,2,0)</f>
        <v>PE07010</v>
      </c>
    </row>
    <row r="362" spans="1:27">
      <c r="A362" s="1" t="s">
        <v>24</v>
      </c>
      <c r="B362" s="2">
        <v>46295</v>
      </c>
      <c r="C362" s="1" t="s">
        <v>436</v>
      </c>
      <c r="D362" s="1" t="s">
        <v>25</v>
      </c>
      <c r="E362" s="1" t="s">
        <v>54</v>
      </c>
      <c r="F362" s="1" t="s">
        <v>55</v>
      </c>
      <c r="G362" s="1" t="s">
        <v>26</v>
      </c>
      <c r="H362" s="1" t="s">
        <v>27</v>
      </c>
      <c r="I362" s="1" t="s">
        <v>53</v>
      </c>
      <c r="J362" s="1" t="s">
        <v>28</v>
      </c>
      <c r="K362" s="1" t="s">
        <v>29</v>
      </c>
      <c r="L362" s="1" t="s">
        <v>30</v>
      </c>
      <c r="M362" s="1" t="s">
        <v>66</v>
      </c>
      <c r="N362" s="1" t="s">
        <v>67</v>
      </c>
      <c r="O362" s="1" t="s">
        <v>68</v>
      </c>
      <c r="P362" s="3">
        <v>1</v>
      </c>
      <c r="Q362" s="3">
        <v>19.510413</v>
      </c>
      <c r="R362" s="1" t="s">
        <v>34</v>
      </c>
      <c r="S362" s="1" t="s">
        <v>35</v>
      </c>
      <c r="T362" s="1" t="s">
        <v>36</v>
      </c>
      <c r="U362" s="1" t="s">
        <v>37</v>
      </c>
      <c r="V362" s="1" t="s">
        <v>69</v>
      </c>
      <c r="W362" s="1" t="s">
        <v>39</v>
      </c>
      <c r="X362" s="8">
        <f>+IFERROR(VLOOKUP(N362,[1]Hoja1!$B$2:$F$52,4,0)*P362,"")</f>
        <v>1.618279569892473</v>
      </c>
      <c r="Y362" s="8" t="str">
        <f>+VLOOKUP(M362,[1]SKU!$B$3:$E$81,4,0)</f>
        <v>REGULAR</v>
      </c>
      <c r="Z362" s="8" t="str">
        <f t="shared" si="5"/>
        <v>BEES</v>
      </c>
      <c r="AA362" s="8" t="str">
        <f>+VLOOKUP(I362,[1]SKU!$H$2:$I$97,2,0)</f>
        <v>PE07010</v>
      </c>
    </row>
    <row r="363" spans="1:27">
      <c r="A363" s="1" t="s">
        <v>44</v>
      </c>
      <c r="B363" s="2">
        <v>46295</v>
      </c>
      <c r="C363" s="1" t="s">
        <v>355</v>
      </c>
      <c r="D363" s="1" t="s">
        <v>58</v>
      </c>
      <c r="E363" s="1" t="s">
        <v>356</v>
      </c>
      <c r="F363" s="1" t="s">
        <v>357</v>
      </c>
      <c r="G363" s="1" t="s">
        <v>26</v>
      </c>
      <c r="H363" s="1" t="s">
        <v>27</v>
      </c>
      <c r="I363" s="1" t="s">
        <v>297</v>
      </c>
      <c r="J363" s="1" t="s">
        <v>28</v>
      </c>
      <c r="K363" s="1" t="s">
        <v>29</v>
      </c>
      <c r="L363" s="1" t="s">
        <v>30</v>
      </c>
      <c r="M363" s="1" t="s">
        <v>66</v>
      </c>
      <c r="N363" s="1" t="s">
        <v>67</v>
      </c>
      <c r="O363" s="1" t="s">
        <v>68</v>
      </c>
      <c r="P363" s="3">
        <v>1</v>
      </c>
      <c r="Q363" s="3">
        <v>19.510413</v>
      </c>
      <c r="R363" s="1" t="s">
        <v>34</v>
      </c>
      <c r="S363" s="1" t="s">
        <v>35</v>
      </c>
      <c r="T363" s="1" t="s">
        <v>36</v>
      </c>
      <c r="U363" s="1" t="s">
        <v>37</v>
      </c>
      <c r="V363" s="1" t="s">
        <v>69</v>
      </c>
      <c r="W363" s="1" t="s">
        <v>39</v>
      </c>
      <c r="X363" s="8">
        <f>+IFERROR(VLOOKUP(N363,[1]Hoja1!$B$2:$F$52,4,0)*P363,"")</f>
        <v>1.618279569892473</v>
      </c>
      <c r="Y363" s="8" t="str">
        <f>+VLOOKUP(M363,[1]SKU!$B$3:$E$81,4,0)</f>
        <v>REGULAR</v>
      </c>
      <c r="Z363" s="8" t="str">
        <f t="shared" si="5"/>
        <v>BEES</v>
      </c>
      <c r="AA363" s="8" t="str">
        <f>+VLOOKUP(I363,[1]SKU!$H$2:$I$97,2,0)</f>
        <v>PE07004</v>
      </c>
    </row>
    <row r="364" spans="1:27">
      <c r="A364" s="1" t="s">
        <v>40</v>
      </c>
      <c r="B364" s="2">
        <v>46295</v>
      </c>
      <c r="C364" s="1" t="s">
        <v>301</v>
      </c>
      <c r="D364" s="1" t="s">
        <v>41</v>
      </c>
      <c r="E364" s="1" t="s">
        <v>302</v>
      </c>
      <c r="F364" s="1" t="s">
        <v>303</v>
      </c>
      <c r="G364" s="1" t="s">
        <v>26</v>
      </c>
      <c r="H364" s="1" t="s">
        <v>27</v>
      </c>
      <c r="I364" s="1" t="s">
        <v>132</v>
      </c>
      <c r="J364" s="1" t="s">
        <v>28</v>
      </c>
      <c r="K364" s="1" t="s">
        <v>29</v>
      </c>
      <c r="L364" s="1" t="s">
        <v>30</v>
      </c>
      <c r="M364" s="1" t="s">
        <v>66</v>
      </c>
      <c r="N364" s="1" t="s">
        <v>67</v>
      </c>
      <c r="O364" s="1" t="s">
        <v>68</v>
      </c>
      <c r="P364" s="3">
        <v>1</v>
      </c>
      <c r="Q364" s="3">
        <v>19.510413</v>
      </c>
      <c r="R364" s="1" t="s">
        <v>34</v>
      </c>
      <c r="S364" s="1" t="s">
        <v>35</v>
      </c>
      <c r="T364" s="1" t="s">
        <v>36</v>
      </c>
      <c r="U364" s="1" t="s">
        <v>37</v>
      </c>
      <c r="V364" s="1" t="s">
        <v>69</v>
      </c>
      <c r="W364" s="1" t="s">
        <v>39</v>
      </c>
      <c r="X364" s="8">
        <f>+IFERROR(VLOOKUP(N364,[1]Hoja1!$B$2:$F$52,4,0)*P364,"")</f>
        <v>1.618279569892473</v>
      </c>
      <c r="Y364" s="8" t="str">
        <f>+VLOOKUP(M364,[1]SKU!$B$3:$E$81,4,0)</f>
        <v>REGULAR</v>
      </c>
      <c r="Z364" s="8" t="str">
        <f t="shared" si="5"/>
        <v>BEES</v>
      </c>
      <c r="AA364" s="8" t="str">
        <f>+VLOOKUP(I364,[1]SKU!$H$2:$I$97,2,0)</f>
        <v>PE07009</v>
      </c>
    </row>
    <row r="365" spans="1:27">
      <c r="A365" s="1" t="s">
        <v>24</v>
      </c>
      <c r="B365" s="2">
        <v>46295</v>
      </c>
      <c r="C365" s="1" t="s">
        <v>401</v>
      </c>
      <c r="D365" s="1" t="s">
        <v>25</v>
      </c>
      <c r="E365" s="1" t="s">
        <v>402</v>
      </c>
      <c r="F365" s="1" t="s">
        <v>403</v>
      </c>
      <c r="G365" s="1" t="s">
        <v>26</v>
      </c>
      <c r="H365" s="1" t="s">
        <v>27</v>
      </c>
      <c r="I365" s="1" t="s">
        <v>53</v>
      </c>
      <c r="J365" s="1" t="s">
        <v>28</v>
      </c>
      <c r="K365" s="1" t="s">
        <v>29</v>
      </c>
      <c r="L365" s="1" t="s">
        <v>30</v>
      </c>
      <c r="M365" s="1" t="s">
        <v>66</v>
      </c>
      <c r="N365" s="1" t="s">
        <v>67</v>
      </c>
      <c r="O365" s="1" t="s">
        <v>68</v>
      </c>
      <c r="P365" s="3">
        <v>1</v>
      </c>
      <c r="Q365" s="3">
        <v>19.510413</v>
      </c>
      <c r="R365" s="1" t="s">
        <v>34</v>
      </c>
      <c r="S365" s="1" t="s">
        <v>35</v>
      </c>
      <c r="T365" s="1" t="s">
        <v>36</v>
      </c>
      <c r="U365" s="1" t="s">
        <v>37</v>
      </c>
      <c r="V365" s="1" t="s">
        <v>69</v>
      </c>
      <c r="W365" s="1" t="s">
        <v>39</v>
      </c>
      <c r="X365" s="8">
        <f>+IFERROR(VLOOKUP(N365,[1]Hoja1!$B$2:$F$52,4,0)*P365,"")</f>
        <v>1.618279569892473</v>
      </c>
      <c r="Y365" s="8" t="str">
        <f>+VLOOKUP(M365,[1]SKU!$B$3:$E$81,4,0)</f>
        <v>REGULAR</v>
      </c>
      <c r="Z365" s="8" t="str">
        <f t="shared" si="5"/>
        <v>BEES</v>
      </c>
      <c r="AA365" s="8" t="str">
        <f>+VLOOKUP(I365,[1]SKU!$H$2:$I$97,2,0)</f>
        <v>PE07010</v>
      </c>
    </row>
    <row r="366" spans="1:27">
      <c r="A366" s="1" t="s">
        <v>24</v>
      </c>
      <c r="B366" s="2">
        <v>46295</v>
      </c>
      <c r="C366" s="1" t="s">
        <v>248</v>
      </c>
      <c r="D366" s="1" t="s">
        <v>25</v>
      </c>
      <c r="E366" s="1" t="s">
        <v>249</v>
      </c>
      <c r="F366" s="1" t="s">
        <v>250</v>
      </c>
      <c r="G366" s="1" t="s">
        <v>26</v>
      </c>
      <c r="H366" s="1" t="s">
        <v>27</v>
      </c>
      <c r="I366" s="1" t="s">
        <v>53</v>
      </c>
      <c r="J366" s="1" t="s">
        <v>28</v>
      </c>
      <c r="K366" s="1" t="s">
        <v>29</v>
      </c>
      <c r="L366" s="1" t="s">
        <v>30</v>
      </c>
      <c r="M366" s="1" t="s">
        <v>598</v>
      </c>
      <c r="N366" s="1" t="s">
        <v>599</v>
      </c>
      <c r="O366" s="1" t="s">
        <v>84</v>
      </c>
      <c r="P366" s="3">
        <v>1</v>
      </c>
      <c r="Q366" s="3">
        <v>19.809999999999999</v>
      </c>
      <c r="R366" s="1" t="s">
        <v>34</v>
      </c>
      <c r="S366" s="1" t="s">
        <v>35</v>
      </c>
      <c r="T366" s="1" t="s">
        <v>36</v>
      </c>
      <c r="U366" s="1" t="s">
        <v>37</v>
      </c>
      <c r="V366" s="1" t="s">
        <v>85</v>
      </c>
      <c r="W366" s="1" t="s">
        <v>39</v>
      </c>
      <c r="X366" s="8" t="str">
        <f>+IFERROR(VLOOKUP(N366,[1]Hoja1!$B$2:$F$52,4,0)*P366,"")</f>
        <v/>
      </c>
      <c r="Y366" s="8" t="e">
        <f>+VLOOKUP(M366,[1]SKU!$B$3:$E$81,4,0)</f>
        <v>#N/A</v>
      </c>
      <c r="Z366" s="8" t="str">
        <f t="shared" si="5"/>
        <v>BEES</v>
      </c>
      <c r="AA366" s="8" t="str">
        <f>+VLOOKUP(I366,[1]SKU!$H$2:$I$97,2,0)</f>
        <v>PE07010</v>
      </c>
    </row>
    <row r="367" spans="1:27">
      <c r="A367" s="1" t="s">
        <v>51</v>
      </c>
      <c r="B367" s="2">
        <v>46295</v>
      </c>
      <c r="C367" s="1" t="s">
        <v>575</v>
      </c>
      <c r="D367" s="1" t="s">
        <v>52</v>
      </c>
      <c r="E367" s="1" t="s">
        <v>576</v>
      </c>
      <c r="F367" s="1" t="s">
        <v>577</v>
      </c>
      <c r="G367" s="1" t="s">
        <v>26</v>
      </c>
      <c r="H367" s="1" t="s">
        <v>27</v>
      </c>
      <c r="I367" s="1" t="s">
        <v>329</v>
      </c>
      <c r="J367" s="1" t="s">
        <v>28</v>
      </c>
      <c r="K367" s="1" t="s">
        <v>29</v>
      </c>
      <c r="L367" s="1" t="s">
        <v>30</v>
      </c>
      <c r="M367" s="1" t="s">
        <v>225</v>
      </c>
      <c r="N367" s="1" t="s">
        <v>226</v>
      </c>
      <c r="O367" s="1" t="s">
        <v>155</v>
      </c>
      <c r="P367" s="3">
        <v>1</v>
      </c>
      <c r="Q367" s="3">
        <v>11.624775</v>
      </c>
      <c r="R367" s="1" t="s">
        <v>34</v>
      </c>
      <c r="S367" s="1" t="s">
        <v>35</v>
      </c>
      <c r="T367" s="1" t="s">
        <v>36</v>
      </c>
      <c r="U367" s="1" t="s">
        <v>37</v>
      </c>
      <c r="V367" s="1" t="s">
        <v>85</v>
      </c>
      <c r="W367" s="1" t="s">
        <v>39</v>
      </c>
      <c r="X367" s="8" t="str">
        <f>+IFERROR(VLOOKUP(N367,[1]Hoja1!$B$2:$F$52,4,0)*P367,"")</f>
        <v/>
      </c>
      <c r="Y367" s="8" t="e">
        <f>+VLOOKUP(M367,[1]SKU!$B$3:$E$81,4,0)</f>
        <v>#N/A</v>
      </c>
      <c r="Z367" s="8" t="str">
        <f t="shared" si="5"/>
        <v>BEES</v>
      </c>
      <c r="AA367" s="8" t="str">
        <f>+VLOOKUP(I367,[1]SKU!$H$2:$I$97,2,0)</f>
        <v>PE07011</v>
      </c>
    </row>
    <row r="368" spans="1:27">
      <c r="A368" s="1" t="s">
        <v>51</v>
      </c>
      <c r="B368" s="2">
        <v>46295</v>
      </c>
      <c r="C368" s="1" t="s">
        <v>600</v>
      </c>
      <c r="D368" s="1" t="s">
        <v>52</v>
      </c>
      <c r="E368" s="1" t="s">
        <v>601</v>
      </c>
      <c r="F368" s="1" t="s">
        <v>602</v>
      </c>
      <c r="G368" s="1" t="s">
        <v>26</v>
      </c>
      <c r="H368" s="1" t="s">
        <v>27</v>
      </c>
      <c r="I368" s="1" t="s">
        <v>238</v>
      </c>
      <c r="J368" s="1" t="s">
        <v>28</v>
      </c>
      <c r="K368" s="1" t="s">
        <v>29</v>
      </c>
      <c r="L368" s="1" t="s">
        <v>30</v>
      </c>
      <c r="M368" s="1" t="s">
        <v>225</v>
      </c>
      <c r="N368" s="1" t="s">
        <v>226</v>
      </c>
      <c r="O368" s="1" t="s">
        <v>155</v>
      </c>
      <c r="P368" s="3">
        <v>2</v>
      </c>
      <c r="Q368" s="3">
        <v>23.249548999999998</v>
      </c>
      <c r="R368" s="1" t="s">
        <v>34</v>
      </c>
      <c r="S368" s="1" t="s">
        <v>35</v>
      </c>
      <c r="T368" s="1" t="s">
        <v>36</v>
      </c>
      <c r="U368" s="1" t="s">
        <v>37</v>
      </c>
      <c r="V368" s="1" t="s">
        <v>85</v>
      </c>
      <c r="W368" s="1" t="s">
        <v>39</v>
      </c>
      <c r="X368" s="8" t="str">
        <f>+IFERROR(VLOOKUP(N368,[1]Hoja1!$B$2:$F$52,4,0)*P368,"")</f>
        <v/>
      </c>
      <c r="Y368" s="8" t="e">
        <f>+VLOOKUP(M368,[1]SKU!$B$3:$E$81,4,0)</f>
        <v>#N/A</v>
      </c>
      <c r="Z368" s="8" t="str">
        <f t="shared" si="5"/>
        <v>BEES</v>
      </c>
      <c r="AA368" s="8" t="str">
        <f>+VLOOKUP(I368,[1]SKU!$H$2:$I$97,2,0)</f>
        <v>PE07011</v>
      </c>
    </row>
    <row r="369" spans="1:27">
      <c r="A369" s="1" t="s">
        <v>51</v>
      </c>
      <c r="B369" s="2">
        <v>46295</v>
      </c>
      <c r="C369" s="1" t="s">
        <v>603</v>
      </c>
      <c r="D369" s="1" t="s">
        <v>52</v>
      </c>
      <c r="E369" s="1" t="s">
        <v>604</v>
      </c>
      <c r="F369" s="1" t="s">
        <v>605</v>
      </c>
      <c r="G369" s="1" t="s">
        <v>26</v>
      </c>
      <c r="H369" s="1" t="s">
        <v>27</v>
      </c>
      <c r="I369" s="1" t="s">
        <v>238</v>
      </c>
      <c r="J369" s="1" t="s">
        <v>28</v>
      </c>
      <c r="K369" s="1" t="s">
        <v>29</v>
      </c>
      <c r="L369" s="1" t="s">
        <v>30</v>
      </c>
      <c r="M369" s="1" t="s">
        <v>225</v>
      </c>
      <c r="N369" s="1" t="s">
        <v>226</v>
      </c>
      <c r="O369" s="1" t="s">
        <v>155</v>
      </c>
      <c r="P369" s="3">
        <v>2</v>
      </c>
      <c r="Q369" s="3">
        <v>23.249548999999998</v>
      </c>
      <c r="R369" s="1" t="s">
        <v>34</v>
      </c>
      <c r="S369" s="1" t="s">
        <v>35</v>
      </c>
      <c r="T369" s="1" t="s">
        <v>36</v>
      </c>
      <c r="U369" s="1" t="s">
        <v>37</v>
      </c>
      <c r="V369" s="1" t="s">
        <v>85</v>
      </c>
      <c r="W369" s="1" t="s">
        <v>39</v>
      </c>
      <c r="X369" s="8" t="str">
        <f>+IFERROR(VLOOKUP(N369,[1]Hoja1!$B$2:$F$52,4,0)*P369,"")</f>
        <v/>
      </c>
      <c r="Y369" s="8" t="e">
        <f>+VLOOKUP(M369,[1]SKU!$B$3:$E$81,4,0)</f>
        <v>#N/A</v>
      </c>
      <c r="Z369" s="8" t="str">
        <f t="shared" si="5"/>
        <v>BEES</v>
      </c>
      <c r="AA369" s="8" t="str">
        <f>+VLOOKUP(I369,[1]SKU!$H$2:$I$97,2,0)</f>
        <v>PE07011</v>
      </c>
    </row>
    <row r="370" spans="1:27">
      <c r="A370" s="1" t="s">
        <v>51</v>
      </c>
      <c r="B370" s="2">
        <v>46295</v>
      </c>
      <c r="C370" s="1" t="s">
        <v>291</v>
      </c>
      <c r="D370" s="1" t="s">
        <v>52</v>
      </c>
      <c r="E370" s="1" t="s">
        <v>292</v>
      </c>
      <c r="F370" s="1" t="s">
        <v>293</v>
      </c>
      <c r="G370" s="1" t="s">
        <v>26</v>
      </c>
      <c r="H370" s="1" t="s">
        <v>27</v>
      </c>
      <c r="I370" s="1" t="s">
        <v>238</v>
      </c>
      <c r="J370" s="1" t="s">
        <v>28</v>
      </c>
      <c r="K370" s="1" t="s">
        <v>29</v>
      </c>
      <c r="L370" s="1" t="s">
        <v>30</v>
      </c>
      <c r="M370" s="1" t="s">
        <v>225</v>
      </c>
      <c r="N370" s="1" t="s">
        <v>226</v>
      </c>
      <c r="O370" s="1" t="s">
        <v>155</v>
      </c>
      <c r="P370" s="3">
        <v>1</v>
      </c>
      <c r="Q370" s="3">
        <v>11.624775</v>
      </c>
      <c r="R370" s="1" t="s">
        <v>34</v>
      </c>
      <c r="S370" s="1" t="s">
        <v>35</v>
      </c>
      <c r="T370" s="1" t="s">
        <v>36</v>
      </c>
      <c r="U370" s="1" t="s">
        <v>37</v>
      </c>
      <c r="V370" s="1" t="s">
        <v>85</v>
      </c>
      <c r="W370" s="1" t="s">
        <v>39</v>
      </c>
      <c r="X370" s="8" t="str">
        <f>+IFERROR(VLOOKUP(N370,[1]Hoja1!$B$2:$F$52,4,0)*P370,"")</f>
        <v/>
      </c>
      <c r="Y370" s="8" t="e">
        <f>+VLOOKUP(M370,[1]SKU!$B$3:$E$81,4,0)</f>
        <v>#N/A</v>
      </c>
      <c r="Z370" s="8" t="str">
        <f t="shared" si="5"/>
        <v>BEES</v>
      </c>
      <c r="AA370" s="8" t="str">
        <f>+VLOOKUP(I370,[1]SKU!$H$2:$I$97,2,0)</f>
        <v>PE07011</v>
      </c>
    </row>
    <row r="371" spans="1:27">
      <c r="A371" s="1" t="s">
        <v>51</v>
      </c>
      <c r="B371" s="2">
        <v>46295</v>
      </c>
      <c r="C371" s="1" t="s">
        <v>606</v>
      </c>
      <c r="D371" s="1" t="s">
        <v>52</v>
      </c>
      <c r="E371" s="1" t="s">
        <v>607</v>
      </c>
      <c r="F371" s="1" t="s">
        <v>608</v>
      </c>
      <c r="G371" s="1" t="s">
        <v>26</v>
      </c>
      <c r="H371" s="1" t="s">
        <v>27</v>
      </c>
      <c r="I371" s="1" t="s">
        <v>238</v>
      </c>
      <c r="J371" s="1" t="s">
        <v>28</v>
      </c>
      <c r="K371" s="1" t="s">
        <v>29</v>
      </c>
      <c r="L371" s="1" t="s">
        <v>30</v>
      </c>
      <c r="M371" s="1" t="s">
        <v>225</v>
      </c>
      <c r="N371" s="1" t="s">
        <v>226</v>
      </c>
      <c r="O371" s="1" t="s">
        <v>155</v>
      </c>
      <c r="P371" s="3">
        <v>3</v>
      </c>
      <c r="Q371" s="3">
        <v>34.874324999999999</v>
      </c>
      <c r="R371" s="1" t="s">
        <v>34</v>
      </c>
      <c r="S371" s="1" t="s">
        <v>35</v>
      </c>
      <c r="T371" s="1" t="s">
        <v>36</v>
      </c>
      <c r="U371" s="1" t="s">
        <v>37</v>
      </c>
      <c r="V371" s="1" t="s">
        <v>85</v>
      </c>
      <c r="W371" s="1" t="s">
        <v>39</v>
      </c>
      <c r="X371" s="8" t="str">
        <f>+IFERROR(VLOOKUP(N371,[1]Hoja1!$B$2:$F$52,4,0)*P371,"")</f>
        <v/>
      </c>
      <c r="Y371" s="8" t="e">
        <f>+VLOOKUP(M371,[1]SKU!$B$3:$E$81,4,0)</f>
        <v>#N/A</v>
      </c>
      <c r="Z371" s="8" t="str">
        <f t="shared" si="5"/>
        <v>BEES</v>
      </c>
      <c r="AA371" s="8" t="str">
        <f>+VLOOKUP(I371,[1]SKU!$H$2:$I$97,2,0)</f>
        <v>PE07011</v>
      </c>
    </row>
    <row r="372" spans="1:27">
      <c r="A372" s="1" t="s">
        <v>51</v>
      </c>
      <c r="B372" s="2">
        <v>46295</v>
      </c>
      <c r="C372" s="1" t="s">
        <v>609</v>
      </c>
      <c r="D372" s="1" t="s">
        <v>52</v>
      </c>
      <c r="E372" s="1" t="s">
        <v>610</v>
      </c>
      <c r="F372" s="1" t="s">
        <v>611</v>
      </c>
      <c r="G372" s="1" t="s">
        <v>26</v>
      </c>
      <c r="H372" s="1" t="s">
        <v>27</v>
      </c>
      <c r="I372" s="1" t="s">
        <v>238</v>
      </c>
      <c r="J372" s="1" t="s">
        <v>28</v>
      </c>
      <c r="K372" s="1" t="s">
        <v>29</v>
      </c>
      <c r="L372" s="1" t="s">
        <v>30</v>
      </c>
      <c r="M372" s="1" t="s">
        <v>225</v>
      </c>
      <c r="N372" s="1" t="s">
        <v>226</v>
      </c>
      <c r="O372" s="1" t="s">
        <v>155</v>
      </c>
      <c r="P372" s="3">
        <v>3</v>
      </c>
      <c r="Q372" s="3">
        <v>34.874324999999999</v>
      </c>
      <c r="R372" s="1" t="s">
        <v>34</v>
      </c>
      <c r="S372" s="1" t="s">
        <v>35</v>
      </c>
      <c r="T372" s="1" t="s">
        <v>36</v>
      </c>
      <c r="U372" s="1" t="s">
        <v>37</v>
      </c>
      <c r="V372" s="1" t="s">
        <v>85</v>
      </c>
      <c r="W372" s="1" t="s">
        <v>39</v>
      </c>
      <c r="X372" s="8" t="str">
        <f>+IFERROR(VLOOKUP(N372,[1]Hoja1!$B$2:$F$52,4,0)*P372,"")</f>
        <v/>
      </c>
      <c r="Y372" s="8" t="e">
        <f>+VLOOKUP(M372,[1]SKU!$B$3:$E$81,4,0)</f>
        <v>#N/A</v>
      </c>
      <c r="Z372" s="8" t="str">
        <f t="shared" si="5"/>
        <v>BEES</v>
      </c>
      <c r="AA372" s="8" t="str">
        <f>+VLOOKUP(I372,[1]SKU!$H$2:$I$97,2,0)</f>
        <v>PE07011</v>
      </c>
    </row>
    <row r="373" spans="1:27">
      <c r="A373" s="1" t="s">
        <v>51</v>
      </c>
      <c r="B373" s="2">
        <v>46295</v>
      </c>
      <c r="C373" s="1" t="s">
        <v>260</v>
      </c>
      <c r="D373" s="1" t="s">
        <v>52</v>
      </c>
      <c r="E373" s="1" t="s">
        <v>261</v>
      </c>
      <c r="F373" s="1" t="s">
        <v>262</v>
      </c>
      <c r="G373" s="1" t="s">
        <v>26</v>
      </c>
      <c r="H373" s="1" t="s">
        <v>27</v>
      </c>
      <c r="I373" s="1" t="s">
        <v>238</v>
      </c>
      <c r="J373" s="1" t="s">
        <v>28</v>
      </c>
      <c r="K373" s="1" t="s">
        <v>29</v>
      </c>
      <c r="L373" s="1" t="s">
        <v>30</v>
      </c>
      <c r="M373" s="1" t="s">
        <v>162</v>
      </c>
      <c r="N373" s="1" t="s">
        <v>163</v>
      </c>
      <c r="O373" s="1" t="s">
        <v>61</v>
      </c>
      <c r="P373" s="3">
        <v>1</v>
      </c>
      <c r="Q373" s="3">
        <v>31.131291000000001</v>
      </c>
      <c r="R373" s="1" t="s">
        <v>34</v>
      </c>
      <c r="S373" s="1" t="s">
        <v>35</v>
      </c>
      <c r="T373" s="1" t="s">
        <v>36</v>
      </c>
      <c r="U373" s="1" t="s">
        <v>37</v>
      </c>
      <c r="V373" s="1" t="s">
        <v>38</v>
      </c>
      <c r="W373" s="1" t="s">
        <v>39</v>
      </c>
      <c r="X373" s="8" t="str">
        <f>+IFERROR(VLOOKUP(N373,[1]Hoja1!$B$2:$F$52,4,0)*P373,"")</f>
        <v/>
      </c>
      <c r="Y373" s="8" t="e">
        <f>+VLOOKUP(M373,[1]SKU!$B$3:$E$81,4,0)</f>
        <v>#N/A</v>
      </c>
      <c r="Z373" s="8" t="str">
        <f t="shared" si="5"/>
        <v>BEES</v>
      </c>
      <c r="AA373" s="8" t="str">
        <f>+VLOOKUP(I373,[1]SKU!$H$2:$I$97,2,0)</f>
        <v>PE07011</v>
      </c>
    </row>
    <row r="374" spans="1:27">
      <c r="A374" s="1" t="s">
        <v>42</v>
      </c>
      <c r="B374" s="2">
        <v>46295</v>
      </c>
      <c r="C374" s="1" t="s">
        <v>578</v>
      </c>
      <c r="D374" s="1" t="s">
        <v>43</v>
      </c>
      <c r="E374" s="1" t="s">
        <v>579</v>
      </c>
      <c r="F374" s="1" t="s">
        <v>580</v>
      </c>
      <c r="G374" s="1" t="s">
        <v>26</v>
      </c>
      <c r="H374" s="1" t="s">
        <v>27</v>
      </c>
      <c r="I374" s="1" t="s">
        <v>65</v>
      </c>
      <c r="J374" s="1" t="s">
        <v>28</v>
      </c>
      <c r="K374" s="1" t="s">
        <v>29</v>
      </c>
      <c r="L374" s="1" t="s">
        <v>30</v>
      </c>
      <c r="M374" s="1" t="s">
        <v>162</v>
      </c>
      <c r="N374" s="1" t="s">
        <v>163</v>
      </c>
      <c r="O374" s="1" t="s">
        <v>61</v>
      </c>
      <c r="P374" s="3">
        <v>1</v>
      </c>
      <c r="Q374" s="3">
        <v>31.131291000000001</v>
      </c>
      <c r="R374" s="1" t="s">
        <v>34</v>
      </c>
      <c r="S374" s="1" t="s">
        <v>35</v>
      </c>
      <c r="T374" s="1" t="s">
        <v>36</v>
      </c>
      <c r="U374" s="1" t="s">
        <v>37</v>
      </c>
      <c r="V374" s="1" t="s">
        <v>38</v>
      </c>
      <c r="W374" s="1" t="s">
        <v>39</v>
      </c>
      <c r="X374" s="8" t="str">
        <f>+IFERROR(VLOOKUP(N374,[1]Hoja1!$B$2:$F$52,4,0)*P374,"")</f>
        <v/>
      </c>
      <c r="Y374" s="8" t="e">
        <f>+VLOOKUP(M374,[1]SKU!$B$3:$E$81,4,0)</f>
        <v>#N/A</v>
      </c>
      <c r="Z374" s="8" t="str">
        <f t="shared" si="5"/>
        <v>BEES</v>
      </c>
      <c r="AA374" s="8" t="str">
        <f>+VLOOKUP(I374,[1]SKU!$H$2:$I$97,2,0)</f>
        <v>PE07003</v>
      </c>
    </row>
    <row r="375" spans="1:27">
      <c r="A375" s="1" t="s">
        <v>24</v>
      </c>
      <c r="B375" s="2">
        <v>46295</v>
      </c>
      <c r="C375" s="1" t="s">
        <v>416</v>
      </c>
      <c r="D375" s="1" t="s">
        <v>25</v>
      </c>
      <c r="E375" s="1" t="s">
        <v>417</v>
      </c>
      <c r="F375" s="1" t="s">
        <v>418</v>
      </c>
      <c r="G375" s="1" t="s">
        <v>26</v>
      </c>
      <c r="H375" s="1" t="s">
        <v>27</v>
      </c>
      <c r="I375" s="1" t="s">
        <v>53</v>
      </c>
      <c r="J375" s="1" t="s">
        <v>28</v>
      </c>
      <c r="K375" s="1" t="s">
        <v>29</v>
      </c>
      <c r="L375" s="1" t="s">
        <v>30</v>
      </c>
      <c r="M375" s="1" t="s">
        <v>612</v>
      </c>
      <c r="N375" s="1" t="s">
        <v>613</v>
      </c>
      <c r="O375" s="1" t="s">
        <v>84</v>
      </c>
      <c r="P375" s="3">
        <v>1</v>
      </c>
      <c r="Q375" s="3">
        <v>19.809999999999999</v>
      </c>
      <c r="R375" s="1" t="s">
        <v>34</v>
      </c>
      <c r="S375" s="1" t="s">
        <v>35</v>
      </c>
      <c r="T375" s="1" t="s">
        <v>36</v>
      </c>
      <c r="U375" s="1" t="s">
        <v>37</v>
      </c>
      <c r="V375" s="1" t="s">
        <v>85</v>
      </c>
      <c r="W375" s="1" t="s">
        <v>39</v>
      </c>
      <c r="X375" s="8" t="str">
        <f>+IFERROR(VLOOKUP(N375,[1]Hoja1!$B$2:$F$52,4,0)*P375,"")</f>
        <v/>
      </c>
      <c r="Y375" s="8" t="e">
        <f>+VLOOKUP(M375,[1]SKU!$B$3:$E$81,4,0)</f>
        <v>#N/A</v>
      </c>
      <c r="Z375" s="8" t="str">
        <f t="shared" si="5"/>
        <v>BEES</v>
      </c>
      <c r="AA375" s="8" t="str">
        <f>+VLOOKUP(I375,[1]SKU!$H$2:$I$97,2,0)</f>
        <v>PE07010</v>
      </c>
    </row>
    <row r="376" spans="1:27">
      <c r="A376" s="1" t="s">
        <v>24</v>
      </c>
      <c r="B376" s="2">
        <v>46295</v>
      </c>
      <c r="C376" s="1" t="s">
        <v>315</v>
      </c>
      <c r="D376" s="1" t="s">
        <v>25</v>
      </c>
      <c r="E376" s="1" t="s">
        <v>130</v>
      </c>
      <c r="F376" s="1" t="s">
        <v>131</v>
      </c>
      <c r="G376" s="1" t="s">
        <v>26</v>
      </c>
      <c r="H376" s="1" t="s">
        <v>27</v>
      </c>
      <c r="I376" s="1" t="s">
        <v>53</v>
      </c>
      <c r="J376" s="1" t="s">
        <v>28</v>
      </c>
      <c r="K376" s="1" t="s">
        <v>29</v>
      </c>
      <c r="L376" s="1" t="s">
        <v>30</v>
      </c>
      <c r="M376" s="1" t="s">
        <v>166</v>
      </c>
      <c r="N376" s="1" t="s">
        <v>167</v>
      </c>
      <c r="O376" s="1" t="s">
        <v>155</v>
      </c>
      <c r="P376" s="3">
        <v>1</v>
      </c>
      <c r="Q376" s="3">
        <v>0</v>
      </c>
      <c r="R376" s="1" t="s">
        <v>77</v>
      </c>
      <c r="S376" s="1" t="s">
        <v>35</v>
      </c>
      <c r="T376" s="1" t="s">
        <v>36</v>
      </c>
      <c r="U376" s="1" t="s">
        <v>37</v>
      </c>
      <c r="V376" s="1" t="s">
        <v>85</v>
      </c>
      <c r="W376" s="1" t="s">
        <v>39</v>
      </c>
      <c r="X376" s="8" t="str">
        <f>+IFERROR(VLOOKUP(N376,[1]Hoja1!$B$2:$F$52,4,0)*P376,"")</f>
        <v/>
      </c>
      <c r="Y376" s="8" t="e">
        <f>+VLOOKUP(M376,[1]SKU!$B$3:$E$81,4,0)</f>
        <v>#N/A</v>
      </c>
      <c r="Z376" s="8" t="str">
        <f t="shared" si="5"/>
        <v>BEES</v>
      </c>
      <c r="AA376" s="8" t="str">
        <f>+VLOOKUP(I376,[1]SKU!$H$2:$I$97,2,0)</f>
        <v>PE07010</v>
      </c>
    </row>
    <row r="377" spans="1:27">
      <c r="A377" s="1" t="s">
        <v>42</v>
      </c>
      <c r="B377" s="2">
        <v>46295</v>
      </c>
      <c r="C377" s="1" t="s">
        <v>566</v>
      </c>
      <c r="D377" s="1" t="s">
        <v>43</v>
      </c>
      <c r="E377" s="1" t="s">
        <v>567</v>
      </c>
      <c r="F377" s="1" t="s">
        <v>568</v>
      </c>
      <c r="G377" s="1" t="s">
        <v>26</v>
      </c>
      <c r="H377" s="1" t="s">
        <v>27</v>
      </c>
      <c r="I377" s="1" t="s">
        <v>65</v>
      </c>
      <c r="J377" s="1" t="s">
        <v>28</v>
      </c>
      <c r="K377" s="1" t="s">
        <v>29</v>
      </c>
      <c r="L377" s="1" t="s">
        <v>30</v>
      </c>
      <c r="M377" s="1" t="s">
        <v>164</v>
      </c>
      <c r="N377" s="1" t="s">
        <v>165</v>
      </c>
      <c r="O377" s="1" t="s">
        <v>61</v>
      </c>
      <c r="P377" s="3">
        <v>1</v>
      </c>
      <c r="Q377" s="3">
        <v>26.5</v>
      </c>
      <c r="R377" s="1" t="s">
        <v>34</v>
      </c>
      <c r="S377" s="1" t="s">
        <v>35</v>
      </c>
      <c r="T377" s="1" t="s">
        <v>36</v>
      </c>
      <c r="U377" s="1" t="s">
        <v>37</v>
      </c>
      <c r="V377" s="1" t="s">
        <v>38</v>
      </c>
      <c r="W377" s="1" t="s">
        <v>39</v>
      </c>
      <c r="X377" s="8" t="str">
        <f>+IFERROR(VLOOKUP(N377,[1]Hoja1!$B$2:$F$52,4,0)*P377,"")</f>
        <v/>
      </c>
      <c r="Y377" s="8" t="e">
        <f>+VLOOKUP(M377,[1]SKU!$B$3:$E$81,4,0)</f>
        <v>#N/A</v>
      </c>
      <c r="Z377" s="8" t="str">
        <f t="shared" si="5"/>
        <v>BEES</v>
      </c>
      <c r="AA377" s="8" t="str">
        <f>+VLOOKUP(I377,[1]SKU!$H$2:$I$97,2,0)</f>
        <v>PE07003</v>
      </c>
    </row>
    <row r="378" spans="1:27">
      <c r="A378" s="1" t="s">
        <v>24</v>
      </c>
      <c r="B378" s="2">
        <v>46295</v>
      </c>
      <c r="C378" s="1" t="s">
        <v>416</v>
      </c>
      <c r="D378" s="1" t="s">
        <v>25</v>
      </c>
      <c r="E378" s="1" t="s">
        <v>417</v>
      </c>
      <c r="F378" s="1" t="s">
        <v>418</v>
      </c>
      <c r="G378" s="1" t="s">
        <v>26</v>
      </c>
      <c r="H378" s="1" t="s">
        <v>27</v>
      </c>
      <c r="I378" s="1" t="s">
        <v>53</v>
      </c>
      <c r="J378" s="1" t="s">
        <v>28</v>
      </c>
      <c r="K378" s="1" t="s">
        <v>29</v>
      </c>
      <c r="L378" s="1" t="s">
        <v>30</v>
      </c>
      <c r="M378" s="1" t="s">
        <v>166</v>
      </c>
      <c r="N378" s="1" t="s">
        <v>167</v>
      </c>
      <c r="O378" s="1" t="s">
        <v>155</v>
      </c>
      <c r="P378" s="3">
        <v>1</v>
      </c>
      <c r="Q378" s="3">
        <v>0</v>
      </c>
      <c r="R378" s="1" t="s">
        <v>77</v>
      </c>
      <c r="S378" s="1" t="s">
        <v>35</v>
      </c>
      <c r="T378" s="1" t="s">
        <v>36</v>
      </c>
      <c r="U378" s="1" t="s">
        <v>37</v>
      </c>
      <c r="V378" s="1" t="s">
        <v>85</v>
      </c>
      <c r="W378" s="1" t="s">
        <v>39</v>
      </c>
      <c r="X378" s="8" t="str">
        <f>+IFERROR(VLOOKUP(N378,[1]Hoja1!$B$2:$F$52,4,0)*P378,"")</f>
        <v/>
      </c>
      <c r="Y378" s="8" t="e">
        <f>+VLOOKUP(M378,[1]SKU!$B$3:$E$81,4,0)</f>
        <v>#N/A</v>
      </c>
      <c r="Z378" s="8" t="str">
        <f t="shared" si="5"/>
        <v>BEES</v>
      </c>
      <c r="AA378" s="8" t="str">
        <f>+VLOOKUP(I378,[1]SKU!$H$2:$I$97,2,0)</f>
        <v>PE07010</v>
      </c>
    </row>
    <row r="379" spans="1:27">
      <c r="A379" s="1" t="s">
        <v>24</v>
      </c>
      <c r="B379" s="2">
        <v>46295</v>
      </c>
      <c r="C379" s="1" t="s">
        <v>245</v>
      </c>
      <c r="D379" s="1" t="s">
        <v>25</v>
      </c>
      <c r="E379" s="1" t="s">
        <v>246</v>
      </c>
      <c r="F379" s="1" t="s">
        <v>247</v>
      </c>
      <c r="G379" s="1" t="s">
        <v>26</v>
      </c>
      <c r="H379" s="1" t="s">
        <v>27</v>
      </c>
      <c r="I379" s="1" t="s">
        <v>53</v>
      </c>
      <c r="J379" s="1" t="s">
        <v>28</v>
      </c>
      <c r="K379" s="1" t="s">
        <v>29</v>
      </c>
      <c r="L379" s="1" t="s">
        <v>30</v>
      </c>
      <c r="M379" s="1" t="s">
        <v>166</v>
      </c>
      <c r="N379" s="1" t="s">
        <v>167</v>
      </c>
      <c r="O379" s="1" t="s">
        <v>155</v>
      </c>
      <c r="P379" s="3">
        <v>1</v>
      </c>
      <c r="Q379" s="3">
        <v>0</v>
      </c>
      <c r="R379" s="1" t="s">
        <v>77</v>
      </c>
      <c r="S379" s="1" t="s">
        <v>35</v>
      </c>
      <c r="T379" s="1" t="s">
        <v>36</v>
      </c>
      <c r="U379" s="1" t="s">
        <v>37</v>
      </c>
      <c r="V379" s="1" t="s">
        <v>85</v>
      </c>
      <c r="W379" s="1" t="s">
        <v>39</v>
      </c>
      <c r="X379" s="8" t="str">
        <f>+IFERROR(VLOOKUP(N379,[1]Hoja1!$B$2:$F$52,4,0)*P379,"")</f>
        <v/>
      </c>
      <c r="Y379" s="8" t="e">
        <f>+VLOOKUP(M379,[1]SKU!$B$3:$E$81,4,0)</f>
        <v>#N/A</v>
      </c>
      <c r="Z379" s="8" t="str">
        <f t="shared" si="5"/>
        <v>BEES</v>
      </c>
      <c r="AA379" s="8" t="str">
        <f>+VLOOKUP(I379,[1]SKU!$H$2:$I$97,2,0)</f>
        <v>PE07010</v>
      </c>
    </row>
    <row r="380" spans="1:27">
      <c r="A380" s="1" t="s">
        <v>44</v>
      </c>
      <c r="B380" s="2">
        <v>46295</v>
      </c>
      <c r="C380" s="1" t="s">
        <v>355</v>
      </c>
      <c r="D380" s="1" t="s">
        <v>58</v>
      </c>
      <c r="E380" s="1" t="s">
        <v>356</v>
      </c>
      <c r="F380" s="1" t="s">
        <v>357</v>
      </c>
      <c r="G380" s="1" t="s">
        <v>26</v>
      </c>
      <c r="H380" s="1" t="s">
        <v>27</v>
      </c>
      <c r="I380" s="1" t="s">
        <v>297</v>
      </c>
      <c r="J380" s="1" t="s">
        <v>28</v>
      </c>
      <c r="K380" s="1" t="s">
        <v>29</v>
      </c>
      <c r="L380" s="1" t="s">
        <v>30</v>
      </c>
      <c r="M380" s="1" t="s">
        <v>113</v>
      </c>
      <c r="N380" s="1" t="s">
        <v>114</v>
      </c>
      <c r="O380" s="1" t="s">
        <v>115</v>
      </c>
      <c r="P380" s="3">
        <v>1</v>
      </c>
      <c r="Q380" s="3">
        <v>9.9996749999999999</v>
      </c>
      <c r="R380" s="1" t="s">
        <v>34</v>
      </c>
      <c r="S380" s="1" t="s">
        <v>35</v>
      </c>
      <c r="T380" s="1" t="s">
        <v>36</v>
      </c>
      <c r="U380" s="1" t="s">
        <v>37</v>
      </c>
      <c r="V380" s="1" t="s">
        <v>116</v>
      </c>
      <c r="W380" s="1" t="s">
        <v>39</v>
      </c>
      <c r="X380" s="8">
        <f>+IFERROR(VLOOKUP(N380,[1]Hoja1!$B$2:$F$52,4,0)*P380,"")</f>
        <v>1.0080645161290323</v>
      </c>
      <c r="Y380" s="8" t="str">
        <f>+VLOOKUP(M380,[1]SKU!$B$3:$E$81,4,0)</f>
        <v>REGULAR</v>
      </c>
      <c r="Z380" s="8" t="str">
        <f t="shared" si="5"/>
        <v>BEES</v>
      </c>
      <c r="AA380" s="8" t="str">
        <f>+VLOOKUP(I380,[1]SKU!$H$2:$I$97,2,0)</f>
        <v>PE07004</v>
      </c>
    </row>
    <row r="381" spans="1:27">
      <c r="A381" s="1" t="s">
        <v>24</v>
      </c>
      <c r="B381" s="2">
        <v>46295</v>
      </c>
      <c r="C381" s="1" t="s">
        <v>401</v>
      </c>
      <c r="D381" s="1" t="s">
        <v>25</v>
      </c>
      <c r="E381" s="1" t="s">
        <v>402</v>
      </c>
      <c r="F381" s="1" t="s">
        <v>403</v>
      </c>
      <c r="G381" s="1" t="s">
        <v>26</v>
      </c>
      <c r="H381" s="1" t="s">
        <v>27</v>
      </c>
      <c r="I381" s="1" t="s">
        <v>53</v>
      </c>
      <c r="J381" s="1" t="s">
        <v>28</v>
      </c>
      <c r="K381" s="1" t="s">
        <v>29</v>
      </c>
      <c r="L381" s="1" t="s">
        <v>30</v>
      </c>
      <c r="M381" s="1" t="s">
        <v>113</v>
      </c>
      <c r="N381" s="1" t="s">
        <v>114</v>
      </c>
      <c r="O381" s="1" t="s">
        <v>115</v>
      </c>
      <c r="P381" s="3">
        <v>2</v>
      </c>
      <c r="Q381" s="3">
        <v>19.99935</v>
      </c>
      <c r="R381" s="1" t="s">
        <v>34</v>
      </c>
      <c r="S381" s="1" t="s">
        <v>35</v>
      </c>
      <c r="T381" s="1" t="s">
        <v>36</v>
      </c>
      <c r="U381" s="1" t="s">
        <v>37</v>
      </c>
      <c r="V381" s="1" t="s">
        <v>116</v>
      </c>
      <c r="W381" s="1" t="s">
        <v>39</v>
      </c>
      <c r="X381" s="8">
        <f>+IFERROR(VLOOKUP(N381,[1]Hoja1!$B$2:$F$52,4,0)*P381,"")</f>
        <v>2.0161290322580645</v>
      </c>
      <c r="Y381" s="8" t="str">
        <f>+VLOOKUP(M381,[1]SKU!$B$3:$E$81,4,0)</f>
        <v>REGULAR</v>
      </c>
      <c r="Z381" s="8" t="str">
        <f t="shared" si="5"/>
        <v>BEES</v>
      </c>
      <c r="AA381" s="8" t="str">
        <f>+VLOOKUP(I381,[1]SKU!$H$2:$I$97,2,0)</f>
        <v>PE07010</v>
      </c>
    </row>
    <row r="382" spans="1:27">
      <c r="A382" s="1" t="s">
        <v>40</v>
      </c>
      <c r="B382" s="2">
        <v>46295</v>
      </c>
      <c r="C382" s="1" t="s">
        <v>389</v>
      </c>
      <c r="D382" s="1" t="s">
        <v>41</v>
      </c>
      <c r="E382" s="1" t="s">
        <v>390</v>
      </c>
      <c r="F382" s="1" t="s">
        <v>391</v>
      </c>
      <c r="G382" s="1" t="s">
        <v>26</v>
      </c>
      <c r="H382" s="1" t="s">
        <v>27</v>
      </c>
      <c r="I382" s="1" t="s">
        <v>132</v>
      </c>
      <c r="J382" s="1" t="s">
        <v>28</v>
      </c>
      <c r="K382" s="1" t="s">
        <v>29</v>
      </c>
      <c r="L382" s="1" t="s">
        <v>30</v>
      </c>
      <c r="M382" s="1" t="s">
        <v>113</v>
      </c>
      <c r="N382" s="1" t="s">
        <v>114</v>
      </c>
      <c r="O382" s="1" t="s">
        <v>115</v>
      </c>
      <c r="P382" s="3">
        <v>1</v>
      </c>
      <c r="Q382" s="3">
        <v>9.9996749999999999</v>
      </c>
      <c r="R382" s="1" t="s">
        <v>34</v>
      </c>
      <c r="S382" s="1" t="s">
        <v>35</v>
      </c>
      <c r="T382" s="1" t="s">
        <v>36</v>
      </c>
      <c r="U382" s="1" t="s">
        <v>37</v>
      </c>
      <c r="V382" s="1" t="s">
        <v>116</v>
      </c>
      <c r="W382" s="1" t="s">
        <v>39</v>
      </c>
      <c r="X382" s="8">
        <f>+IFERROR(VLOOKUP(N382,[1]Hoja1!$B$2:$F$52,4,0)*P382,"")</f>
        <v>1.0080645161290323</v>
      </c>
      <c r="Y382" s="8" t="str">
        <f>+VLOOKUP(M382,[1]SKU!$B$3:$E$81,4,0)</f>
        <v>REGULAR</v>
      </c>
      <c r="Z382" s="8" t="str">
        <f t="shared" si="5"/>
        <v>BEES</v>
      </c>
      <c r="AA382" s="8" t="str">
        <f>+VLOOKUP(I382,[1]SKU!$H$2:$I$97,2,0)</f>
        <v>PE07009</v>
      </c>
    </row>
    <row r="383" spans="1:27">
      <c r="A383" s="1" t="s">
        <v>44</v>
      </c>
      <c r="B383" s="2">
        <v>46295</v>
      </c>
      <c r="C383" s="1" t="s">
        <v>336</v>
      </c>
      <c r="D383" s="1" t="s">
        <v>45</v>
      </c>
      <c r="E383" s="1" t="s">
        <v>337</v>
      </c>
      <c r="F383" s="1" t="s">
        <v>338</v>
      </c>
      <c r="G383" s="1" t="s">
        <v>26</v>
      </c>
      <c r="H383" s="1" t="s">
        <v>46</v>
      </c>
      <c r="I383" s="1" t="s">
        <v>297</v>
      </c>
      <c r="J383" s="1" t="s">
        <v>47</v>
      </c>
      <c r="K383" s="1" t="s">
        <v>48</v>
      </c>
      <c r="L383" s="1" t="s">
        <v>30</v>
      </c>
      <c r="M383" s="1" t="s">
        <v>113</v>
      </c>
      <c r="N383" s="1" t="s">
        <v>114</v>
      </c>
      <c r="O383" s="1" t="s">
        <v>115</v>
      </c>
      <c r="P383" s="3">
        <v>1</v>
      </c>
      <c r="Q383" s="3">
        <v>9.9996749999999999</v>
      </c>
      <c r="R383" s="1" t="s">
        <v>34</v>
      </c>
      <c r="S383" s="1" t="s">
        <v>35</v>
      </c>
      <c r="T383" s="1" t="s">
        <v>36</v>
      </c>
      <c r="U383" s="1" t="s">
        <v>37</v>
      </c>
      <c r="V383" s="1" t="s">
        <v>116</v>
      </c>
      <c r="W383" s="1" t="s">
        <v>39</v>
      </c>
      <c r="X383" s="8">
        <f>+IFERROR(VLOOKUP(N383,[1]Hoja1!$B$2:$F$52,4,0)*P383,"")</f>
        <v>1.0080645161290323</v>
      </c>
      <c r="Y383" s="8" t="str">
        <f>+VLOOKUP(M383,[1]SKU!$B$3:$E$81,4,0)</f>
        <v>REGULAR</v>
      </c>
      <c r="Z383" s="8" t="str">
        <f t="shared" si="5"/>
        <v>FLEX</v>
      </c>
      <c r="AA383" s="8" t="str">
        <f>+VLOOKUP(I383,[1]SKU!$H$2:$I$97,2,0)</f>
        <v>PE07004</v>
      </c>
    </row>
    <row r="384" spans="1:27">
      <c r="A384" s="1" t="s">
        <v>42</v>
      </c>
      <c r="B384" s="2">
        <v>46295</v>
      </c>
      <c r="C384" s="1" t="s">
        <v>614</v>
      </c>
      <c r="D384" s="1" t="s">
        <v>43</v>
      </c>
      <c r="E384" s="1" t="s">
        <v>615</v>
      </c>
      <c r="F384" s="1" t="s">
        <v>616</v>
      </c>
      <c r="G384" s="1" t="s">
        <v>26</v>
      </c>
      <c r="H384" s="1" t="s">
        <v>27</v>
      </c>
      <c r="I384" s="1" t="s">
        <v>65</v>
      </c>
      <c r="J384" s="1" t="s">
        <v>28</v>
      </c>
      <c r="K384" s="1" t="s">
        <v>29</v>
      </c>
      <c r="L384" s="1" t="s">
        <v>30</v>
      </c>
      <c r="M384" s="1" t="s">
        <v>113</v>
      </c>
      <c r="N384" s="1" t="s">
        <v>114</v>
      </c>
      <c r="O384" s="1" t="s">
        <v>115</v>
      </c>
      <c r="P384" s="3">
        <v>1</v>
      </c>
      <c r="Q384" s="3">
        <v>9.9996749999999999</v>
      </c>
      <c r="R384" s="1" t="s">
        <v>34</v>
      </c>
      <c r="S384" s="1" t="s">
        <v>35</v>
      </c>
      <c r="T384" s="1" t="s">
        <v>36</v>
      </c>
      <c r="U384" s="1" t="s">
        <v>37</v>
      </c>
      <c r="V384" s="1" t="s">
        <v>116</v>
      </c>
      <c r="W384" s="1" t="s">
        <v>39</v>
      </c>
      <c r="X384" s="8">
        <f>+IFERROR(VLOOKUP(N384,[1]Hoja1!$B$2:$F$52,4,0)*P384,"")</f>
        <v>1.0080645161290323</v>
      </c>
      <c r="Y384" s="8" t="str">
        <f>+VLOOKUP(M384,[1]SKU!$B$3:$E$81,4,0)</f>
        <v>REGULAR</v>
      </c>
      <c r="Z384" s="8" t="str">
        <f t="shared" si="5"/>
        <v>BEES</v>
      </c>
      <c r="AA384" s="8" t="str">
        <f>+VLOOKUP(I384,[1]SKU!$H$2:$I$97,2,0)</f>
        <v>PE07003</v>
      </c>
    </row>
    <row r="385" spans="1:27">
      <c r="A385" s="1" t="s">
        <v>42</v>
      </c>
      <c r="B385" s="2">
        <v>46295</v>
      </c>
      <c r="C385" s="1" t="s">
        <v>430</v>
      </c>
      <c r="D385" s="1" t="s">
        <v>43</v>
      </c>
      <c r="E385" s="1" t="s">
        <v>431</v>
      </c>
      <c r="F385" s="1" t="s">
        <v>432</v>
      </c>
      <c r="G385" s="1" t="s">
        <v>26</v>
      </c>
      <c r="H385" s="1" t="s">
        <v>27</v>
      </c>
      <c r="I385" s="1" t="s">
        <v>180</v>
      </c>
      <c r="J385" s="1" t="s">
        <v>28</v>
      </c>
      <c r="K385" s="1" t="s">
        <v>29</v>
      </c>
      <c r="L385" s="1" t="s">
        <v>30</v>
      </c>
      <c r="M385" s="1" t="s">
        <v>113</v>
      </c>
      <c r="N385" s="1" t="s">
        <v>114</v>
      </c>
      <c r="O385" s="1" t="s">
        <v>115</v>
      </c>
      <c r="P385" s="3">
        <v>2</v>
      </c>
      <c r="Q385" s="3">
        <v>19.99935</v>
      </c>
      <c r="R385" s="1" t="s">
        <v>34</v>
      </c>
      <c r="S385" s="1" t="s">
        <v>35</v>
      </c>
      <c r="T385" s="1" t="s">
        <v>36</v>
      </c>
      <c r="U385" s="1" t="s">
        <v>37</v>
      </c>
      <c r="V385" s="1" t="s">
        <v>116</v>
      </c>
      <c r="W385" s="1" t="s">
        <v>39</v>
      </c>
      <c r="X385" s="8">
        <f>+IFERROR(VLOOKUP(N385,[1]Hoja1!$B$2:$F$52,4,0)*P385,"")</f>
        <v>2.0161290322580645</v>
      </c>
      <c r="Y385" s="8" t="str">
        <f>+VLOOKUP(M385,[1]SKU!$B$3:$E$81,4,0)</f>
        <v>REGULAR</v>
      </c>
      <c r="Z385" s="8" t="str">
        <f t="shared" si="5"/>
        <v>BEES</v>
      </c>
      <c r="AA385" s="8" t="str">
        <f>+VLOOKUP(I385,[1]SKU!$H$2:$I$97,2,0)</f>
        <v>PE07002</v>
      </c>
    </row>
    <row r="386" spans="1:27">
      <c r="A386" s="1" t="s">
        <v>42</v>
      </c>
      <c r="B386" s="2">
        <v>46295</v>
      </c>
      <c r="C386" s="1" t="s">
        <v>617</v>
      </c>
      <c r="D386" s="1" t="s">
        <v>43</v>
      </c>
      <c r="E386" s="1" t="s">
        <v>70</v>
      </c>
      <c r="F386" s="1" t="s">
        <v>71</v>
      </c>
      <c r="G386" s="1" t="s">
        <v>26</v>
      </c>
      <c r="H386" s="1" t="s">
        <v>27</v>
      </c>
      <c r="I386" s="1" t="s">
        <v>72</v>
      </c>
      <c r="J386" s="1" t="s">
        <v>28</v>
      </c>
      <c r="K386" s="1" t="s">
        <v>29</v>
      </c>
      <c r="L386" s="1" t="s">
        <v>30</v>
      </c>
      <c r="M386" s="1" t="s">
        <v>113</v>
      </c>
      <c r="N386" s="1" t="s">
        <v>114</v>
      </c>
      <c r="O386" s="1" t="s">
        <v>115</v>
      </c>
      <c r="P386" s="3">
        <v>2</v>
      </c>
      <c r="Q386" s="3">
        <v>19.99935</v>
      </c>
      <c r="R386" s="1" t="s">
        <v>34</v>
      </c>
      <c r="S386" s="1" t="s">
        <v>35</v>
      </c>
      <c r="T386" s="1" t="s">
        <v>36</v>
      </c>
      <c r="U386" s="1" t="s">
        <v>37</v>
      </c>
      <c r="V386" s="1" t="s">
        <v>116</v>
      </c>
      <c r="W386" s="1" t="s">
        <v>39</v>
      </c>
      <c r="X386" s="8">
        <f>+IFERROR(VLOOKUP(N386,[1]Hoja1!$B$2:$F$52,4,0)*P386,"")</f>
        <v>2.0161290322580645</v>
      </c>
      <c r="Y386" s="8" t="str">
        <f>+VLOOKUP(M386,[1]SKU!$B$3:$E$81,4,0)</f>
        <v>REGULAR</v>
      </c>
      <c r="Z386" s="8" t="str">
        <f t="shared" si="5"/>
        <v>BEES</v>
      </c>
      <c r="AA386" s="8" t="str">
        <f>+VLOOKUP(I386,[1]SKU!$H$2:$I$97,2,0)</f>
        <v>PE07001</v>
      </c>
    </row>
    <row r="387" spans="1:27">
      <c r="A387" s="1" t="s">
        <v>44</v>
      </c>
      <c r="B387" s="2">
        <v>46295</v>
      </c>
      <c r="C387" s="1" t="s">
        <v>464</v>
      </c>
      <c r="D387" s="1" t="s">
        <v>45</v>
      </c>
      <c r="E387" s="1" t="s">
        <v>465</v>
      </c>
      <c r="F387" s="1" t="s">
        <v>466</v>
      </c>
      <c r="G387" s="1" t="s">
        <v>26</v>
      </c>
      <c r="H387" s="1" t="s">
        <v>46</v>
      </c>
      <c r="I387" s="1" t="s">
        <v>297</v>
      </c>
      <c r="J387" s="1" t="s">
        <v>47</v>
      </c>
      <c r="K387" s="1" t="s">
        <v>48</v>
      </c>
      <c r="L387" s="1" t="s">
        <v>30</v>
      </c>
      <c r="M387" s="1" t="s">
        <v>113</v>
      </c>
      <c r="N387" s="1" t="s">
        <v>114</v>
      </c>
      <c r="O387" s="1" t="s">
        <v>115</v>
      </c>
      <c r="P387" s="3">
        <v>4</v>
      </c>
      <c r="Q387" s="3">
        <v>39.214700000000001</v>
      </c>
      <c r="R387" s="1" t="s">
        <v>34</v>
      </c>
      <c r="S387" s="1" t="s">
        <v>35</v>
      </c>
      <c r="T387" s="1" t="s">
        <v>36</v>
      </c>
      <c r="U387" s="1" t="s">
        <v>37</v>
      </c>
      <c r="V387" s="1" t="s">
        <v>116</v>
      </c>
      <c r="W387" s="1" t="s">
        <v>39</v>
      </c>
      <c r="X387" s="8">
        <f>+IFERROR(VLOOKUP(N387,[1]Hoja1!$B$2:$F$52,4,0)*P387,"")</f>
        <v>4.032258064516129</v>
      </c>
      <c r="Y387" s="8" t="str">
        <f>+VLOOKUP(M387,[1]SKU!$B$3:$E$81,4,0)</f>
        <v>REGULAR</v>
      </c>
      <c r="Z387" s="8" t="str">
        <f t="shared" ref="Z387:Z450" si="6">+IF(J387="VB01                          ","BEES","FLEX")</f>
        <v>FLEX</v>
      </c>
      <c r="AA387" s="8" t="str">
        <f>+VLOOKUP(I387,[1]SKU!$H$2:$I$97,2,0)</f>
        <v>PE07004</v>
      </c>
    </row>
    <row r="388" spans="1:27">
      <c r="A388" s="1" t="s">
        <v>40</v>
      </c>
      <c r="B388" s="2">
        <v>46295</v>
      </c>
      <c r="C388" s="1" t="s">
        <v>536</v>
      </c>
      <c r="D388" s="1" t="s">
        <v>41</v>
      </c>
      <c r="E388" s="1" t="s">
        <v>537</v>
      </c>
      <c r="F388" s="1" t="s">
        <v>538</v>
      </c>
      <c r="G388" s="1" t="s">
        <v>26</v>
      </c>
      <c r="H388" s="1" t="s">
        <v>27</v>
      </c>
      <c r="I388" s="1" t="s">
        <v>539</v>
      </c>
      <c r="J388" s="1" t="s">
        <v>28</v>
      </c>
      <c r="K388" s="1" t="s">
        <v>29</v>
      </c>
      <c r="L388" s="1" t="s">
        <v>30</v>
      </c>
      <c r="M388" s="1" t="s">
        <v>113</v>
      </c>
      <c r="N388" s="1" t="s">
        <v>114</v>
      </c>
      <c r="O388" s="1" t="s">
        <v>115</v>
      </c>
      <c r="P388" s="3">
        <v>1</v>
      </c>
      <c r="Q388" s="3">
        <v>0</v>
      </c>
      <c r="R388" s="1" t="s">
        <v>77</v>
      </c>
      <c r="S388" s="1" t="s">
        <v>35</v>
      </c>
      <c r="T388" s="1" t="s">
        <v>36</v>
      </c>
      <c r="U388" s="1" t="s">
        <v>37</v>
      </c>
      <c r="V388" s="1" t="s">
        <v>116</v>
      </c>
      <c r="W388" s="1" t="s">
        <v>39</v>
      </c>
      <c r="X388" s="8">
        <f>+IFERROR(VLOOKUP(N388,[1]Hoja1!$B$2:$F$52,4,0)*P388,"")</f>
        <v>1.0080645161290323</v>
      </c>
      <c r="Y388" s="8" t="str">
        <f>+VLOOKUP(M388,[1]SKU!$B$3:$E$81,4,0)</f>
        <v>REGULAR</v>
      </c>
      <c r="Z388" s="8" t="str">
        <f t="shared" si="6"/>
        <v>BEES</v>
      </c>
      <c r="AA388" s="8" t="str">
        <f>+VLOOKUP(I388,[1]SKU!$H$2:$I$97,2,0)</f>
        <v>PE07009</v>
      </c>
    </row>
    <row r="389" spans="1:27">
      <c r="A389" s="1" t="s">
        <v>42</v>
      </c>
      <c r="B389" s="2">
        <v>46295</v>
      </c>
      <c r="C389" s="1" t="s">
        <v>546</v>
      </c>
      <c r="D389" s="1" t="s">
        <v>43</v>
      </c>
      <c r="E389" s="1" t="s">
        <v>119</v>
      </c>
      <c r="F389" s="1" t="s">
        <v>120</v>
      </c>
      <c r="G389" s="1" t="s">
        <v>26</v>
      </c>
      <c r="H389" s="1" t="s">
        <v>27</v>
      </c>
      <c r="I389" s="1" t="s">
        <v>72</v>
      </c>
      <c r="J389" s="1" t="s">
        <v>28</v>
      </c>
      <c r="K389" s="1" t="s">
        <v>29</v>
      </c>
      <c r="L389" s="1" t="s">
        <v>30</v>
      </c>
      <c r="M389" s="1" t="s">
        <v>90</v>
      </c>
      <c r="N389" s="1" t="s">
        <v>91</v>
      </c>
      <c r="O389" s="1" t="s">
        <v>61</v>
      </c>
      <c r="P389" s="3">
        <v>5</v>
      </c>
      <c r="Q389" s="3">
        <v>122.60690099999999</v>
      </c>
      <c r="R389" s="1" t="s">
        <v>34</v>
      </c>
      <c r="S389" s="1" t="s">
        <v>35</v>
      </c>
      <c r="T389" s="1" t="s">
        <v>36</v>
      </c>
      <c r="U389" s="1" t="s">
        <v>37</v>
      </c>
      <c r="V389" s="1" t="s">
        <v>38</v>
      </c>
      <c r="W389" s="1" t="s">
        <v>39</v>
      </c>
      <c r="X389" s="8">
        <f>+IFERROR(VLOOKUP(N389,[1]Hoja1!$B$2:$F$52,4,0)*P389,"")</f>
        <v>1.431451612903226</v>
      </c>
      <c r="Y389" s="8" t="str">
        <f>+VLOOKUP(M389,[1]SKU!$B$3:$E$81,4,0)</f>
        <v>LATAS</v>
      </c>
      <c r="Z389" s="8" t="str">
        <f t="shared" si="6"/>
        <v>BEES</v>
      </c>
      <c r="AA389" s="8" t="str">
        <f>+VLOOKUP(I389,[1]SKU!$H$2:$I$97,2,0)</f>
        <v>PE07001</v>
      </c>
    </row>
    <row r="390" spans="1:27">
      <c r="A390" s="1" t="s">
        <v>44</v>
      </c>
      <c r="B390" s="2">
        <v>46295</v>
      </c>
      <c r="C390" s="1" t="s">
        <v>333</v>
      </c>
      <c r="D390" s="1" t="s">
        <v>58</v>
      </c>
      <c r="E390" s="1" t="s">
        <v>334</v>
      </c>
      <c r="F390" s="1" t="s">
        <v>335</v>
      </c>
      <c r="G390" s="1" t="s">
        <v>26</v>
      </c>
      <c r="H390" s="1" t="s">
        <v>27</v>
      </c>
      <c r="I390" s="1" t="s">
        <v>297</v>
      </c>
      <c r="J390" s="1" t="s">
        <v>28</v>
      </c>
      <c r="K390" s="1" t="s">
        <v>29</v>
      </c>
      <c r="L390" s="1" t="s">
        <v>30</v>
      </c>
      <c r="M390" s="1" t="s">
        <v>103</v>
      </c>
      <c r="N390" s="1" t="s">
        <v>104</v>
      </c>
      <c r="O390" s="1" t="s">
        <v>68</v>
      </c>
      <c r="P390" s="3">
        <v>1</v>
      </c>
      <c r="Q390" s="3">
        <v>0</v>
      </c>
      <c r="R390" s="1" t="s">
        <v>77</v>
      </c>
      <c r="S390" s="1" t="s">
        <v>35</v>
      </c>
      <c r="T390" s="1" t="s">
        <v>36</v>
      </c>
      <c r="U390" s="1" t="s">
        <v>37</v>
      </c>
      <c r="V390" s="1" t="s">
        <v>85</v>
      </c>
      <c r="W390" s="1" t="s">
        <v>39</v>
      </c>
      <c r="X390" s="8" t="str">
        <f>+IFERROR(VLOOKUP(N390,[1]Hoja1!$B$2:$F$52,4,0)*P390,"")</f>
        <v/>
      </c>
      <c r="Y390" s="8" t="e">
        <f>+VLOOKUP(M390,[1]SKU!$B$3:$E$81,4,0)</f>
        <v>#N/A</v>
      </c>
      <c r="Z390" s="8" t="str">
        <f t="shared" si="6"/>
        <v>BEES</v>
      </c>
      <c r="AA390" s="8" t="str">
        <f>+VLOOKUP(I390,[1]SKU!$H$2:$I$97,2,0)</f>
        <v>PE07004</v>
      </c>
    </row>
    <row r="391" spans="1:27">
      <c r="A391" s="1" t="s">
        <v>42</v>
      </c>
      <c r="B391" s="2">
        <v>46295</v>
      </c>
      <c r="C391" s="1" t="s">
        <v>540</v>
      </c>
      <c r="D391" s="1" t="s">
        <v>43</v>
      </c>
      <c r="E391" s="1" t="s">
        <v>541</v>
      </c>
      <c r="F391" s="1" t="s">
        <v>542</v>
      </c>
      <c r="G391" s="1" t="s">
        <v>26</v>
      </c>
      <c r="H391" s="1" t="s">
        <v>27</v>
      </c>
      <c r="I391" s="1" t="s">
        <v>180</v>
      </c>
      <c r="J391" s="1" t="s">
        <v>28</v>
      </c>
      <c r="K391" s="1" t="s">
        <v>29</v>
      </c>
      <c r="L391" s="1" t="s">
        <v>30</v>
      </c>
      <c r="M391" s="1" t="s">
        <v>103</v>
      </c>
      <c r="N391" s="1" t="s">
        <v>104</v>
      </c>
      <c r="O391" s="1" t="s">
        <v>68</v>
      </c>
      <c r="P391" s="3">
        <v>1</v>
      </c>
      <c r="Q391" s="3">
        <v>0</v>
      </c>
      <c r="R391" s="1" t="s">
        <v>77</v>
      </c>
      <c r="S391" s="1" t="s">
        <v>35</v>
      </c>
      <c r="T391" s="1" t="s">
        <v>36</v>
      </c>
      <c r="U391" s="1" t="s">
        <v>37</v>
      </c>
      <c r="V391" s="1" t="s">
        <v>85</v>
      </c>
      <c r="W391" s="1" t="s">
        <v>39</v>
      </c>
      <c r="X391" s="8" t="str">
        <f>+IFERROR(VLOOKUP(N391,[1]Hoja1!$B$2:$F$52,4,0)*P391,"")</f>
        <v/>
      </c>
      <c r="Y391" s="8" t="e">
        <f>+VLOOKUP(M391,[1]SKU!$B$3:$E$81,4,0)</f>
        <v>#N/A</v>
      </c>
      <c r="Z391" s="8" t="str">
        <f t="shared" si="6"/>
        <v>BEES</v>
      </c>
      <c r="AA391" s="8" t="str">
        <f>+VLOOKUP(I391,[1]SKU!$H$2:$I$97,2,0)</f>
        <v>PE07002</v>
      </c>
    </row>
    <row r="392" spans="1:27">
      <c r="A392" s="1" t="s">
        <v>24</v>
      </c>
      <c r="B392" s="2">
        <v>46295</v>
      </c>
      <c r="C392" s="1" t="s">
        <v>551</v>
      </c>
      <c r="D392" s="1" t="s">
        <v>25</v>
      </c>
      <c r="E392" s="1" t="s">
        <v>552</v>
      </c>
      <c r="F392" s="1" t="s">
        <v>553</v>
      </c>
      <c r="G392" s="1" t="s">
        <v>26</v>
      </c>
      <c r="H392" s="1" t="s">
        <v>27</v>
      </c>
      <c r="I392" s="1" t="s">
        <v>53</v>
      </c>
      <c r="J392" s="1" t="s">
        <v>28</v>
      </c>
      <c r="K392" s="1" t="s">
        <v>29</v>
      </c>
      <c r="L392" s="1" t="s">
        <v>30</v>
      </c>
      <c r="M392" s="1" t="s">
        <v>103</v>
      </c>
      <c r="N392" s="1" t="s">
        <v>104</v>
      </c>
      <c r="O392" s="1" t="s">
        <v>68</v>
      </c>
      <c r="P392" s="3">
        <v>1</v>
      </c>
      <c r="Q392" s="3">
        <v>0</v>
      </c>
      <c r="R392" s="1" t="s">
        <v>77</v>
      </c>
      <c r="S392" s="1" t="s">
        <v>35</v>
      </c>
      <c r="T392" s="1" t="s">
        <v>36</v>
      </c>
      <c r="U392" s="1" t="s">
        <v>37</v>
      </c>
      <c r="V392" s="1" t="s">
        <v>85</v>
      </c>
      <c r="W392" s="1" t="s">
        <v>39</v>
      </c>
      <c r="X392" s="8" t="str">
        <f>+IFERROR(VLOOKUP(N392,[1]Hoja1!$B$2:$F$52,4,0)*P392,"")</f>
        <v/>
      </c>
      <c r="Y392" s="8" t="e">
        <f>+VLOOKUP(M392,[1]SKU!$B$3:$E$81,4,0)</f>
        <v>#N/A</v>
      </c>
      <c r="Z392" s="8" t="str">
        <f t="shared" si="6"/>
        <v>BEES</v>
      </c>
      <c r="AA392" s="8" t="str">
        <f>+VLOOKUP(I392,[1]SKU!$H$2:$I$97,2,0)</f>
        <v>PE07010</v>
      </c>
    </row>
    <row r="393" spans="1:27">
      <c r="A393" s="1" t="s">
        <v>24</v>
      </c>
      <c r="B393" s="2">
        <v>46295</v>
      </c>
      <c r="C393" s="1" t="s">
        <v>242</v>
      </c>
      <c r="D393" s="1" t="s">
        <v>25</v>
      </c>
      <c r="E393" s="1" t="s">
        <v>243</v>
      </c>
      <c r="F393" s="1" t="s">
        <v>244</v>
      </c>
      <c r="G393" s="1" t="s">
        <v>26</v>
      </c>
      <c r="H393" s="1" t="s">
        <v>27</v>
      </c>
      <c r="I393" s="1" t="s">
        <v>53</v>
      </c>
      <c r="J393" s="1" t="s">
        <v>28</v>
      </c>
      <c r="K393" s="1" t="s">
        <v>29</v>
      </c>
      <c r="L393" s="1" t="s">
        <v>30</v>
      </c>
      <c r="M393" s="1" t="s">
        <v>103</v>
      </c>
      <c r="N393" s="1" t="s">
        <v>104</v>
      </c>
      <c r="O393" s="1" t="s">
        <v>68</v>
      </c>
      <c r="P393" s="3">
        <v>1</v>
      </c>
      <c r="Q393" s="3">
        <v>5.9599989999999998</v>
      </c>
      <c r="R393" s="1" t="s">
        <v>34</v>
      </c>
      <c r="S393" s="1" t="s">
        <v>35</v>
      </c>
      <c r="T393" s="1" t="s">
        <v>36</v>
      </c>
      <c r="U393" s="1" t="s">
        <v>37</v>
      </c>
      <c r="V393" s="1" t="s">
        <v>85</v>
      </c>
      <c r="W393" s="1" t="s">
        <v>39</v>
      </c>
      <c r="X393" s="8" t="str">
        <f>+IFERROR(VLOOKUP(N393,[1]Hoja1!$B$2:$F$52,4,0)*P393,"")</f>
        <v/>
      </c>
      <c r="Y393" s="8" t="e">
        <f>+VLOOKUP(M393,[1]SKU!$B$3:$E$81,4,0)</f>
        <v>#N/A</v>
      </c>
      <c r="Z393" s="8" t="str">
        <f t="shared" si="6"/>
        <v>BEES</v>
      </c>
      <c r="AA393" s="8" t="str">
        <f>+VLOOKUP(I393,[1]SKU!$H$2:$I$97,2,0)</f>
        <v>PE07010</v>
      </c>
    </row>
    <row r="394" spans="1:27">
      <c r="A394" s="1" t="s">
        <v>24</v>
      </c>
      <c r="B394" s="2">
        <v>46295</v>
      </c>
      <c r="C394" s="1" t="s">
        <v>449</v>
      </c>
      <c r="D394" s="1" t="s">
        <v>25</v>
      </c>
      <c r="E394" s="1" t="s">
        <v>450</v>
      </c>
      <c r="F394" s="1" t="s">
        <v>451</v>
      </c>
      <c r="G394" s="1" t="s">
        <v>26</v>
      </c>
      <c r="H394" s="1" t="s">
        <v>27</v>
      </c>
      <c r="I394" s="1" t="s">
        <v>64</v>
      </c>
      <c r="J394" s="1" t="s">
        <v>28</v>
      </c>
      <c r="K394" s="1" t="s">
        <v>29</v>
      </c>
      <c r="L394" s="1" t="s">
        <v>30</v>
      </c>
      <c r="M394" s="1" t="s">
        <v>193</v>
      </c>
      <c r="N394" s="1" t="s">
        <v>194</v>
      </c>
      <c r="O394" s="1" t="s">
        <v>195</v>
      </c>
      <c r="P394" s="3">
        <v>1</v>
      </c>
      <c r="Q394" s="3">
        <v>23.458100999999999</v>
      </c>
      <c r="R394" s="1" t="s">
        <v>34</v>
      </c>
      <c r="S394" s="1" t="s">
        <v>35</v>
      </c>
      <c r="T394" s="1" t="s">
        <v>36</v>
      </c>
      <c r="U394" s="1" t="s">
        <v>37</v>
      </c>
      <c r="V394" s="1" t="s">
        <v>85</v>
      </c>
      <c r="W394" s="1" t="s">
        <v>39</v>
      </c>
      <c r="X394" s="8" t="str">
        <f>+IFERROR(VLOOKUP(N394,[1]Hoja1!$B$2:$F$52,4,0)*P394,"")</f>
        <v/>
      </c>
      <c r="Y394" s="8" t="e">
        <f>+VLOOKUP(M394,[1]SKU!$B$3:$E$81,4,0)</f>
        <v>#N/A</v>
      </c>
      <c r="Z394" s="8" t="str">
        <f t="shared" si="6"/>
        <v>BEES</v>
      </c>
      <c r="AA394" s="8" t="str">
        <f>+VLOOKUP(I394,[1]SKU!$H$2:$I$97,2,0)</f>
        <v>PE07012</v>
      </c>
    </row>
    <row r="395" spans="1:27">
      <c r="A395" s="1" t="s">
        <v>40</v>
      </c>
      <c r="B395" s="2">
        <v>46295</v>
      </c>
      <c r="C395" s="1" t="s">
        <v>377</v>
      </c>
      <c r="D395" s="1" t="s">
        <v>41</v>
      </c>
      <c r="E395" s="1" t="s">
        <v>378</v>
      </c>
      <c r="F395" s="1" t="s">
        <v>379</v>
      </c>
      <c r="G395" s="1" t="s">
        <v>26</v>
      </c>
      <c r="H395" s="1" t="s">
        <v>27</v>
      </c>
      <c r="I395" s="1" t="s">
        <v>132</v>
      </c>
      <c r="J395" s="1" t="s">
        <v>28</v>
      </c>
      <c r="K395" s="1" t="s">
        <v>29</v>
      </c>
      <c r="L395" s="1" t="s">
        <v>30</v>
      </c>
      <c r="M395" s="1" t="s">
        <v>193</v>
      </c>
      <c r="N395" s="1" t="s">
        <v>194</v>
      </c>
      <c r="O395" s="1" t="s">
        <v>195</v>
      </c>
      <c r="P395" s="3">
        <v>1</v>
      </c>
      <c r="Q395" s="3">
        <v>23.458100999999999</v>
      </c>
      <c r="R395" s="1" t="s">
        <v>34</v>
      </c>
      <c r="S395" s="1" t="s">
        <v>35</v>
      </c>
      <c r="T395" s="1" t="s">
        <v>36</v>
      </c>
      <c r="U395" s="1" t="s">
        <v>37</v>
      </c>
      <c r="V395" s="1" t="s">
        <v>85</v>
      </c>
      <c r="W395" s="1" t="s">
        <v>39</v>
      </c>
      <c r="X395" s="8" t="str">
        <f>+IFERROR(VLOOKUP(N395,[1]Hoja1!$B$2:$F$52,4,0)*P395,"")</f>
        <v/>
      </c>
      <c r="Y395" s="8" t="e">
        <f>+VLOOKUP(M395,[1]SKU!$B$3:$E$81,4,0)</f>
        <v>#N/A</v>
      </c>
      <c r="Z395" s="8" t="str">
        <f t="shared" si="6"/>
        <v>BEES</v>
      </c>
      <c r="AA395" s="8" t="str">
        <f>+VLOOKUP(I395,[1]SKU!$H$2:$I$97,2,0)</f>
        <v>PE07009</v>
      </c>
    </row>
    <row r="396" spans="1:27">
      <c r="A396" s="1" t="s">
        <v>42</v>
      </c>
      <c r="B396" s="2">
        <v>46295</v>
      </c>
      <c r="C396" s="1" t="s">
        <v>276</v>
      </c>
      <c r="D396" s="1" t="s">
        <v>43</v>
      </c>
      <c r="E396" s="1" t="s">
        <v>277</v>
      </c>
      <c r="F396" s="1" t="s">
        <v>278</v>
      </c>
      <c r="G396" s="1" t="s">
        <v>26</v>
      </c>
      <c r="H396" s="1" t="s">
        <v>27</v>
      </c>
      <c r="I396" s="1" t="s">
        <v>180</v>
      </c>
      <c r="J396" s="1" t="s">
        <v>28</v>
      </c>
      <c r="K396" s="1" t="s">
        <v>29</v>
      </c>
      <c r="L396" s="1" t="s">
        <v>30</v>
      </c>
      <c r="M396" s="1" t="s">
        <v>135</v>
      </c>
      <c r="N396" s="1" t="s">
        <v>136</v>
      </c>
      <c r="O396" s="1" t="s">
        <v>61</v>
      </c>
      <c r="P396" s="3">
        <v>2</v>
      </c>
      <c r="Q396" s="3">
        <v>67.260000000000005</v>
      </c>
      <c r="R396" s="1" t="s">
        <v>34</v>
      </c>
      <c r="S396" s="1" t="s">
        <v>35</v>
      </c>
      <c r="T396" s="1" t="s">
        <v>36</v>
      </c>
      <c r="U396" s="1" t="s">
        <v>37</v>
      </c>
      <c r="V396" s="1" t="s">
        <v>38</v>
      </c>
      <c r="W396" s="1" t="s">
        <v>39</v>
      </c>
      <c r="X396" s="8">
        <f>+IFERROR(VLOOKUP(N396,[1]Hoja1!$B$2:$F$52,4,0)*P396,"")</f>
        <v>0.76290322580645153</v>
      </c>
      <c r="Y396" s="8" t="str">
        <f>+VLOOKUP(M396,[1]SKU!$B$3:$E$81,4,0)</f>
        <v>LATAS</v>
      </c>
      <c r="Z396" s="8" t="str">
        <f t="shared" si="6"/>
        <v>BEES</v>
      </c>
      <c r="AA396" s="8" t="str">
        <f>+VLOOKUP(I396,[1]SKU!$H$2:$I$97,2,0)</f>
        <v>PE07002</v>
      </c>
    </row>
    <row r="397" spans="1:27">
      <c r="A397" s="1" t="s">
        <v>42</v>
      </c>
      <c r="B397" s="2">
        <v>46295</v>
      </c>
      <c r="C397" s="1" t="s">
        <v>471</v>
      </c>
      <c r="D397" s="1" t="s">
        <v>43</v>
      </c>
      <c r="E397" s="1" t="s">
        <v>472</v>
      </c>
      <c r="F397" s="1" t="s">
        <v>473</v>
      </c>
      <c r="G397" s="1" t="s">
        <v>26</v>
      </c>
      <c r="H397" s="1" t="s">
        <v>27</v>
      </c>
      <c r="I397" s="1" t="s">
        <v>267</v>
      </c>
      <c r="J397" s="1" t="s">
        <v>28</v>
      </c>
      <c r="K397" s="1" t="s">
        <v>29</v>
      </c>
      <c r="L397" s="1" t="s">
        <v>30</v>
      </c>
      <c r="M397" s="1" t="s">
        <v>135</v>
      </c>
      <c r="N397" s="1" t="s">
        <v>136</v>
      </c>
      <c r="O397" s="1" t="s">
        <v>61</v>
      </c>
      <c r="P397" s="3">
        <v>1</v>
      </c>
      <c r="Q397" s="3">
        <v>30.852941000000001</v>
      </c>
      <c r="R397" s="1" t="s">
        <v>34</v>
      </c>
      <c r="S397" s="1" t="s">
        <v>35</v>
      </c>
      <c r="T397" s="1" t="s">
        <v>36</v>
      </c>
      <c r="U397" s="1" t="s">
        <v>37</v>
      </c>
      <c r="V397" s="1" t="s">
        <v>38</v>
      </c>
      <c r="W397" s="1" t="s">
        <v>39</v>
      </c>
      <c r="X397" s="8">
        <f>+IFERROR(VLOOKUP(N397,[1]Hoja1!$B$2:$F$52,4,0)*P397,"")</f>
        <v>0.38145161290322577</v>
      </c>
      <c r="Y397" s="8" t="str">
        <f>+VLOOKUP(M397,[1]SKU!$B$3:$E$81,4,0)</f>
        <v>LATAS</v>
      </c>
      <c r="Z397" s="8" t="str">
        <f t="shared" si="6"/>
        <v>BEES</v>
      </c>
      <c r="AA397" s="8" t="str">
        <f>+VLOOKUP(I397,[1]SKU!$H$2:$I$97,2,0)</f>
        <v>PE07006</v>
      </c>
    </row>
    <row r="398" spans="1:27">
      <c r="A398" s="1" t="s">
        <v>40</v>
      </c>
      <c r="B398" s="2">
        <v>46295</v>
      </c>
      <c r="C398" s="1" t="s">
        <v>309</v>
      </c>
      <c r="D398" s="1" t="s">
        <v>41</v>
      </c>
      <c r="E398" s="1" t="s">
        <v>310</v>
      </c>
      <c r="F398" s="1" t="s">
        <v>311</v>
      </c>
      <c r="G398" s="1" t="s">
        <v>26</v>
      </c>
      <c r="H398" s="1" t="s">
        <v>27</v>
      </c>
      <c r="I398" s="1" t="s">
        <v>132</v>
      </c>
      <c r="J398" s="1" t="s">
        <v>28</v>
      </c>
      <c r="K398" s="1" t="s">
        <v>29</v>
      </c>
      <c r="L398" s="1" t="s">
        <v>30</v>
      </c>
      <c r="M398" s="1" t="s">
        <v>135</v>
      </c>
      <c r="N398" s="1" t="s">
        <v>136</v>
      </c>
      <c r="O398" s="1" t="s">
        <v>61</v>
      </c>
      <c r="P398" s="3">
        <v>1</v>
      </c>
      <c r="Q398" s="3">
        <v>29.627451000000001</v>
      </c>
      <c r="R398" s="1" t="s">
        <v>34</v>
      </c>
      <c r="S398" s="1" t="s">
        <v>35</v>
      </c>
      <c r="T398" s="1" t="s">
        <v>36</v>
      </c>
      <c r="U398" s="1" t="s">
        <v>37</v>
      </c>
      <c r="V398" s="1" t="s">
        <v>38</v>
      </c>
      <c r="W398" s="1" t="s">
        <v>39</v>
      </c>
      <c r="X398" s="8">
        <f>+IFERROR(VLOOKUP(N398,[1]Hoja1!$B$2:$F$52,4,0)*P398,"")</f>
        <v>0.38145161290322577</v>
      </c>
      <c r="Y398" s="8" t="str">
        <f>+VLOOKUP(M398,[1]SKU!$B$3:$E$81,4,0)</f>
        <v>LATAS</v>
      </c>
      <c r="Z398" s="8" t="str">
        <f t="shared" si="6"/>
        <v>BEES</v>
      </c>
      <c r="AA398" s="8" t="str">
        <f>+VLOOKUP(I398,[1]SKU!$H$2:$I$97,2,0)</f>
        <v>PE07009</v>
      </c>
    </row>
    <row r="399" spans="1:27">
      <c r="A399" s="1" t="s">
        <v>42</v>
      </c>
      <c r="B399" s="2">
        <v>46295</v>
      </c>
      <c r="C399" s="1" t="s">
        <v>413</v>
      </c>
      <c r="D399" s="1" t="s">
        <v>43</v>
      </c>
      <c r="E399" s="1" t="s">
        <v>414</v>
      </c>
      <c r="F399" s="1" t="s">
        <v>415</v>
      </c>
      <c r="G399" s="1" t="s">
        <v>26</v>
      </c>
      <c r="H399" s="1" t="s">
        <v>27</v>
      </c>
      <c r="I399" s="1" t="s">
        <v>267</v>
      </c>
      <c r="J399" s="1" t="s">
        <v>28</v>
      </c>
      <c r="K399" s="1" t="s">
        <v>29</v>
      </c>
      <c r="L399" s="1" t="s">
        <v>30</v>
      </c>
      <c r="M399" s="1" t="s">
        <v>198</v>
      </c>
      <c r="N399" s="1" t="s">
        <v>199</v>
      </c>
      <c r="O399" s="1" t="s">
        <v>33</v>
      </c>
      <c r="P399" s="3">
        <v>10</v>
      </c>
      <c r="Q399" s="3">
        <v>676</v>
      </c>
      <c r="R399" s="1" t="s">
        <v>34</v>
      </c>
      <c r="S399" s="1" t="s">
        <v>35</v>
      </c>
      <c r="T399" s="1" t="s">
        <v>36</v>
      </c>
      <c r="U399" s="1" t="s">
        <v>37</v>
      </c>
      <c r="V399" s="1" t="s">
        <v>38</v>
      </c>
      <c r="W399" s="1" t="s">
        <v>39</v>
      </c>
      <c r="X399" s="8" t="str">
        <f>+IFERROR(VLOOKUP(N399,[1]Hoja1!$B$2:$F$52,4,0)*P399,"")</f>
        <v/>
      </c>
      <c r="Y399" s="8" t="e">
        <f>+VLOOKUP(M399,[1]SKU!$B$3:$E$81,4,0)</f>
        <v>#N/A</v>
      </c>
      <c r="Z399" s="8" t="str">
        <f t="shared" si="6"/>
        <v>BEES</v>
      </c>
      <c r="AA399" s="8" t="str">
        <f>+VLOOKUP(I399,[1]SKU!$H$2:$I$97,2,0)</f>
        <v>PE07006</v>
      </c>
    </row>
    <row r="400" spans="1:27">
      <c r="A400" s="1" t="s">
        <v>42</v>
      </c>
      <c r="B400" s="2">
        <v>46295</v>
      </c>
      <c r="C400" s="1" t="s">
        <v>283</v>
      </c>
      <c r="D400" s="1" t="s">
        <v>43</v>
      </c>
      <c r="E400" s="1" t="s">
        <v>284</v>
      </c>
      <c r="F400" s="1" t="s">
        <v>285</v>
      </c>
      <c r="G400" s="1" t="s">
        <v>26</v>
      </c>
      <c r="H400" s="1" t="s">
        <v>27</v>
      </c>
      <c r="I400" s="1" t="s">
        <v>123</v>
      </c>
      <c r="J400" s="1" t="s">
        <v>28</v>
      </c>
      <c r="K400" s="1" t="s">
        <v>29</v>
      </c>
      <c r="L400" s="1" t="s">
        <v>30</v>
      </c>
      <c r="M400" s="1" t="s">
        <v>198</v>
      </c>
      <c r="N400" s="1" t="s">
        <v>199</v>
      </c>
      <c r="O400" s="1" t="s">
        <v>33</v>
      </c>
      <c r="P400" s="3">
        <v>5</v>
      </c>
      <c r="Q400" s="3">
        <v>338</v>
      </c>
      <c r="R400" s="1" t="s">
        <v>34</v>
      </c>
      <c r="S400" s="1" t="s">
        <v>35</v>
      </c>
      <c r="T400" s="1" t="s">
        <v>36</v>
      </c>
      <c r="U400" s="1" t="s">
        <v>37</v>
      </c>
      <c r="V400" s="1" t="s">
        <v>38</v>
      </c>
      <c r="W400" s="1" t="s">
        <v>39</v>
      </c>
      <c r="X400" s="8" t="str">
        <f>+IFERROR(VLOOKUP(N400,[1]Hoja1!$B$2:$F$52,4,0)*P400,"")</f>
        <v/>
      </c>
      <c r="Y400" s="8" t="e">
        <f>+VLOOKUP(M400,[1]SKU!$B$3:$E$81,4,0)</f>
        <v>#N/A</v>
      </c>
      <c r="Z400" s="8" t="str">
        <f t="shared" si="6"/>
        <v>BEES</v>
      </c>
      <c r="AA400" s="8" t="str">
        <f>+VLOOKUP(I400,[1]SKU!$H$2:$I$97,2,0)</f>
        <v>PE07003</v>
      </c>
    </row>
    <row r="401" spans="1:27">
      <c r="A401" s="1" t="s">
        <v>44</v>
      </c>
      <c r="B401" s="2">
        <v>46295</v>
      </c>
      <c r="C401" s="1" t="s">
        <v>380</v>
      </c>
      <c r="D401" s="1" t="s">
        <v>58</v>
      </c>
      <c r="E401" s="1" t="s">
        <v>381</v>
      </c>
      <c r="F401" s="1" t="s">
        <v>382</v>
      </c>
      <c r="G401" s="1" t="s">
        <v>26</v>
      </c>
      <c r="H401" s="1" t="s">
        <v>27</v>
      </c>
      <c r="I401" s="1" t="s">
        <v>297</v>
      </c>
      <c r="J401" s="1" t="s">
        <v>28</v>
      </c>
      <c r="K401" s="1" t="s">
        <v>29</v>
      </c>
      <c r="L401" s="1" t="s">
        <v>30</v>
      </c>
      <c r="M401" s="1" t="s">
        <v>73</v>
      </c>
      <c r="N401" s="1" t="s">
        <v>74</v>
      </c>
      <c r="O401" s="1" t="s">
        <v>33</v>
      </c>
      <c r="P401" s="3">
        <v>1</v>
      </c>
      <c r="Q401" s="3">
        <v>65.598038000000003</v>
      </c>
      <c r="R401" s="1" t="s">
        <v>34</v>
      </c>
      <c r="S401" s="1" t="s">
        <v>35</v>
      </c>
      <c r="T401" s="1" t="s">
        <v>36</v>
      </c>
      <c r="U401" s="1" t="s">
        <v>37</v>
      </c>
      <c r="V401" s="1" t="s">
        <v>38</v>
      </c>
      <c r="W401" s="1" t="s">
        <v>39</v>
      </c>
      <c r="X401" s="8">
        <f>+IFERROR(VLOOKUP(N401,[1]Hoja1!$B$2:$F$52,4,0)*P401,"")</f>
        <v>1.0483870967741935</v>
      </c>
      <c r="Y401" s="8" t="str">
        <f>+VLOOKUP(M401,[1]SKU!$B$3:$E$81,4,0)</f>
        <v>REGULAR</v>
      </c>
      <c r="Z401" s="8" t="str">
        <f t="shared" si="6"/>
        <v>BEES</v>
      </c>
      <c r="AA401" s="8" t="str">
        <f>+VLOOKUP(I401,[1]SKU!$H$2:$I$97,2,0)</f>
        <v>PE07004</v>
      </c>
    </row>
    <row r="402" spans="1:27">
      <c r="A402" s="1" t="s">
        <v>42</v>
      </c>
      <c r="B402" s="2">
        <v>46295</v>
      </c>
      <c r="C402" s="1" t="s">
        <v>519</v>
      </c>
      <c r="D402" s="1" t="s">
        <v>43</v>
      </c>
      <c r="E402" s="1" t="s">
        <v>520</v>
      </c>
      <c r="F402" s="1" t="s">
        <v>521</v>
      </c>
      <c r="G402" s="1" t="s">
        <v>26</v>
      </c>
      <c r="H402" s="1" t="s">
        <v>27</v>
      </c>
      <c r="I402" s="1" t="s">
        <v>72</v>
      </c>
      <c r="J402" s="1" t="s">
        <v>28</v>
      </c>
      <c r="K402" s="1" t="s">
        <v>29</v>
      </c>
      <c r="L402" s="1" t="s">
        <v>30</v>
      </c>
      <c r="M402" s="1" t="s">
        <v>73</v>
      </c>
      <c r="N402" s="1" t="s">
        <v>74</v>
      </c>
      <c r="O402" s="1" t="s">
        <v>33</v>
      </c>
      <c r="P402" s="3">
        <v>12</v>
      </c>
      <c r="Q402" s="3">
        <v>811.2</v>
      </c>
      <c r="R402" s="1" t="s">
        <v>34</v>
      </c>
      <c r="S402" s="1" t="s">
        <v>35</v>
      </c>
      <c r="T402" s="1" t="s">
        <v>36</v>
      </c>
      <c r="U402" s="1" t="s">
        <v>37</v>
      </c>
      <c r="V402" s="1" t="s">
        <v>38</v>
      </c>
      <c r="W402" s="1" t="s">
        <v>39</v>
      </c>
      <c r="X402" s="8">
        <f>+IFERROR(VLOOKUP(N402,[1]Hoja1!$B$2:$F$52,4,0)*P402,"")</f>
        <v>12.580645161290322</v>
      </c>
      <c r="Y402" s="8" t="str">
        <f>+VLOOKUP(M402,[1]SKU!$B$3:$E$81,4,0)</f>
        <v>REGULAR</v>
      </c>
      <c r="Z402" s="8" t="str">
        <f t="shared" si="6"/>
        <v>BEES</v>
      </c>
      <c r="AA402" s="8" t="str">
        <f>+VLOOKUP(I402,[1]SKU!$H$2:$I$97,2,0)</f>
        <v>PE07001</v>
      </c>
    </row>
    <row r="403" spans="1:27">
      <c r="A403" s="1" t="s">
        <v>44</v>
      </c>
      <c r="B403" s="2">
        <v>46295</v>
      </c>
      <c r="C403" s="1" t="s">
        <v>355</v>
      </c>
      <c r="D403" s="1" t="s">
        <v>58</v>
      </c>
      <c r="E403" s="1" t="s">
        <v>356</v>
      </c>
      <c r="F403" s="1" t="s">
        <v>357</v>
      </c>
      <c r="G403" s="1" t="s">
        <v>26</v>
      </c>
      <c r="H403" s="1" t="s">
        <v>27</v>
      </c>
      <c r="I403" s="1" t="s">
        <v>297</v>
      </c>
      <c r="J403" s="1" t="s">
        <v>28</v>
      </c>
      <c r="K403" s="1" t="s">
        <v>29</v>
      </c>
      <c r="L403" s="1" t="s">
        <v>30</v>
      </c>
      <c r="M403" s="1" t="s">
        <v>73</v>
      </c>
      <c r="N403" s="1" t="s">
        <v>74</v>
      </c>
      <c r="O403" s="1" t="s">
        <v>33</v>
      </c>
      <c r="P403" s="3">
        <v>5</v>
      </c>
      <c r="Q403" s="3">
        <v>338</v>
      </c>
      <c r="R403" s="1" t="s">
        <v>34</v>
      </c>
      <c r="S403" s="1" t="s">
        <v>35</v>
      </c>
      <c r="T403" s="1" t="s">
        <v>36</v>
      </c>
      <c r="U403" s="1" t="s">
        <v>37</v>
      </c>
      <c r="V403" s="1" t="s">
        <v>38</v>
      </c>
      <c r="W403" s="1" t="s">
        <v>39</v>
      </c>
      <c r="X403" s="8">
        <f>+IFERROR(VLOOKUP(N403,[1]Hoja1!$B$2:$F$52,4,0)*P403,"")</f>
        <v>5.241935483870968</v>
      </c>
      <c r="Y403" s="8" t="str">
        <f>+VLOOKUP(M403,[1]SKU!$B$3:$E$81,4,0)</f>
        <v>REGULAR</v>
      </c>
      <c r="Z403" s="8" t="str">
        <f t="shared" si="6"/>
        <v>BEES</v>
      </c>
      <c r="AA403" s="8" t="str">
        <f>+VLOOKUP(I403,[1]SKU!$H$2:$I$97,2,0)</f>
        <v>PE07004</v>
      </c>
    </row>
    <row r="404" spans="1:27">
      <c r="A404" s="1" t="s">
        <v>42</v>
      </c>
      <c r="B404" s="2">
        <v>46295</v>
      </c>
      <c r="C404" s="1" t="s">
        <v>578</v>
      </c>
      <c r="D404" s="1" t="s">
        <v>43</v>
      </c>
      <c r="E404" s="1" t="s">
        <v>579</v>
      </c>
      <c r="F404" s="1" t="s">
        <v>580</v>
      </c>
      <c r="G404" s="1" t="s">
        <v>26</v>
      </c>
      <c r="H404" s="1" t="s">
        <v>27</v>
      </c>
      <c r="I404" s="1" t="s">
        <v>65</v>
      </c>
      <c r="J404" s="1" t="s">
        <v>28</v>
      </c>
      <c r="K404" s="1" t="s">
        <v>29</v>
      </c>
      <c r="L404" s="1" t="s">
        <v>30</v>
      </c>
      <c r="M404" s="1" t="s">
        <v>73</v>
      </c>
      <c r="N404" s="1" t="s">
        <v>74</v>
      </c>
      <c r="O404" s="1" t="s">
        <v>33</v>
      </c>
      <c r="P404" s="3">
        <v>1</v>
      </c>
      <c r="Q404" s="3">
        <v>67.599999999999994</v>
      </c>
      <c r="R404" s="1" t="s">
        <v>34</v>
      </c>
      <c r="S404" s="1" t="s">
        <v>35</v>
      </c>
      <c r="T404" s="1" t="s">
        <v>36</v>
      </c>
      <c r="U404" s="1" t="s">
        <v>37</v>
      </c>
      <c r="V404" s="1" t="s">
        <v>38</v>
      </c>
      <c r="W404" s="1" t="s">
        <v>39</v>
      </c>
      <c r="X404" s="8">
        <f>+IFERROR(VLOOKUP(N404,[1]Hoja1!$B$2:$F$52,4,0)*P404,"")</f>
        <v>1.0483870967741935</v>
      </c>
      <c r="Y404" s="8" t="str">
        <f>+VLOOKUP(M404,[1]SKU!$B$3:$E$81,4,0)</f>
        <v>REGULAR</v>
      </c>
      <c r="Z404" s="8" t="str">
        <f t="shared" si="6"/>
        <v>BEES</v>
      </c>
      <c r="AA404" s="8" t="str">
        <f>+VLOOKUP(I404,[1]SKU!$H$2:$I$97,2,0)</f>
        <v>PE07003</v>
      </c>
    </row>
    <row r="405" spans="1:27">
      <c r="A405" s="1" t="s">
        <v>42</v>
      </c>
      <c r="B405" s="2">
        <v>46295</v>
      </c>
      <c r="C405" s="1" t="s">
        <v>543</v>
      </c>
      <c r="D405" s="1" t="s">
        <v>43</v>
      </c>
      <c r="E405" s="1" t="s">
        <v>544</v>
      </c>
      <c r="F405" s="1" t="s">
        <v>545</v>
      </c>
      <c r="G405" s="1" t="s">
        <v>26</v>
      </c>
      <c r="H405" s="1" t="s">
        <v>27</v>
      </c>
      <c r="I405" s="1" t="s">
        <v>65</v>
      </c>
      <c r="J405" s="1" t="s">
        <v>28</v>
      </c>
      <c r="K405" s="1" t="s">
        <v>29</v>
      </c>
      <c r="L405" s="1" t="s">
        <v>30</v>
      </c>
      <c r="M405" s="1" t="s">
        <v>73</v>
      </c>
      <c r="N405" s="1" t="s">
        <v>74</v>
      </c>
      <c r="O405" s="1" t="s">
        <v>33</v>
      </c>
      <c r="P405" s="3">
        <v>3</v>
      </c>
      <c r="Q405" s="3">
        <v>202.8</v>
      </c>
      <c r="R405" s="1" t="s">
        <v>34</v>
      </c>
      <c r="S405" s="1" t="s">
        <v>35</v>
      </c>
      <c r="T405" s="1" t="s">
        <v>36</v>
      </c>
      <c r="U405" s="1" t="s">
        <v>37</v>
      </c>
      <c r="V405" s="1" t="s">
        <v>38</v>
      </c>
      <c r="W405" s="1" t="s">
        <v>39</v>
      </c>
      <c r="X405" s="8">
        <f>+IFERROR(VLOOKUP(N405,[1]Hoja1!$B$2:$F$52,4,0)*P405,"")</f>
        <v>3.1451612903225805</v>
      </c>
      <c r="Y405" s="8" t="str">
        <f>+VLOOKUP(M405,[1]SKU!$B$3:$E$81,4,0)</f>
        <v>REGULAR</v>
      </c>
      <c r="Z405" s="8" t="str">
        <f t="shared" si="6"/>
        <v>BEES</v>
      </c>
      <c r="AA405" s="8" t="str">
        <f>+VLOOKUP(I405,[1]SKU!$H$2:$I$97,2,0)</f>
        <v>PE07003</v>
      </c>
    </row>
    <row r="406" spans="1:27">
      <c r="A406" s="1" t="s">
        <v>42</v>
      </c>
      <c r="B406" s="2">
        <v>46295</v>
      </c>
      <c r="C406" s="1" t="s">
        <v>614</v>
      </c>
      <c r="D406" s="1" t="s">
        <v>43</v>
      </c>
      <c r="E406" s="1" t="s">
        <v>615</v>
      </c>
      <c r="F406" s="1" t="s">
        <v>616</v>
      </c>
      <c r="G406" s="1" t="s">
        <v>26</v>
      </c>
      <c r="H406" s="1" t="s">
        <v>27</v>
      </c>
      <c r="I406" s="1" t="s">
        <v>65</v>
      </c>
      <c r="J406" s="1" t="s">
        <v>28</v>
      </c>
      <c r="K406" s="1" t="s">
        <v>29</v>
      </c>
      <c r="L406" s="1" t="s">
        <v>30</v>
      </c>
      <c r="M406" s="1" t="s">
        <v>73</v>
      </c>
      <c r="N406" s="1" t="s">
        <v>74</v>
      </c>
      <c r="O406" s="1" t="s">
        <v>33</v>
      </c>
      <c r="P406" s="3">
        <v>5</v>
      </c>
      <c r="Q406" s="3">
        <v>338</v>
      </c>
      <c r="R406" s="1" t="s">
        <v>34</v>
      </c>
      <c r="S406" s="1" t="s">
        <v>35</v>
      </c>
      <c r="T406" s="1" t="s">
        <v>36</v>
      </c>
      <c r="U406" s="1" t="s">
        <v>37</v>
      </c>
      <c r="V406" s="1" t="s">
        <v>38</v>
      </c>
      <c r="W406" s="1" t="s">
        <v>39</v>
      </c>
      <c r="X406" s="8">
        <f>+IFERROR(VLOOKUP(N406,[1]Hoja1!$B$2:$F$52,4,0)*P406,"")</f>
        <v>5.241935483870968</v>
      </c>
      <c r="Y406" s="8" t="str">
        <f>+VLOOKUP(M406,[1]SKU!$B$3:$E$81,4,0)</f>
        <v>REGULAR</v>
      </c>
      <c r="Z406" s="8" t="str">
        <f t="shared" si="6"/>
        <v>BEES</v>
      </c>
      <c r="AA406" s="8" t="str">
        <f>+VLOOKUP(I406,[1]SKU!$H$2:$I$97,2,0)</f>
        <v>PE07003</v>
      </c>
    </row>
    <row r="407" spans="1:27">
      <c r="A407" s="1" t="s">
        <v>51</v>
      </c>
      <c r="B407" s="2">
        <v>46295</v>
      </c>
      <c r="C407" s="1" t="s">
        <v>235</v>
      </c>
      <c r="D407" s="1" t="s">
        <v>52</v>
      </c>
      <c r="E407" s="1" t="s">
        <v>236</v>
      </c>
      <c r="F407" s="1" t="s">
        <v>237</v>
      </c>
      <c r="G407" s="1" t="s">
        <v>26</v>
      </c>
      <c r="H407" s="1" t="s">
        <v>27</v>
      </c>
      <c r="I407" s="1" t="s">
        <v>238</v>
      </c>
      <c r="J407" s="1" t="s">
        <v>28</v>
      </c>
      <c r="K407" s="1" t="s">
        <v>29</v>
      </c>
      <c r="L407" s="1" t="s">
        <v>30</v>
      </c>
      <c r="M407" s="1" t="s">
        <v>217</v>
      </c>
      <c r="N407" s="1" t="s">
        <v>218</v>
      </c>
      <c r="O407" s="1" t="s">
        <v>61</v>
      </c>
      <c r="P407" s="3">
        <v>1</v>
      </c>
      <c r="Q407" s="3">
        <v>0</v>
      </c>
      <c r="R407" s="1" t="s">
        <v>77</v>
      </c>
      <c r="S407" s="1" t="s">
        <v>35</v>
      </c>
      <c r="T407" s="1" t="s">
        <v>36</v>
      </c>
      <c r="U407" s="1" t="s">
        <v>37</v>
      </c>
      <c r="V407" s="1" t="s">
        <v>38</v>
      </c>
      <c r="W407" s="1" t="s">
        <v>39</v>
      </c>
      <c r="X407" s="8" t="str">
        <f>+IFERROR(VLOOKUP(N407,[1]Hoja1!$B$2:$F$52,4,0)*P407,"")</f>
        <v/>
      </c>
      <c r="Y407" s="8" t="e">
        <f>+VLOOKUP(M407,[1]SKU!$B$3:$E$81,4,0)</f>
        <v>#N/A</v>
      </c>
      <c r="Z407" s="8" t="str">
        <f t="shared" si="6"/>
        <v>BEES</v>
      </c>
      <c r="AA407" s="8" t="str">
        <f>+VLOOKUP(I407,[1]SKU!$H$2:$I$97,2,0)</f>
        <v>PE07011</v>
      </c>
    </row>
    <row r="408" spans="1:27">
      <c r="A408" s="1" t="s">
        <v>40</v>
      </c>
      <c r="B408" s="2">
        <v>46295</v>
      </c>
      <c r="C408" s="1" t="s">
        <v>419</v>
      </c>
      <c r="D408" s="1" t="s">
        <v>41</v>
      </c>
      <c r="E408" s="1" t="s">
        <v>420</v>
      </c>
      <c r="F408" s="1" t="s">
        <v>421</v>
      </c>
      <c r="G408" s="1" t="s">
        <v>26</v>
      </c>
      <c r="H408" s="1" t="s">
        <v>27</v>
      </c>
      <c r="I408" s="1" t="s">
        <v>422</v>
      </c>
      <c r="J408" s="1" t="s">
        <v>28</v>
      </c>
      <c r="K408" s="1" t="s">
        <v>29</v>
      </c>
      <c r="L408" s="1" t="s">
        <v>30</v>
      </c>
      <c r="M408" s="1" t="s">
        <v>145</v>
      </c>
      <c r="N408" s="1" t="s">
        <v>146</v>
      </c>
      <c r="O408" s="1" t="s">
        <v>68</v>
      </c>
      <c r="P408" s="3">
        <v>1</v>
      </c>
      <c r="Q408" s="3">
        <v>25.59216</v>
      </c>
      <c r="R408" s="1" t="s">
        <v>34</v>
      </c>
      <c r="S408" s="1" t="s">
        <v>35</v>
      </c>
      <c r="T408" s="1" t="s">
        <v>36</v>
      </c>
      <c r="U408" s="1" t="s">
        <v>37</v>
      </c>
      <c r="V408" s="1" t="s">
        <v>69</v>
      </c>
      <c r="W408" s="1" t="s">
        <v>39</v>
      </c>
      <c r="X408" s="8" t="str">
        <f>+IFERROR(VLOOKUP(N408,[1]Hoja1!$B$2:$F$52,4,0)*P408,"")</f>
        <v/>
      </c>
      <c r="Y408" s="8" t="e">
        <f>+VLOOKUP(M408,[1]SKU!$B$3:$E$81,4,0)</f>
        <v>#N/A</v>
      </c>
      <c r="Z408" s="8" t="str">
        <f t="shared" si="6"/>
        <v>BEES</v>
      </c>
      <c r="AA408" s="8" t="str">
        <f>+VLOOKUP(I408,[1]SKU!$H$2:$I$97,2,0)</f>
        <v>PE07009</v>
      </c>
    </row>
    <row r="409" spans="1:27">
      <c r="A409" s="1" t="s">
        <v>51</v>
      </c>
      <c r="B409" s="2">
        <v>46295</v>
      </c>
      <c r="C409" s="1" t="s">
        <v>312</v>
      </c>
      <c r="D409" s="1" t="s">
        <v>52</v>
      </c>
      <c r="E409" s="1" t="s">
        <v>313</v>
      </c>
      <c r="F409" s="1" t="s">
        <v>314</v>
      </c>
      <c r="G409" s="1" t="s">
        <v>26</v>
      </c>
      <c r="H409" s="1" t="s">
        <v>27</v>
      </c>
      <c r="I409" s="1" t="s">
        <v>238</v>
      </c>
      <c r="J409" s="1" t="s">
        <v>28</v>
      </c>
      <c r="K409" s="1" t="s">
        <v>29</v>
      </c>
      <c r="L409" s="1" t="s">
        <v>30</v>
      </c>
      <c r="M409" s="1" t="s">
        <v>145</v>
      </c>
      <c r="N409" s="1" t="s">
        <v>146</v>
      </c>
      <c r="O409" s="1" t="s">
        <v>68</v>
      </c>
      <c r="P409" s="3">
        <v>1</v>
      </c>
      <c r="Q409" s="3">
        <v>25.59216</v>
      </c>
      <c r="R409" s="1" t="s">
        <v>34</v>
      </c>
      <c r="S409" s="1" t="s">
        <v>35</v>
      </c>
      <c r="T409" s="1" t="s">
        <v>36</v>
      </c>
      <c r="U409" s="1" t="s">
        <v>37</v>
      </c>
      <c r="V409" s="1" t="s">
        <v>69</v>
      </c>
      <c r="W409" s="1" t="s">
        <v>39</v>
      </c>
      <c r="X409" s="8" t="str">
        <f>+IFERROR(VLOOKUP(N409,[1]Hoja1!$B$2:$F$52,4,0)*P409,"")</f>
        <v/>
      </c>
      <c r="Y409" s="8" t="e">
        <f>+VLOOKUP(M409,[1]SKU!$B$3:$E$81,4,0)</f>
        <v>#N/A</v>
      </c>
      <c r="Z409" s="8" t="str">
        <f t="shared" si="6"/>
        <v>BEES</v>
      </c>
      <c r="AA409" s="8" t="str">
        <f>+VLOOKUP(I409,[1]SKU!$H$2:$I$97,2,0)</f>
        <v>PE07011</v>
      </c>
    </row>
    <row r="410" spans="1:27">
      <c r="A410" s="1" t="s">
        <v>40</v>
      </c>
      <c r="B410" s="2">
        <v>46295</v>
      </c>
      <c r="C410" s="1" t="s">
        <v>377</v>
      </c>
      <c r="D410" s="1" t="s">
        <v>41</v>
      </c>
      <c r="E410" s="1" t="s">
        <v>378</v>
      </c>
      <c r="F410" s="1" t="s">
        <v>379</v>
      </c>
      <c r="G410" s="1" t="s">
        <v>26</v>
      </c>
      <c r="H410" s="1" t="s">
        <v>27</v>
      </c>
      <c r="I410" s="1" t="s">
        <v>132</v>
      </c>
      <c r="J410" s="1" t="s">
        <v>28</v>
      </c>
      <c r="K410" s="1" t="s">
        <v>29</v>
      </c>
      <c r="L410" s="1" t="s">
        <v>30</v>
      </c>
      <c r="M410" s="1" t="s">
        <v>145</v>
      </c>
      <c r="N410" s="1" t="s">
        <v>146</v>
      </c>
      <c r="O410" s="1" t="s">
        <v>68</v>
      </c>
      <c r="P410" s="3">
        <v>1</v>
      </c>
      <c r="Q410" s="3">
        <v>25.59216</v>
      </c>
      <c r="R410" s="1" t="s">
        <v>34</v>
      </c>
      <c r="S410" s="1" t="s">
        <v>35</v>
      </c>
      <c r="T410" s="1" t="s">
        <v>36</v>
      </c>
      <c r="U410" s="1" t="s">
        <v>37</v>
      </c>
      <c r="V410" s="1" t="s">
        <v>69</v>
      </c>
      <c r="W410" s="1" t="s">
        <v>39</v>
      </c>
      <c r="X410" s="8" t="str">
        <f>+IFERROR(VLOOKUP(N410,[1]Hoja1!$B$2:$F$52,4,0)*P410,"")</f>
        <v/>
      </c>
      <c r="Y410" s="8" t="e">
        <f>+VLOOKUP(M410,[1]SKU!$B$3:$E$81,4,0)</f>
        <v>#N/A</v>
      </c>
      <c r="Z410" s="8" t="str">
        <f t="shared" si="6"/>
        <v>BEES</v>
      </c>
      <c r="AA410" s="8" t="str">
        <f>+VLOOKUP(I410,[1]SKU!$H$2:$I$97,2,0)</f>
        <v>PE07009</v>
      </c>
    </row>
    <row r="411" spans="1:27">
      <c r="A411" s="1" t="s">
        <v>40</v>
      </c>
      <c r="B411" s="2">
        <v>46295</v>
      </c>
      <c r="C411" s="1" t="s">
        <v>289</v>
      </c>
      <c r="D411" s="1" t="s">
        <v>41</v>
      </c>
      <c r="E411" s="1" t="s">
        <v>133</v>
      </c>
      <c r="F411" s="1" t="s">
        <v>134</v>
      </c>
      <c r="G411" s="1" t="s">
        <v>26</v>
      </c>
      <c r="H411" s="1" t="s">
        <v>27</v>
      </c>
      <c r="I411" s="1" t="s">
        <v>132</v>
      </c>
      <c r="J411" s="1" t="s">
        <v>28</v>
      </c>
      <c r="K411" s="1" t="s">
        <v>29</v>
      </c>
      <c r="L411" s="1" t="s">
        <v>30</v>
      </c>
      <c r="M411" s="1" t="s">
        <v>145</v>
      </c>
      <c r="N411" s="1" t="s">
        <v>146</v>
      </c>
      <c r="O411" s="1" t="s">
        <v>68</v>
      </c>
      <c r="P411" s="3">
        <v>1</v>
      </c>
      <c r="Q411" s="3">
        <v>25.59216</v>
      </c>
      <c r="R411" s="1" t="s">
        <v>34</v>
      </c>
      <c r="S411" s="1" t="s">
        <v>35</v>
      </c>
      <c r="T411" s="1" t="s">
        <v>36</v>
      </c>
      <c r="U411" s="1" t="s">
        <v>37</v>
      </c>
      <c r="V411" s="1" t="s">
        <v>69</v>
      </c>
      <c r="W411" s="1" t="s">
        <v>39</v>
      </c>
      <c r="X411" s="8" t="str">
        <f>+IFERROR(VLOOKUP(N411,[1]Hoja1!$B$2:$F$52,4,0)*P411,"")</f>
        <v/>
      </c>
      <c r="Y411" s="8" t="e">
        <f>+VLOOKUP(M411,[1]SKU!$B$3:$E$81,4,0)</f>
        <v>#N/A</v>
      </c>
      <c r="Z411" s="8" t="str">
        <f t="shared" si="6"/>
        <v>BEES</v>
      </c>
      <c r="AA411" s="8" t="str">
        <f>+VLOOKUP(I411,[1]SKU!$H$2:$I$97,2,0)</f>
        <v>PE07009</v>
      </c>
    </row>
    <row r="412" spans="1:27">
      <c r="A412" s="1" t="s">
        <v>42</v>
      </c>
      <c r="B412" s="2">
        <v>46295</v>
      </c>
      <c r="C412" s="1" t="s">
        <v>276</v>
      </c>
      <c r="D412" s="1" t="s">
        <v>43</v>
      </c>
      <c r="E412" s="1" t="s">
        <v>277</v>
      </c>
      <c r="F412" s="1" t="s">
        <v>278</v>
      </c>
      <c r="G412" s="1" t="s">
        <v>26</v>
      </c>
      <c r="H412" s="1" t="s">
        <v>27</v>
      </c>
      <c r="I412" s="1" t="s">
        <v>180</v>
      </c>
      <c r="J412" s="1" t="s">
        <v>28</v>
      </c>
      <c r="K412" s="1" t="s">
        <v>29</v>
      </c>
      <c r="L412" s="1" t="s">
        <v>30</v>
      </c>
      <c r="M412" s="1" t="s">
        <v>59</v>
      </c>
      <c r="N412" s="1" t="s">
        <v>60</v>
      </c>
      <c r="O412" s="1" t="s">
        <v>61</v>
      </c>
      <c r="P412" s="3">
        <v>2</v>
      </c>
      <c r="Q412" s="3">
        <v>48.04</v>
      </c>
      <c r="R412" s="1" t="s">
        <v>34</v>
      </c>
      <c r="S412" s="1" t="s">
        <v>35</v>
      </c>
      <c r="T412" s="1" t="s">
        <v>36</v>
      </c>
      <c r="U412" s="1" t="s">
        <v>37</v>
      </c>
      <c r="V412" s="1" t="s">
        <v>38</v>
      </c>
      <c r="W412" s="1" t="s">
        <v>39</v>
      </c>
      <c r="X412" s="8">
        <f>+IFERROR(VLOOKUP(N412,[1]Hoja1!$B$2:$F$52,4,0)*P412,"")</f>
        <v>0.57258064516129037</v>
      </c>
      <c r="Y412" s="8" t="str">
        <f>+VLOOKUP(M412,[1]SKU!$B$3:$E$81,4,0)</f>
        <v>LATAS</v>
      </c>
      <c r="Z412" s="8" t="str">
        <f t="shared" si="6"/>
        <v>BEES</v>
      </c>
      <c r="AA412" s="8" t="str">
        <f>+VLOOKUP(I412,[1]SKU!$H$2:$I$97,2,0)</f>
        <v>PE07002</v>
      </c>
    </row>
    <row r="413" spans="1:27">
      <c r="A413" s="1" t="s">
        <v>24</v>
      </c>
      <c r="B413" s="2">
        <v>46295</v>
      </c>
      <c r="C413" s="1" t="s">
        <v>416</v>
      </c>
      <c r="D413" s="1" t="s">
        <v>25</v>
      </c>
      <c r="E413" s="1" t="s">
        <v>417</v>
      </c>
      <c r="F413" s="1" t="s">
        <v>418</v>
      </c>
      <c r="G413" s="1" t="s">
        <v>26</v>
      </c>
      <c r="H413" s="1" t="s">
        <v>27</v>
      </c>
      <c r="I413" s="1" t="s">
        <v>53</v>
      </c>
      <c r="J413" s="1" t="s">
        <v>28</v>
      </c>
      <c r="K413" s="1" t="s">
        <v>29</v>
      </c>
      <c r="L413" s="1" t="s">
        <v>30</v>
      </c>
      <c r="M413" s="1" t="s">
        <v>223</v>
      </c>
      <c r="N413" s="1" t="s">
        <v>224</v>
      </c>
      <c r="O413" s="1" t="s">
        <v>155</v>
      </c>
      <c r="P413" s="3">
        <v>2</v>
      </c>
      <c r="Q413" s="3">
        <v>9.5530559999999998</v>
      </c>
      <c r="R413" s="1" t="s">
        <v>34</v>
      </c>
      <c r="S413" s="1" t="s">
        <v>35</v>
      </c>
      <c r="T413" s="1" t="s">
        <v>36</v>
      </c>
      <c r="U413" s="1" t="s">
        <v>37</v>
      </c>
      <c r="V413" s="1" t="s">
        <v>85</v>
      </c>
      <c r="W413" s="1" t="s">
        <v>39</v>
      </c>
      <c r="X413" s="8" t="str">
        <f>+IFERROR(VLOOKUP(N413,[1]Hoja1!$B$2:$F$52,4,0)*P413,"")</f>
        <v/>
      </c>
      <c r="Y413" s="8" t="e">
        <f>+VLOOKUP(M413,[1]SKU!$B$3:$E$81,4,0)</f>
        <v>#N/A</v>
      </c>
      <c r="Z413" s="8" t="str">
        <f t="shared" si="6"/>
        <v>BEES</v>
      </c>
      <c r="AA413" s="8" t="str">
        <f>+VLOOKUP(I413,[1]SKU!$H$2:$I$97,2,0)</f>
        <v>PE07010</v>
      </c>
    </row>
    <row r="414" spans="1:27">
      <c r="A414" s="1" t="s">
        <v>51</v>
      </c>
      <c r="B414" s="2">
        <v>46295</v>
      </c>
      <c r="C414" s="1" t="s">
        <v>260</v>
      </c>
      <c r="D414" s="1" t="s">
        <v>52</v>
      </c>
      <c r="E414" s="1" t="s">
        <v>261</v>
      </c>
      <c r="F414" s="1" t="s">
        <v>262</v>
      </c>
      <c r="G414" s="1" t="s">
        <v>26</v>
      </c>
      <c r="H414" s="1" t="s">
        <v>27</v>
      </c>
      <c r="I414" s="1" t="s">
        <v>238</v>
      </c>
      <c r="J414" s="1" t="s">
        <v>28</v>
      </c>
      <c r="K414" s="1" t="s">
        <v>29</v>
      </c>
      <c r="L414" s="1" t="s">
        <v>30</v>
      </c>
      <c r="M414" s="1" t="s">
        <v>223</v>
      </c>
      <c r="N414" s="1" t="s">
        <v>224</v>
      </c>
      <c r="O414" s="1" t="s">
        <v>155</v>
      </c>
      <c r="P414" s="3">
        <v>1</v>
      </c>
      <c r="Q414" s="3">
        <v>0</v>
      </c>
      <c r="R414" s="1" t="s">
        <v>77</v>
      </c>
      <c r="S414" s="1" t="s">
        <v>35</v>
      </c>
      <c r="T414" s="1" t="s">
        <v>36</v>
      </c>
      <c r="U414" s="1" t="s">
        <v>37</v>
      </c>
      <c r="V414" s="1" t="s">
        <v>85</v>
      </c>
      <c r="W414" s="1" t="s">
        <v>39</v>
      </c>
      <c r="X414" s="8" t="str">
        <f>+IFERROR(VLOOKUP(N414,[1]Hoja1!$B$2:$F$52,4,0)*P414,"")</f>
        <v/>
      </c>
      <c r="Y414" s="8" t="e">
        <f>+VLOOKUP(M414,[1]SKU!$B$3:$E$81,4,0)</f>
        <v>#N/A</v>
      </c>
      <c r="Z414" s="8" t="str">
        <f t="shared" si="6"/>
        <v>BEES</v>
      </c>
      <c r="AA414" s="8" t="str">
        <f>+VLOOKUP(I414,[1]SKU!$H$2:$I$97,2,0)</f>
        <v>PE07011</v>
      </c>
    </row>
    <row r="415" spans="1:27">
      <c r="A415" s="1" t="s">
        <v>24</v>
      </c>
      <c r="B415" s="2">
        <v>46295</v>
      </c>
      <c r="C415" s="1" t="s">
        <v>618</v>
      </c>
      <c r="D415" s="1" t="s">
        <v>25</v>
      </c>
      <c r="E415" s="1" t="s">
        <v>619</v>
      </c>
      <c r="F415" s="1" t="s">
        <v>620</v>
      </c>
      <c r="G415" s="1" t="s">
        <v>26</v>
      </c>
      <c r="H415" s="1" t="s">
        <v>27</v>
      </c>
      <c r="I415" s="1" t="s">
        <v>53</v>
      </c>
      <c r="J415" s="1" t="s">
        <v>28</v>
      </c>
      <c r="K415" s="1" t="s">
        <v>29</v>
      </c>
      <c r="L415" s="1" t="s">
        <v>30</v>
      </c>
      <c r="M415" s="1" t="s">
        <v>166</v>
      </c>
      <c r="N415" s="1" t="s">
        <v>167</v>
      </c>
      <c r="O415" s="1" t="s">
        <v>155</v>
      </c>
      <c r="P415" s="3">
        <v>1</v>
      </c>
      <c r="Q415" s="3">
        <v>0</v>
      </c>
      <c r="R415" s="1" t="s">
        <v>77</v>
      </c>
      <c r="S415" s="1" t="s">
        <v>35</v>
      </c>
      <c r="T415" s="1" t="s">
        <v>36</v>
      </c>
      <c r="U415" s="1" t="s">
        <v>37</v>
      </c>
      <c r="V415" s="1" t="s">
        <v>85</v>
      </c>
      <c r="W415" s="1" t="s">
        <v>39</v>
      </c>
      <c r="X415" s="8" t="str">
        <f>+IFERROR(VLOOKUP(N415,[1]Hoja1!$B$2:$F$52,4,0)*P415,"")</f>
        <v/>
      </c>
      <c r="Y415" s="8" t="e">
        <f>+VLOOKUP(M415,[1]SKU!$B$3:$E$81,4,0)</f>
        <v>#N/A</v>
      </c>
      <c r="Z415" s="8" t="str">
        <f t="shared" si="6"/>
        <v>BEES</v>
      </c>
      <c r="AA415" s="8" t="str">
        <f>+VLOOKUP(I415,[1]SKU!$H$2:$I$97,2,0)</f>
        <v>PE07010</v>
      </c>
    </row>
    <row r="416" spans="1:27">
      <c r="A416" s="1" t="s">
        <v>51</v>
      </c>
      <c r="B416" s="2">
        <v>46295</v>
      </c>
      <c r="C416" s="1" t="s">
        <v>312</v>
      </c>
      <c r="D416" s="1" t="s">
        <v>52</v>
      </c>
      <c r="E416" s="1" t="s">
        <v>313</v>
      </c>
      <c r="F416" s="1" t="s">
        <v>314</v>
      </c>
      <c r="G416" s="1" t="s">
        <v>26</v>
      </c>
      <c r="H416" s="1" t="s">
        <v>27</v>
      </c>
      <c r="I416" s="1" t="s">
        <v>238</v>
      </c>
      <c r="J416" s="1" t="s">
        <v>28</v>
      </c>
      <c r="K416" s="1" t="s">
        <v>29</v>
      </c>
      <c r="L416" s="1" t="s">
        <v>30</v>
      </c>
      <c r="M416" s="1" t="s">
        <v>164</v>
      </c>
      <c r="N416" s="1" t="s">
        <v>165</v>
      </c>
      <c r="O416" s="1" t="s">
        <v>61</v>
      </c>
      <c r="P416" s="3">
        <v>2</v>
      </c>
      <c r="Q416" s="3">
        <v>65</v>
      </c>
      <c r="R416" s="1" t="s">
        <v>34</v>
      </c>
      <c r="S416" s="1" t="s">
        <v>35</v>
      </c>
      <c r="T416" s="1" t="s">
        <v>36</v>
      </c>
      <c r="U416" s="1" t="s">
        <v>37</v>
      </c>
      <c r="V416" s="1" t="s">
        <v>38</v>
      </c>
      <c r="W416" s="1" t="s">
        <v>39</v>
      </c>
      <c r="X416" s="8" t="str">
        <f>+IFERROR(VLOOKUP(N416,[1]Hoja1!$B$2:$F$52,4,0)*P416,"")</f>
        <v/>
      </c>
      <c r="Y416" s="8" t="e">
        <f>+VLOOKUP(M416,[1]SKU!$B$3:$E$81,4,0)</f>
        <v>#N/A</v>
      </c>
      <c r="Z416" s="8" t="str">
        <f t="shared" si="6"/>
        <v>BEES</v>
      </c>
      <c r="AA416" s="8" t="str">
        <f>+VLOOKUP(I416,[1]SKU!$H$2:$I$97,2,0)</f>
        <v>PE07011</v>
      </c>
    </row>
    <row r="417" spans="1:27">
      <c r="A417" s="1" t="s">
        <v>42</v>
      </c>
      <c r="B417" s="2">
        <v>46295</v>
      </c>
      <c r="C417" s="1" t="s">
        <v>584</v>
      </c>
      <c r="D417" s="1" t="s">
        <v>43</v>
      </c>
      <c r="E417" s="1" t="s">
        <v>585</v>
      </c>
      <c r="F417" s="1" t="s">
        <v>586</v>
      </c>
      <c r="G417" s="1" t="s">
        <v>26</v>
      </c>
      <c r="H417" s="1" t="s">
        <v>27</v>
      </c>
      <c r="I417" s="1" t="s">
        <v>587</v>
      </c>
      <c r="J417" s="1" t="s">
        <v>28</v>
      </c>
      <c r="K417" s="1" t="s">
        <v>29</v>
      </c>
      <c r="L417" s="1" t="s">
        <v>30</v>
      </c>
      <c r="M417" s="1" t="s">
        <v>164</v>
      </c>
      <c r="N417" s="1" t="s">
        <v>165</v>
      </c>
      <c r="O417" s="1" t="s">
        <v>61</v>
      </c>
      <c r="P417" s="3">
        <v>1</v>
      </c>
      <c r="Q417" s="3">
        <v>27.521000000000001</v>
      </c>
      <c r="R417" s="1" t="s">
        <v>34</v>
      </c>
      <c r="S417" s="1" t="s">
        <v>35</v>
      </c>
      <c r="T417" s="1" t="s">
        <v>36</v>
      </c>
      <c r="U417" s="1" t="s">
        <v>37</v>
      </c>
      <c r="V417" s="1" t="s">
        <v>38</v>
      </c>
      <c r="W417" s="1" t="s">
        <v>39</v>
      </c>
      <c r="X417" s="8" t="str">
        <f>+IFERROR(VLOOKUP(N417,[1]Hoja1!$B$2:$F$52,4,0)*P417,"")</f>
        <v/>
      </c>
      <c r="Y417" s="8" t="e">
        <f>+VLOOKUP(M417,[1]SKU!$B$3:$E$81,4,0)</f>
        <v>#N/A</v>
      </c>
      <c r="Z417" s="8" t="str">
        <f t="shared" si="6"/>
        <v>BEES</v>
      </c>
      <c r="AA417" s="8" t="str">
        <f>+VLOOKUP(I417,[1]SKU!$H$2:$I$97,2,0)</f>
        <v>PE07006</v>
      </c>
    </row>
    <row r="418" spans="1:27">
      <c r="A418" s="1" t="s">
        <v>24</v>
      </c>
      <c r="B418" s="2">
        <v>46295</v>
      </c>
      <c r="C418" s="1" t="s">
        <v>242</v>
      </c>
      <c r="D418" s="1" t="s">
        <v>25</v>
      </c>
      <c r="E418" s="1" t="s">
        <v>243</v>
      </c>
      <c r="F418" s="1" t="s">
        <v>244</v>
      </c>
      <c r="G418" s="1" t="s">
        <v>26</v>
      </c>
      <c r="H418" s="1" t="s">
        <v>27</v>
      </c>
      <c r="I418" s="1" t="s">
        <v>53</v>
      </c>
      <c r="J418" s="1" t="s">
        <v>28</v>
      </c>
      <c r="K418" s="1" t="s">
        <v>29</v>
      </c>
      <c r="L418" s="1" t="s">
        <v>30</v>
      </c>
      <c r="M418" s="1" t="s">
        <v>166</v>
      </c>
      <c r="N418" s="1" t="s">
        <v>167</v>
      </c>
      <c r="O418" s="1" t="s">
        <v>155</v>
      </c>
      <c r="P418" s="3">
        <v>1</v>
      </c>
      <c r="Q418" s="3">
        <v>0</v>
      </c>
      <c r="R418" s="1" t="s">
        <v>77</v>
      </c>
      <c r="S418" s="1" t="s">
        <v>35</v>
      </c>
      <c r="T418" s="1" t="s">
        <v>36</v>
      </c>
      <c r="U418" s="1" t="s">
        <v>37</v>
      </c>
      <c r="V418" s="1" t="s">
        <v>85</v>
      </c>
      <c r="W418" s="1" t="s">
        <v>39</v>
      </c>
      <c r="X418" s="8" t="str">
        <f>+IFERROR(VLOOKUP(N418,[1]Hoja1!$B$2:$F$52,4,0)*P418,"")</f>
        <v/>
      </c>
      <c r="Y418" s="8" t="e">
        <f>+VLOOKUP(M418,[1]SKU!$B$3:$E$81,4,0)</f>
        <v>#N/A</v>
      </c>
      <c r="Z418" s="8" t="str">
        <f t="shared" si="6"/>
        <v>BEES</v>
      </c>
      <c r="AA418" s="8" t="str">
        <f>+VLOOKUP(I418,[1]SKU!$H$2:$I$97,2,0)</f>
        <v>PE07010</v>
      </c>
    </row>
    <row r="419" spans="1:27">
      <c r="A419" s="1" t="s">
        <v>24</v>
      </c>
      <c r="B419" s="2">
        <v>46295</v>
      </c>
      <c r="C419" s="1" t="s">
        <v>395</v>
      </c>
      <c r="D419" s="1" t="s">
        <v>25</v>
      </c>
      <c r="E419" s="1" t="s">
        <v>396</v>
      </c>
      <c r="F419" s="1" t="s">
        <v>397</v>
      </c>
      <c r="G419" s="1" t="s">
        <v>26</v>
      </c>
      <c r="H419" s="1" t="s">
        <v>27</v>
      </c>
      <c r="I419" s="1" t="s">
        <v>53</v>
      </c>
      <c r="J419" s="1" t="s">
        <v>28</v>
      </c>
      <c r="K419" s="1" t="s">
        <v>29</v>
      </c>
      <c r="L419" s="1" t="s">
        <v>30</v>
      </c>
      <c r="M419" s="1" t="s">
        <v>166</v>
      </c>
      <c r="N419" s="1" t="s">
        <v>167</v>
      </c>
      <c r="O419" s="1" t="s">
        <v>155</v>
      </c>
      <c r="P419" s="3">
        <v>1</v>
      </c>
      <c r="Q419" s="3">
        <v>0</v>
      </c>
      <c r="R419" s="1" t="s">
        <v>77</v>
      </c>
      <c r="S419" s="1" t="s">
        <v>35</v>
      </c>
      <c r="T419" s="1" t="s">
        <v>36</v>
      </c>
      <c r="U419" s="1" t="s">
        <v>37</v>
      </c>
      <c r="V419" s="1" t="s">
        <v>85</v>
      </c>
      <c r="W419" s="1" t="s">
        <v>39</v>
      </c>
      <c r="X419" s="8" t="str">
        <f>+IFERROR(VLOOKUP(N419,[1]Hoja1!$B$2:$F$52,4,0)*P419,"")</f>
        <v/>
      </c>
      <c r="Y419" s="8" t="e">
        <f>+VLOOKUP(M419,[1]SKU!$B$3:$E$81,4,0)</f>
        <v>#N/A</v>
      </c>
      <c r="Z419" s="8" t="str">
        <f t="shared" si="6"/>
        <v>BEES</v>
      </c>
      <c r="AA419" s="8" t="str">
        <f>+VLOOKUP(I419,[1]SKU!$H$2:$I$97,2,0)</f>
        <v>PE07010</v>
      </c>
    </row>
    <row r="420" spans="1:27">
      <c r="A420" s="1" t="s">
        <v>42</v>
      </c>
      <c r="B420" s="2">
        <v>46295</v>
      </c>
      <c r="C420" s="1" t="s">
        <v>566</v>
      </c>
      <c r="D420" s="1" t="s">
        <v>43</v>
      </c>
      <c r="E420" s="1" t="s">
        <v>567</v>
      </c>
      <c r="F420" s="1" t="s">
        <v>568</v>
      </c>
      <c r="G420" s="1" t="s">
        <v>26</v>
      </c>
      <c r="H420" s="1" t="s">
        <v>27</v>
      </c>
      <c r="I420" s="1" t="s">
        <v>65</v>
      </c>
      <c r="J420" s="1" t="s">
        <v>28</v>
      </c>
      <c r="K420" s="1" t="s">
        <v>29</v>
      </c>
      <c r="L420" s="1" t="s">
        <v>30</v>
      </c>
      <c r="M420" s="1" t="s">
        <v>164</v>
      </c>
      <c r="N420" s="1" t="s">
        <v>165</v>
      </c>
      <c r="O420" s="1" t="s">
        <v>61</v>
      </c>
      <c r="P420" s="3">
        <v>1</v>
      </c>
      <c r="Q420" s="3">
        <v>26.5</v>
      </c>
      <c r="R420" s="1" t="s">
        <v>34</v>
      </c>
      <c r="S420" s="1" t="s">
        <v>35</v>
      </c>
      <c r="T420" s="1" t="s">
        <v>36</v>
      </c>
      <c r="U420" s="1" t="s">
        <v>37</v>
      </c>
      <c r="V420" s="1" t="s">
        <v>38</v>
      </c>
      <c r="W420" s="1" t="s">
        <v>39</v>
      </c>
      <c r="X420" s="8" t="str">
        <f>+IFERROR(VLOOKUP(N420,[1]Hoja1!$B$2:$F$52,4,0)*P420,"")</f>
        <v/>
      </c>
      <c r="Y420" s="8" t="e">
        <f>+VLOOKUP(M420,[1]SKU!$B$3:$E$81,4,0)</f>
        <v>#N/A</v>
      </c>
      <c r="Z420" s="8" t="str">
        <f t="shared" si="6"/>
        <v>BEES</v>
      </c>
      <c r="AA420" s="8" t="str">
        <f>+VLOOKUP(I420,[1]SKU!$H$2:$I$97,2,0)</f>
        <v>PE07003</v>
      </c>
    </row>
    <row r="421" spans="1:27">
      <c r="A421" s="1" t="s">
        <v>40</v>
      </c>
      <c r="B421" s="2">
        <v>46295</v>
      </c>
      <c r="C421" s="1" t="s">
        <v>377</v>
      </c>
      <c r="D421" s="1" t="s">
        <v>41</v>
      </c>
      <c r="E421" s="1" t="s">
        <v>378</v>
      </c>
      <c r="F421" s="1" t="s">
        <v>379</v>
      </c>
      <c r="G421" s="1" t="s">
        <v>26</v>
      </c>
      <c r="H421" s="1" t="s">
        <v>27</v>
      </c>
      <c r="I421" s="1" t="s">
        <v>132</v>
      </c>
      <c r="J421" s="1" t="s">
        <v>28</v>
      </c>
      <c r="K421" s="1" t="s">
        <v>29</v>
      </c>
      <c r="L421" s="1" t="s">
        <v>30</v>
      </c>
      <c r="M421" s="1" t="s">
        <v>105</v>
      </c>
      <c r="N421" s="1" t="s">
        <v>106</v>
      </c>
      <c r="O421" s="1" t="s">
        <v>68</v>
      </c>
      <c r="P421" s="3">
        <v>1</v>
      </c>
      <c r="Q421" s="3">
        <v>24.624896</v>
      </c>
      <c r="R421" s="1" t="s">
        <v>34</v>
      </c>
      <c r="S421" s="1" t="s">
        <v>35</v>
      </c>
      <c r="T421" s="1" t="s">
        <v>36</v>
      </c>
      <c r="U421" s="1" t="s">
        <v>37</v>
      </c>
      <c r="V421" s="1" t="s">
        <v>69</v>
      </c>
      <c r="W421" s="1" t="s">
        <v>39</v>
      </c>
      <c r="X421" s="8">
        <f>+IFERROR(VLOOKUP(N421,[1]Hoja1!$B$2:$F$52,4,0)*P421,"")</f>
        <v>1.618279569892473</v>
      </c>
      <c r="Y421" s="8" t="str">
        <f>+VLOOKUP(M421,[1]SKU!$B$3:$E$81,4,0)</f>
        <v>REGULAR</v>
      </c>
      <c r="Z421" s="8" t="str">
        <f t="shared" si="6"/>
        <v>BEES</v>
      </c>
      <c r="AA421" s="8" t="str">
        <f>+VLOOKUP(I421,[1]SKU!$H$2:$I$97,2,0)</f>
        <v>PE07009</v>
      </c>
    </row>
    <row r="422" spans="1:27">
      <c r="A422" s="1" t="s">
        <v>24</v>
      </c>
      <c r="B422" s="2">
        <v>46295</v>
      </c>
      <c r="C422" s="1" t="s">
        <v>597</v>
      </c>
      <c r="D422" s="1" t="s">
        <v>25</v>
      </c>
      <c r="E422" s="1" t="s">
        <v>56</v>
      </c>
      <c r="F422" s="1" t="s">
        <v>57</v>
      </c>
      <c r="G422" s="1" t="s">
        <v>26</v>
      </c>
      <c r="H422" s="1" t="s">
        <v>27</v>
      </c>
      <c r="I422" s="1" t="s">
        <v>53</v>
      </c>
      <c r="J422" s="1" t="s">
        <v>28</v>
      </c>
      <c r="K422" s="1" t="s">
        <v>29</v>
      </c>
      <c r="L422" s="1" t="s">
        <v>30</v>
      </c>
      <c r="M422" s="1" t="s">
        <v>105</v>
      </c>
      <c r="N422" s="1" t="s">
        <v>106</v>
      </c>
      <c r="O422" s="1" t="s">
        <v>68</v>
      </c>
      <c r="P422" s="3">
        <v>1</v>
      </c>
      <c r="Q422" s="3">
        <v>24.624896</v>
      </c>
      <c r="R422" s="1" t="s">
        <v>34</v>
      </c>
      <c r="S422" s="1" t="s">
        <v>35</v>
      </c>
      <c r="T422" s="1" t="s">
        <v>36</v>
      </c>
      <c r="U422" s="1" t="s">
        <v>37</v>
      </c>
      <c r="V422" s="1" t="s">
        <v>69</v>
      </c>
      <c r="W422" s="1" t="s">
        <v>39</v>
      </c>
      <c r="X422" s="8">
        <f>+IFERROR(VLOOKUP(N422,[1]Hoja1!$B$2:$F$52,4,0)*P422,"")</f>
        <v>1.618279569892473</v>
      </c>
      <c r="Y422" s="8" t="str">
        <f>+VLOOKUP(M422,[1]SKU!$B$3:$E$81,4,0)</f>
        <v>REGULAR</v>
      </c>
      <c r="Z422" s="8" t="str">
        <f t="shared" si="6"/>
        <v>BEES</v>
      </c>
      <c r="AA422" s="8" t="str">
        <f>+VLOOKUP(I422,[1]SKU!$H$2:$I$97,2,0)</f>
        <v>PE07010</v>
      </c>
    </row>
    <row r="423" spans="1:27">
      <c r="A423" s="1" t="s">
        <v>42</v>
      </c>
      <c r="B423" s="2">
        <v>46295</v>
      </c>
      <c r="C423" s="1" t="s">
        <v>493</v>
      </c>
      <c r="D423" s="1" t="s">
        <v>43</v>
      </c>
      <c r="E423" s="1" t="s">
        <v>494</v>
      </c>
      <c r="F423" s="1" t="s">
        <v>495</v>
      </c>
      <c r="G423" s="1" t="s">
        <v>26</v>
      </c>
      <c r="H423" s="1" t="s">
        <v>27</v>
      </c>
      <c r="I423" s="1" t="s">
        <v>65</v>
      </c>
      <c r="J423" s="1" t="s">
        <v>28</v>
      </c>
      <c r="K423" s="1" t="s">
        <v>29</v>
      </c>
      <c r="L423" s="1" t="s">
        <v>30</v>
      </c>
      <c r="M423" s="1" t="s">
        <v>105</v>
      </c>
      <c r="N423" s="1" t="s">
        <v>106</v>
      </c>
      <c r="O423" s="1" t="s">
        <v>68</v>
      </c>
      <c r="P423" s="3">
        <v>1</v>
      </c>
      <c r="Q423" s="3">
        <v>25.788136999999999</v>
      </c>
      <c r="R423" s="1" t="s">
        <v>34</v>
      </c>
      <c r="S423" s="1" t="s">
        <v>35</v>
      </c>
      <c r="T423" s="1" t="s">
        <v>36</v>
      </c>
      <c r="U423" s="1" t="s">
        <v>37</v>
      </c>
      <c r="V423" s="1" t="s">
        <v>69</v>
      </c>
      <c r="W423" s="1" t="s">
        <v>39</v>
      </c>
      <c r="X423" s="8">
        <f>+IFERROR(VLOOKUP(N423,[1]Hoja1!$B$2:$F$52,4,0)*P423,"")</f>
        <v>1.618279569892473</v>
      </c>
      <c r="Y423" s="8" t="str">
        <f>+VLOOKUP(M423,[1]SKU!$B$3:$E$81,4,0)</f>
        <v>REGULAR</v>
      </c>
      <c r="Z423" s="8" t="str">
        <f t="shared" si="6"/>
        <v>BEES</v>
      </c>
      <c r="AA423" s="8" t="str">
        <f>+VLOOKUP(I423,[1]SKU!$H$2:$I$97,2,0)</f>
        <v>PE07003</v>
      </c>
    </row>
    <row r="424" spans="1:27">
      <c r="A424" s="1" t="s">
        <v>24</v>
      </c>
      <c r="B424" s="2">
        <v>46295</v>
      </c>
      <c r="C424" s="1" t="s">
        <v>436</v>
      </c>
      <c r="D424" s="1" t="s">
        <v>25</v>
      </c>
      <c r="E424" s="1" t="s">
        <v>54</v>
      </c>
      <c r="F424" s="1" t="s">
        <v>55</v>
      </c>
      <c r="G424" s="1" t="s">
        <v>26</v>
      </c>
      <c r="H424" s="1" t="s">
        <v>27</v>
      </c>
      <c r="I424" s="1" t="s">
        <v>53</v>
      </c>
      <c r="J424" s="1" t="s">
        <v>28</v>
      </c>
      <c r="K424" s="1" t="s">
        <v>29</v>
      </c>
      <c r="L424" s="1" t="s">
        <v>30</v>
      </c>
      <c r="M424" s="1" t="s">
        <v>621</v>
      </c>
      <c r="N424" s="1" t="s">
        <v>622</v>
      </c>
      <c r="O424" s="1" t="s">
        <v>84</v>
      </c>
      <c r="P424" s="3">
        <v>1</v>
      </c>
      <c r="Q424" s="3">
        <v>10.089999000000001</v>
      </c>
      <c r="R424" s="1" t="s">
        <v>34</v>
      </c>
      <c r="S424" s="1" t="s">
        <v>35</v>
      </c>
      <c r="T424" s="1" t="s">
        <v>36</v>
      </c>
      <c r="U424" s="1" t="s">
        <v>37</v>
      </c>
      <c r="V424" s="1" t="s">
        <v>85</v>
      </c>
      <c r="W424" s="1" t="s">
        <v>39</v>
      </c>
      <c r="X424" s="8" t="str">
        <f>+IFERROR(VLOOKUP(N424,[1]Hoja1!$B$2:$F$52,4,0)*P424,"")</f>
        <v/>
      </c>
      <c r="Y424" s="8" t="e">
        <f>+VLOOKUP(M424,[1]SKU!$B$3:$E$81,4,0)</f>
        <v>#N/A</v>
      </c>
      <c r="Z424" s="8" t="str">
        <f t="shared" si="6"/>
        <v>BEES</v>
      </c>
      <c r="AA424" s="8" t="str">
        <f>+VLOOKUP(I424,[1]SKU!$H$2:$I$97,2,0)</f>
        <v>PE07010</v>
      </c>
    </row>
    <row r="425" spans="1:27">
      <c r="A425" s="1" t="s">
        <v>24</v>
      </c>
      <c r="B425" s="2">
        <v>46295</v>
      </c>
      <c r="C425" s="1" t="s">
        <v>516</v>
      </c>
      <c r="D425" s="1" t="s">
        <v>25</v>
      </c>
      <c r="E425" s="1" t="s">
        <v>517</v>
      </c>
      <c r="F425" s="1" t="s">
        <v>518</v>
      </c>
      <c r="G425" s="1" t="s">
        <v>26</v>
      </c>
      <c r="H425" s="1" t="s">
        <v>27</v>
      </c>
      <c r="I425" s="1" t="s">
        <v>53</v>
      </c>
      <c r="J425" s="1" t="s">
        <v>28</v>
      </c>
      <c r="K425" s="1" t="s">
        <v>29</v>
      </c>
      <c r="L425" s="1" t="s">
        <v>30</v>
      </c>
      <c r="M425" s="1" t="s">
        <v>96</v>
      </c>
      <c r="N425" s="1" t="s">
        <v>97</v>
      </c>
      <c r="O425" s="1" t="s">
        <v>61</v>
      </c>
      <c r="P425" s="3">
        <v>1</v>
      </c>
      <c r="Q425" s="3">
        <v>31.18</v>
      </c>
      <c r="R425" s="1" t="s">
        <v>34</v>
      </c>
      <c r="S425" s="1" t="s">
        <v>35</v>
      </c>
      <c r="T425" s="1" t="s">
        <v>36</v>
      </c>
      <c r="U425" s="1" t="s">
        <v>37</v>
      </c>
      <c r="V425" s="1" t="s">
        <v>38</v>
      </c>
      <c r="W425" s="1" t="s">
        <v>39</v>
      </c>
      <c r="X425" s="8">
        <f>+IFERROR(VLOOKUP(N425,[1]Hoja1!$B$2:$F$52,4,0)*P425,"")</f>
        <v>0.38145161290322577</v>
      </c>
      <c r="Y425" s="8" t="e">
        <f>+VLOOKUP(M425,[1]SKU!$B$3:$E$81,4,0)</f>
        <v>#N/A</v>
      </c>
      <c r="Z425" s="8" t="str">
        <f t="shared" si="6"/>
        <v>BEES</v>
      </c>
      <c r="AA425" s="8" t="str">
        <f>+VLOOKUP(I425,[1]SKU!$H$2:$I$97,2,0)</f>
        <v>PE07010</v>
      </c>
    </row>
    <row r="426" spans="1:27">
      <c r="A426" s="1" t="s">
        <v>24</v>
      </c>
      <c r="B426" s="2">
        <v>46295</v>
      </c>
      <c r="C426" s="1" t="s">
        <v>401</v>
      </c>
      <c r="D426" s="1" t="s">
        <v>25</v>
      </c>
      <c r="E426" s="1" t="s">
        <v>402</v>
      </c>
      <c r="F426" s="1" t="s">
        <v>403</v>
      </c>
      <c r="G426" s="1" t="s">
        <v>26</v>
      </c>
      <c r="H426" s="1" t="s">
        <v>27</v>
      </c>
      <c r="I426" s="1" t="s">
        <v>53</v>
      </c>
      <c r="J426" s="1" t="s">
        <v>28</v>
      </c>
      <c r="K426" s="1" t="s">
        <v>29</v>
      </c>
      <c r="L426" s="1" t="s">
        <v>30</v>
      </c>
      <c r="M426" s="1" t="s">
        <v>96</v>
      </c>
      <c r="N426" s="1" t="s">
        <v>97</v>
      </c>
      <c r="O426" s="1" t="s">
        <v>61</v>
      </c>
      <c r="P426" s="3">
        <v>2</v>
      </c>
      <c r="Q426" s="3">
        <v>62.36</v>
      </c>
      <c r="R426" s="1" t="s">
        <v>34</v>
      </c>
      <c r="S426" s="1" t="s">
        <v>35</v>
      </c>
      <c r="T426" s="1" t="s">
        <v>36</v>
      </c>
      <c r="U426" s="1" t="s">
        <v>37</v>
      </c>
      <c r="V426" s="1" t="s">
        <v>38</v>
      </c>
      <c r="W426" s="1" t="s">
        <v>39</v>
      </c>
      <c r="X426" s="8">
        <f>+IFERROR(VLOOKUP(N426,[1]Hoja1!$B$2:$F$52,4,0)*P426,"")</f>
        <v>0.76290322580645153</v>
      </c>
      <c r="Y426" s="8" t="e">
        <f>+VLOOKUP(M426,[1]SKU!$B$3:$E$81,4,0)</f>
        <v>#N/A</v>
      </c>
      <c r="Z426" s="8" t="str">
        <f t="shared" si="6"/>
        <v>BEES</v>
      </c>
      <c r="AA426" s="8" t="str">
        <f>+VLOOKUP(I426,[1]SKU!$H$2:$I$97,2,0)</f>
        <v>PE07010</v>
      </c>
    </row>
    <row r="427" spans="1:27">
      <c r="A427" s="1" t="s">
        <v>51</v>
      </c>
      <c r="B427" s="2">
        <v>46295</v>
      </c>
      <c r="C427" s="1" t="s">
        <v>575</v>
      </c>
      <c r="D427" s="1" t="s">
        <v>52</v>
      </c>
      <c r="E427" s="1" t="s">
        <v>576</v>
      </c>
      <c r="F427" s="1" t="s">
        <v>577</v>
      </c>
      <c r="G427" s="1" t="s">
        <v>26</v>
      </c>
      <c r="H427" s="1" t="s">
        <v>27</v>
      </c>
      <c r="I427" s="1" t="s">
        <v>329</v>
      </c>
      <c r="J427" s="1" t="s">
        <v>28</v>
      </c>
      <c r="K427" s="1" t="s">
        <v>29</v>
      </c>
      <c r="L427" s="1" t="s">
        <v>30</v>
      </c>
      <c r="M427" s="1" t="s">
        <v>96</v>
      </c>
      <c r="N427" s="1" t="s">
        <v>97</v>
      </c>
      <c r="O427" s="1" t="s">
        <v>61</v>
      </c>
      <c r="P427" s="3">
        <v>1</v>
      </c>
      <c r="Q427" s="3">
        <v>31.18</v>
      </c>
      <c r="R427" s="1" t="s">
        <v>34</v>
      </c>
      <c r="S427" s="1" t="s">
        <v>35</v>
      </c>
      <c r="T427" s="1" t="s">
        <v>36</v>
      </c>
      <c r="U427" s="1" t="s">
        <v>37</v>
      </c>
      <c r="V427" s="1" t="s">
        <v>38</v>
      </c>
      <c r="W427" s="1" t="s">
        <v>39</v>
      </c>
      <c r="X427" s="8">
        <f>+IFERROR(VLOOKUP(N427,[1]Hoja1!$B$2:$F$52,4,0)*P427,"")</f>
        <v>0.38145161290322577</v>
      </c>
      <c r="Y427" s="8" t="e">
        <f>+VLOOKUP(M427,[1]SKU!$B$3:$E$81,4,0)</f>
        <v>#N/A</v>
      </c>
      <c r="Z427" s="8" t="str">
        <f t="shared" si="6"/>
        <v>BEES</v>
      </c>
      <c r="AA427" s="8" t="str">
        <f>+VLOOKUP(I427,[1]SKU!$H$2:$I$97,2,0)</f>
        <v>PE07011</v>
      </c>
    </row>
    <row r="428" spans="1:27">
      <c r="A428" s="1" t="s">
        <v>42</v>
      </c>
      <c r="B428" s="2">
        <v>46295</v>
      </c>
      <c r="C428" s="1" t="s">
        <v>323</v>
      </c>
      <c r="D428" s="1" t="s">
        <v>43</v>
      </c>
      <c r="E428" s="1" t="s">
        <v>324</v>
      </c>
      <c r="F428" s="1" t="s">
        <v>325</v>
      </c>
      <c r="G428" s="1" t="s">
        <v>26</v>
      </c>
      <c r="H428" s="1" t="s">
        <v>27</v>
      </c>
      <c r="I428" s="1" t="s">
        <v>72</v>
      </c>
      <c r="J428" s="1" t="s">
        <v>28</v>
      </c>
      <c r="K428" s="1" t="s">
        <v>29</v>
      </c>
      <c r="L428" s="1" t="s">
        <v>30</v>
      </c>
      <c r="M428" s="1" t="s">
        <v>96</v>
      </c>
      <c r="N428" s="1" t="s">
        <v>97</v>
      </c>
      <c r="O428" s="1" t="s">
        <v>61</v>
      </c>
      <c r="P428" s="3">
        <v>1</v>
      </c>
      <c r="Q428" s="3">
        <v>31.18</v>
      </c>
      <c r="R428" s="1" t="s">
        <v>34</v>
      </c>
      <c r="S428" s="1" t="s">
        <v>35</v>
      </c>
      <c r="T428" s="1" t="s">
        <v>36</v>
      </c>
      <c r="U428" s="1" t="s">
        <v>37</v>
      </c>
      <c r="V428" s="1" t="s">
        <v>38</v>
      </c>
      <c r="W428" s="1" t="s">
        <v>39</v>
      </c>
      <c r="X428" s="8">
        <f>+IFERROR(VLOOKUP(N428,[1]Hoja1!$B$2:$F$52,4,0)*P428,"")</f>
        <v>0.38145161290322577</v>
      </c>
      <c r="Y428" s="8" t="e">
        <f>+VLOOKUP(M428,[1]SKU!$B$3:$E$81,4,0)</f>
        <v>#N/A</v>
      </c>
      <c r="Z428" s="8" t="str">
        <f t="shared" si="6"/>
        <v>BEES</v>
      </c>
      <c r="AA428" s="8" t="str">
        <f>+VLOOKUP(I428,[1]SKU!$H$2:$I$97,2,0)</f>
        <v>PE07001</v>
      </c>
    </row>
    <row r="429" spans="1:27">
      <c r="A429" s="1" t="s">
        <v>42</v>
      </c>
      <c r="B429" s="2">
        <v>46295</v>
      </c>
      <c r="C429" s="1" t="s">
        <v>268</v>
      </c>
      <c r="D429" s="1" t="s">
        <v>43</v>
      </c>
      <c r="E429" s="1" t="s">
        <v>174</v>
      </c>
      <c r="F429" s="1" t="s">
        <v>175</v>
      </c>
      <c r="G429" s="1" t="s">
        <v>26</v>
      </c>
      <c r="H429" s="1" t="s">
        <v>27</v>
      </c>
      <c r="I429" s="1" t="s">
        <v>65</v>
      </c>
      <c r="J429" s="1" t="s">
        <v>28</v>
      </c>
      <c r="K429" s="1" t="s">
        <v>29</v>
      </c>
      <c r="L429" s="1" t="s">
        <v>30</v>
      </c>
      <c r="M429" s="1" t="s">
        <v>96</v>
      </c>
      <c r="N429" s="1" t="s">
        <v>97</v>
      </c>
      <c r="O429" s="1" t="s">
        <v>61</v>
      </c>
      <c r="P429" s="3">
        <v>2</v>
      </c>
      <c r="Q429" s="3">
        <v>62.36</v>
      </c>
      <c r="R429" s="1" t="s">
        <v>34</v>
      </c>
      <c r="S429" s="1" t="s">
        <v>35</v>
      </c>
      <c r="T429" s="1" t="s">
        <v>36</v>
      </c>
      <c r="U429" s="1" t="s">
        <v>37</v>
      </c>
      <c r="V429" s="1" t="s">
        <v>38</v>
      </c>
      <c r="W429" s="1" t="s">
        <v>39</v>
      </c>
      <c r="X429" s="8">
        <f>+IFERROR(VLOOKUP(N429,[1]Hoja1!$B$2:$F$52,4,0)*P429,"")</f>
        <v>0.76290322580645153</v>
      </c>
      <c r="Y429" s="8" t="e">
        <f>+VLOOKUP(M429,[1]SKU!$B$3:$E$81,4,0)</f>
        <v>#N/A</v>
      </c>
      <c r="Z429" s="8" t="str">
        <f t="shared" si="6"/>
        <v>BEES</v>
      </c>
      <c r="AA429" s="8" t="str">
        <f>+VLOOKUP(I429,[1]SKU!$H$2:$I$97,2,0)</f>
        <v>PE07003</v>
      </c>
    </row>
    <row r="430" spans="1:27">
      <c r="A430" s="1" t="s">
        <v>42</v>
      </c>
      <c r="B430" s="2">
        <v>46295</v>
      </c>
      <c r="C430" s="1" t="s">
        <v>352</v>
      </c>
      <c r="D430" s="1" t="s">
        <v>43</v>
      </c>
      <c r="E430" s="1" t="s">
        <v>353</v>
      </c>
      <c r="F430" s="1" t="s">
        <v>354</v>
      </c>
      <c r="G430" s="1" t="s">
        <v>26</v>
      </c>
      <c r="H430" s="1" t="s">
        <v>27</v>
      </c>
      <c r="I430" s="1" t="s">
        <v>180</v>
      </c>
      <c r="J430" s="1" t="s">
        <v>28</v>
      </c>
      <c r="K430" s="1" t="s">
        <v>29</v>
      </c>
      <c r="L430" s="1" t="s">
        <v>30</v>
      </c>
      <c r="M430" s="1" t="s">
        <v>147</v>
      </c>
      <c r="N430" s="1" t="s">
        <v>148</v>
      </c>
      <c r="O430" s="1" t="s">
        <v>61</v>
      </c>
      <c r="P430" s="3">
        <v>4</v>
      </c>
      <c r="Q430" s="3">
        <v>104.2002</v>
      </c>
      <c r="R430" s="1" t="s">
        <v>34</v>
      </c>
      <c r="S430" s="1" t="s">
        <v>35</v>
      </c>
      <c r="T430" s="1" t="s">
        <v>36</v>
      </c>
      <c r="U430" s="1" t="s">
        <v>37</v>
      </c>
      <c r="V430" s="1" t="s">
        <v>38</v>
      </c>
      <c r="W430" s="1" t="s">
        <v>39</v>
      </c>
      <c r="X430" s="8">
        <f>+IFERROR(VLOOKUP(N430,[1]Hoja1!$B$2:$F$52,4,0)*P430,"")</f>
        <v>1.064516129032258</v>
      </c>
      <c r="Y430" s="8" t="str">
        <f>+VLOOKUP(M430,[1]SKU!$B$3:$E$81,4,0)</f>
        <v>CORONA</v>
      </c>
      <c r="Z430" s="8" t="str">
        <f t="shared" si="6"/>
        <v>BEES</v>
      </c>
      <c r="AA430" s="8" t="str">
        <f>+VLOOKUP(I430,[1]SKU!$H$2:$I$97,2,0)</f>
        <v>PE07002</v>
      </c>
    </row>
    <row r="431" spans="1:27">
      <c r="A431" s="1" t="s">
        <v>44</v>
      </c>
      <c r="B431" s="2">
        <v>46295</v>
      </c>
      <c r="C431" s="1" t="s">
        <v>474</v>
      </c>
      <c r="D431" s="1" t="s">
        <v>45</v>
      </c>
      <c r="E431" s="1" t="s">
        <v>475</v>
      </c>
      <c r="F431" s="1" t="s">
        <v>476</v>
      </c>
      <c r="G431" s="1" t="s">
        <v>26</v>
      </c>
      <c r="H431" s="1" t="s">
        <v>46</v>
      </c>
      <c r="I431" s="1" t="s">
        <v>297</v>
      </c>
      <c r="J431" s="1" t="s">
        <v>47</v>
      </c>
      <c r="K431" s="1" t="s">
        <v>48</v>
      </c>
      <c r="L431" s="1" t="s">
        <v>30</v>
      </c>
      <c r="M431" s="1" t="s">
        <v>66</v>
      </c>
      <c r="N431" s="1" t="s">
        <v>67</v>
      </c>
      <c r="O431" s="1" t="s">
        <v>68</v>
      </c>
      <c r="P431" s="3">
        <v>3</v>
      </c>
      <c r="Q431" s="3">
        <v>58.531238000000002</v>
      </c>
      <c r="R431" s="1" t="s">
        <v>34</v>
      </c>
      <c r="S431" s="1" t="s">
        <v>35</v>
      </c>
      <c r="T431" s="1" t="s">
        <v>36</v>
      </c>
      <c r="U431" s="1" t="s">
        <v>37</v>
      </c>
      <c r="V431" s="1" t="s">
        <v>69</v>
      </c>
      <c r="W431" s="1" t="s">
        <v>39</v>
      </c>
      <c r="X431" s="8">
        <f>+IFERROR(VLOOKUP(N431,[1]Hoja1!$B$2:$F$52,4,0)*P431,"")</f>
        <v>4.854838709677419</v>
      </c>
      <c r="Y431" s="8" t="str">
        <f>+VLOOKUP(M431,[1]SKU!$B$3:$E$81,4,0)</f>
        <v>REGULAR</v>
      </c>
      <c r="Z431" s="8" t="str">
        <f t="shared" si="6"/>
        <v>FLEX</v>
      </c>
      <c r="AA431" s="8" t="str">
        <f>+VLOOKUP(I431,[1]SKU!$H$2:$I$97,2,0)</f>
        <v>PE07004</v>
      </c>
    </row>
    <row r="432" spans="1:27">
      <c r="A432" s="1" t="s">
        <v>51</v>
      </c>
      <c r="B432" s="2">
        <v>46295</v>
      </c>
      <c r="C432" s="1" t="s">
        <v>235</v>
      </c>
      <c r="D432" s="1" t="s">
        <v>52</v>
      </c>
      <c r="E432" s="1" t="s">
        <v>236</v>
      </c>
      <c r="F432" s="1" t="s">
        <v>237</v>
      </c>
      <c r="G432" s="1" t="s">
        <v>26</v>
      </c>
      <c r="H432" s="1" t="s">
        <v>27</v>
      </c>
      <c r="I432" s="1" t="s">
        <v>238</v>
      </c>
      <c r="J432" s="1" t="s">
        <v>28</v>
      </c>
      <c r="K432" s="1" t="s">
        <v>29</v>
      </c>
      <c r="L432" s="1" t="s">
        <v>30</v>
      </c>
      <c r="M432" s="1" t="s">
        <v>111</v>
      </c>
      <c r="N432" s="1" t="s">
        <v>112</v>
      </c>
      <c r="O432" s="1" t="s">
        <v>61</v>
      </c>
      <c r="P432" s="3">
        <v>1</v>
      </c>
      <c r="Q432" s="3">
        <v>26.5</v>
      </c>
      <c r="R432" s="1" t="s">
        <v>34</v>
      </c>
      <c r="S432" s="1" t="s">
        <v>35</v>
      </c>
      <c r="T432" s="1" t="s">
        <v>36</v>
      </c>
      <c r="U432" s="1" t="s">
        <v>37</v>
      </c>
      <c r="V432" s="1" t="s">
        <v>38</v>
      </c>
      <c r="W432" s="1" t="s">
        <v>39</v>
      </c>
      <c r="X432" s="8">
        <f>+IFERROR(VLOOKUP(N432,[1]Hoja1!$B$2:$F$52,4,0)*P432,"")</f>
        <v>0.28629032258064518</v>
      </c>
      <c r="Y432" s="8" t="e">
        <f>+VLOOKUP(M432,[1]SKU!$B$3:$E$81,4,0)</f>
        <v>#N/A</v>
      </c>
      <c r="Z432" s="8" t="str">
        <f t="shared" si="6"/>
        <v>BEES</v>
      </c>
      <c r="AA432" s="8" t="str">
        <f>+VLOOKUP(I432,[1]SKU!$H$2:$I$97,2,0)</f>
        <v>PE07011</v>
      </c>
    </row>
    <row r="433" spans="1:27">
      <c r="A433" s="1" t="s">
        <v>40</v>
      </c>
      <c r="B433" s="2">
        <v>46295</v>
      </c>
      <c r="C433" s="1" t="s">
        <v>377</v>
      </c>
      <c r="D433" s="1" t="s">
        <v>41</v>
      </c>
      <c r="E433" s="1" t="s">
        <v>378</v>
      </c>
      <c r="F433" s="1" t="s">
        <v>379</v>
      </c>
      <c r="G433" s="1" t="s">
        <v>26</v>
      </c>
      <c r="H433" s="1" t="s">
        <v>27</v>
      </c>
      <c r="I433" s="1" t="s">
        <v>132</v>
      </c>
      <c r="J433" s="1" t="s">
        <v>28</v>
      </c>
      <c r="K433" s="1" t="s">
        <v>29</v>
      </c>
      <c r="L433" s="1" t="s">
        <v>30</v>
      </c>
      <c r="M433" s="1" t="s">
        <v>111</v>
      </c>
      <c r="N433" s="1" t="s">
        <v>112</v>
      </c>
      <c r="O433" s="1" t="s">
        <v>61</v>
      </c>
      <c r="P433" s="3">
        <v>1</v>
      </c>
      <c r="Q433" s="3">
        <v>27.521000000000001</v>
      </c>
      <c r="R433" s="1" t="s">
        <v>34</v>
      </c>
      <c r="S433" s="1" t="s">
        <v>35</v>
      </c>
      <c r="T433" s="1" t="s">
        <v>36</v>
      </c>
      <c r="U433" s="1" t="s">
        <v>37</v>
      </c>
      <c r="V433" s="1" t="s">
        <v>38</v>
      </c>
      <c r="W433" s="1" t="s">
        <v>39</v>
      </c>
      <c r="X433" s="8">
        <f>+IFERROR(VLOOKUP(N433,[1]Hoja1!$B$2:$F$52,4,0)*P433,"")</f>
        <v>0.28629032258064518</v>
      </c>
      <c r="Y433" s="8" t="e">
        <f>+VLOOKUP(M433,[1]SKU!$B$3:$E$81,4,0)</f>
        <v>#N/A</v>
      </c>
      <c r="Z433" s="8" t="str">
        <f t="shared" si="6"/>
        <v>BEES</v>
      </c>
      <c r="AA433" s="8" t="str">
        <f>+VLOOKUP(I433,[1]SKU!$H$2:$I$97,2,0)</f>
        <v>PE07009</v>
      </c>
    </row>
    <row r="434" spans="1:27">
      <c r="A434" s="1" t="s">
        <v>51</v>
      </c>
      <c r="B434" s="2">
        <v>46295</v>
      </c>
      <c r="C434" s="1" t="s">
        <v>312</v>
      </c>
      <c r="D434" s="1" t="s">
        <v>52</v>
      </c>
      <c r="E434" s="1" t="s">
        <v>313</v>
      </c>
      <c r="F434" s="1" t="s">
        <v>314</v>
      </c>
      <c r="G434" s="1" t="s">
        <v>26</v>
      </c>
      <c r="H434" s="1" t="s">
        <v>27</v>
      </c>
      <c r="I434" s="1" t="s">
        <v>238</v>
      </c>
      <c r="J434" s="1" t="s">
        <v>28</v>
      </c>
      <c r="K434" s="1" t="s">
        <v>29</v>
      </c>
      <c r="L434" s="1" t="s">
        <v>30</v>
      </c>
      <c r="M434" s="1" t="s">
        <v>111</v>
      </c>
      <c r="N434" s="1" t="s">
        <v>112</v>
      </c>
      <c r="O434" s="1" t="s">
        <v>61</v>
      </c>
      <c r="P434" s="3">
        <v>2</v>
      </c>
      <c r="Q434" s="3">
        <v>65</v>
      </c>
      <c r="R434" s="1" t="s">
        <v>34</v>
      </c>
      <c r="S434" s="1" t="s">
        <v>35</v>
      </c>
      <c r="T434" s="1" t="s">
        <v>36</v>
      </c>
      <c r="U434" s="1" t="s">
        <v>37</v>
      </c>
      <c r="V434" s="1" t="s">
        <v>38</v>
      </c>
      <c r="W434" s="1" t="s">
        <v>39</v>
      </c>
      <c r="X434" s="8">
        <f>+IFERROR(VLOOKUP(N434,[1]Hoja1!$B$2:$F$52,4,0)*P434,"")</f>
        <v>0.57258064516129037</v>
      </c>
      <c r="Y434" s="8" t="e">
        <f>+VLOOKUP(M434,[1]SKU!$B$3:$E$81,4,0)</f>
        <v>#N/A</v>
      </c>
      <c r="Z434" s="8" t="str">
        <f t="shared" si="6"/>
        <v>BEES</v>
      </c>
      <c r="AA434" s="8" t="str">
        <f>+VLOOKUP(I434,[1]SKU!$H$2:$I$97,2,0)</f>
        <v>PE07011</v>
      </c>
    </row>
    <row r="435" spans="1:27">
      <c r="A435" s="1" t="s">
        <v>24</v>
      </c>
      <c r="B435" s="2">
        <v>46295</v>
      </c>
      <c r="C435" s="1" t="s">
        <v>597</v>
      </c>
      <c r="D435" s="1" t="s">
        <v>25</v>
      </c>
      <c r="E435" s="1" t="s">
        <v>56</v>
      </c>
      <c r="F435" s="1" t="s">
        <v>57</v>
      </c>
      <c r="G435" s="1" t="s">
        <v>26</v>
      </c>
      <c r="H435" s="1" t="s">
        <v>27</v>
      </c>
      <c r="I435" s="1" t="s">
        <v>53</v>
      </c>
      <c r="J435" s="1" t="s">
        <v>28</v>
      </c>
      <c r="K435" s="1" t="s">
        <v>29</v>
      </c>
      <c r="L435" s="1" t="s">
        <v>30</v>
      </c>
      <c r="M435" s="1" t="s">
        <v>111</v>
      </c>
      <c r="N435" s="1" t="s">
        <v>112</v>
      </c>
      <c r="O435" s="1" t="s">
        <v>61</v>
      </c>
      <c r="P435" s="3">
        <v>1</v>
      </c>
      <c r="Q435" s="3">
        <v>25</v>
      </c>
      <c r="R435" s="1" t="s">
        <v>34</v>
      </c>
      <c r="S435" s="1" t="s">
        <v>35</v>
      </c>
      <c r="T435" s="1" t="s">
        <v>36</v>
      </c>
      <c r="U435" s="1" t="s">
        <v>37</v>
      </c>
      <c r="V435" s="1" t="s">
        <v>38</v>
      </c>
      <c r="W435" s="1" t="s">
        <v>39</v>
      </c>
      <c r="X435" s="8">
        <f>+IFERROR(VLOOKUP(N435,[1]Hoja1!$B$2:$F$52,4,0)*P435,"")</f>
        <v>0.28629032258064518</v>
      </c>
      <c r="Y435" s="8" t="e">
        <f>+VLOOKUP(M435,[1]SKU!$B$3:$E$81,4,0)</f>
        <v>#N/A</v>
      </c>
      <c r="Z435" s="8" t="str">
        <f t="shared" si="6"/>
        <v>BEES</v>
      </c>
      <c r="AA435" s="8" t="str">
        <f>+VLOOKUP(I435,[1]SKU!$H$2:$I$97,2,0)</f>
        <v>PE07010</v>
      </c>
    </row>
    <row r="436" spans="1:27">
      <c r="A436" s="1" t="s">
        <v>42</v>
      </c>
      <c r="B436" s="2">
        <v>46295</v>
      </c>
      <c r="C436" s="1" t="s">
        <v>584</v>
      </c>
      <c r="D436" s="1" t="s">
        <v>43</v>
      </c>
      <c r="E436" s="1" t="s">
        <v>585</v>
      </c>
      <c r="F436" s="1" t="s">
        <v>586</v>
      </c>
      <c r="G436" s="1" t="s">
        <v>26</v>
      </c>
      <c r="H436" s="1" t="s">
        <v>27</v>
      </c>
      <c r="I436" s="1" t="s">
        <v>587</v>
      </c>
      <c r="J436" s="1" t="s">
        <v>28</v>
      </c>
      <c r="K436" s="1" t="s">
        <v>29</v>
      </c>
      <c r="L436" s="1" t="s">
        <v>30</v>
      </c>
      <c r="M436" s="1" t="s">
        <v>141</v>
      </c>
      <c r="N436" s="1" t="s">
        <v>142</v>
      </c>
      <c r="O436" s="1" t="s">
        <v>115</v>
      </c>
      <c r="P436" s="3">
        <v>1</v>
      </c>
      <c r="Q436" s="3">
        <v>0</v>
      </c>
      <c r="R436" s="1" t="s">
        <v>77</v>
      </c>
      <c r="S436" s="1" t="s">
        <v>35</v>
      </c>
      <c r="T436" s="1" t="s">
        <v>36</v>
      </c>
      <c r="U436" s="1" t="s">
        <v>37</v>
      </c>
      <c r="V436" s="1" t="s">
        <v>69</v>
      </c>
      <c r="W436" s="1" t="s">
        <v>39</v>
      </c>
      <c r="X436" s="8" t="str">
        <f>+IFERROR(VLOOKUP(N436,[1]Hoja1!$B$2:$F$52,4,0)*P436,"")</f>
        <v/>
      </c>
      <c r="Y436" s="8" t="e">
        <f>+VLOOKUP(M436,[1]SKU!$B$3:$E$81,4,0)</f>
        <v>#N/A</v>
      </c>
      <c r="Z436" s="8" t="str">
        <f t="shared" si="6"/>
        <v>BEES</v>
      </c>
      <c r="AA436" s="8" t="str">
        <f>+VLOOKUP(I436,[1]SKU!$H$2:$I$97,2,0)</f>
        <v>PE07006</v>
      </c>
    </row>
    <row r="437" spans="1:27">
      <c r="A437" s="1" t="s">
        <v>42</v>
      </c>
      <c r="B437" s="2">
        <v>46295</v>
      </c>
      <c r="C437" s="1" t="s">
        <v>423</v>
      </c>
      <c r="D437" s="1" t="s">
        <v>43</v>
      </c>
      <c r="E437" s="1" t="s">
        <v>277</v>
      </c>
      <c r="F437" s="1" t="s">
        <v>278</v>
      </c>
      <c r="G437" s="1" t="s">
        <v>26</v>
      </c>
      <c r="H437" s="1" t="s">
        <v>27</v>
      </c>
      <c r="I437" s="1" t="s">
        <v>180</v>
      </c>
      <c r="J437" s="1" t="s">
        <v>28</v>
      </c>
      <c r="K437" s="1" t="s">
        <v>29</v>
      </c>
      <c r="L437" s="1" t="s">
        <v>30</v>
      </c>
      <c r="M437" s="1" t="s">
        <v>141</v>
      </c>
      <c r="N437" s="1" t="s">
        <v>142</v>
      </c>
      <c r="O437" s="1" t="s">
        <v>115</v>
      </c>
      <c r="P437" s="3">
        <v>1</v>
      </c>
      <c r="Q437" s="3">
        <v>12.058320999999999</v>
      </c>
      <c r="R437" s="1" t="s">
        <v>34</v>
      </c>
      <c r="S437" s="1" t="s">
        <v>35</v>
      </c>
      <c r="T437" s="1" t="s">
        <v>36</v>
      </c>
      <c r="U437" s="1" t="s">
        <v>37</v>
      </c>
      <c r="V437" s="1" t="s">
        <v>69</v>
      </c>
      <c r="W437" s="1" t="s">
        <v>39</v>
      </c>
      <c r="X437" s="8" t="str">
        <f>+IFERROR(VLOOKUP(N437,[1]Hoja1!$B$2:$F$52,4,0)*P437,"")</f>
        <v/>
      </c>
      <c r="Y437" s="8" t="e">
        <f>+VLOOKUP(M437,[1]SKU!$B$3:$E$81,4,0)</f>
        <v>#N/A</v>
      </c>
      <c r="Z437" s="8" t="str">
        <f t="shared" si="6"/>
        <v>BEES</v>
      </c>
      <c r="AA437" s="8" t="str">
        <f>+VLOOKUP(I437,[1]SKU!$H$2:$I$97,2,0)</f>
        <v>PE07002</v>
      </c>
    </row>
    <row r="438" spans="1:27">
      <c r="A438" s="1" t="s">
        <v>24</v>
      </c>
      <c r="B438" s="2">
        <v>46295</v>
      </c>
      <c r="C438" s="1" t="s">
        <v>248</v>
      </c>
      <c r="D438" s="1" t="s">
        <v>25</v>
      </c>
      <c r="E438" s="1" t="s">
        <v>249</v>
      </c>
      <c r="F438" s="1" t="s">
        <v>250</v>
      </c>
      <c r="G438" s="1" t="s">
        <v>26</v>
      </c>
      <c r="H438" s="1" t="s">
        <v>27</v>
      </c>
      <c r="I438" s="1" t="s">
        <v>53</v>
      </c>
      <c r="J438" s="1" t="s">
        <v>28</v>
      </c>
      <c r="K438" s="1" t="s">
        <v>29</v>
      </c>
      <c r="L438" s="1" t="s">
        <v>30</v>
      </c>
      <c r="M438" s="1" t="s">
        <v>623</v>
      </c>
      <c r="N438" s="1" t="s">
        <v>624</v>
      </c>
      <c r="O438" s="1" t="s">
        <v>195</v>
      </c>
      <c r="P438" s="3">
        <v>2</v>
      </c>
      <c r="Q438" s="3">
        <v>42.315762999999997</v>
      </c>
      <c r="R438" s="1" t="s">
        <v>34</v>
      </c>
      <c r="S438" s="1" t="s">
        <v>35</v>
      </c>
      <c r="T438" s="1" t="s">
        <v>36</v>
      </c>
      <c r="U438" s="1" t="s">
        <v>37</v>
      </c>
      <c r="V438" s="1" t="s">
        <v>85</v>
      </c>
      <c r="W438" s="1" t="s">
        <v>39</v>
      </c>
      <c r="X438" s="8" t="str">
        <f>+IFERROR(VLOOKUP(N438,[1]Hoja1!$B$2:$F$52,4,0)*P438,"")</f>
        <v/>
      </c>
      <c r="Y438" s="8" t="e">
        <f>+VLOOKUP(M438,[1]SKU!$B$3:$E$81,4,0)</f>
        <v>#N/A</v>
      </c>
      <c r="Z438" s="8" t="str">
        <f t="shared" si="6"/>
        <v>BEES</v>
      </c>
      <c r="AA438" s="8" t="str">
        <f>+VLOOKUP(I438,[1]SKU!$H$2:$I$97,2,0)</f>
        <v>PE07010</v>
      </c>
    </row>
    <row r="439" spans="1:27">
      <c r="A439" s="1" t="s">
        <v>24</v>
      </c>
      <c r="B439" s="2">
        <v>46295</v>
      </c>
      <c r="C439" s="1" t="s">
        <v>416</v>
      </c>
      <c r="D439" s="1" t="s">
        <v>25</v>
      </c>
      <c r="E439" s="1" t="s">
        <v>417</v>
      </c>
      <c r="F439" s="1" t="s">
        <v>418</v>
      </c>
      <c r="G439" s="1" t="s">
        <v>26</v>
      </c>
      <c r="H439" s="1" t="s">
        <v>27</v>
      </c>
      <c r="I439" s="1" t="s">
        <v>53</v>
      </c>
      <c r="J439" s="1" t="s">
        <v>28</v>
      </c>
      <c r="K439" s="1" t="s">
        <v>29</v>
      </c>
      <c r="L439" s="1" t="s">
        <v>30</v>
      </c>
      <c r="M439" s="1" t="s">
        <v>623</v>
      </c>
      <c r="N439" s="1" t="s">
        <v>624</v>
      </c>
      <c r="O439" s="1" t="s">
        <v>195</v>
      </c>
      <c r="P439" s="3">
        <v>2</v>
      </c>
      <c r="Q439" s="3">
        <v>42.315762999999997</v>
      </c>
      <c r="R439" s="1" t="s">
        <v>34</v>
      </c>
      <c r="S439" s="1" t="s">
        <v>35</v>
      </c>
      <c r="T439" s="1" t="s">
        <v>36</v>
      </c>
      <c r="U439" s="1" t="s">
        <v>37</v>
      </c>
      <c r="V439" s="1" t="s">
        <v>85</v>
      </c>
      <c r="W439" s="1" t="s">
        <v>39</v>
      </c>
      <c r="X439" s="8" t="str">
        <f>+IFERROR(VLOOKUP(N439,[1]Hoja1!$B$2:$F$52,4,0)*P439,"")</f>
        <v/>
      </c>
      <c r="Y439" s="8" t="e">
        <f>+VLOOKUP(M439,[1]SKU!$B$3:$E$81,4,0)</f>
        <v>#N/A</v>
      </c>
      <c r="Z439" s="8" t="str">
        <f t="shared" si="6"/>
        <v>BEES</v>
      </c>
      <c r="AA439" s="8" t="str">
        <f>+VLOOKUP(I439,[1]SKU!$H$2:$I$97,2,0)</f>
        <v>PE07010</v>
      </c>
    </row>
    <row r="440" spans="1:27">
      <c r="A440" s="1" t="s">
        <v>24</v>
      </c>
      <c r="B440" s="2">
        <v>46295</v>
      </c>
      <c r="C440" s="1" t="s">
        <v>596</v>
      </c>
      <c r="D440" s="1" t="s">
        <v>25</v>
      </c>
      <c r="E440" s="1" t="s">
        <v>62</v>
      </c>
      <c r="F440" s="1" t="s">
        <v>63</v>
      </c>
      <c r="G440" s="1" t="s">
        <v>26</v>
      </c>
      <c r="H440" s="1" t="s">
        <v>27</v>
      </c>
      <c r="I440" s="1" t="s">
        <v>64</v>
      </c>
      <c r="J440" s="1" t="s">
        <v>28</v>
      </c>
      <c r="K440" s="1" t="s">
        <v>29</v>
      </c>
      <c r="L440" s="1" t="s">
        <v>30</v>
      </c>
      <c r="M440" s="1" t="s">
        <v>623</v>
      </c>
      <c r="N440" s="1" t="s">
        <v>624</v>
      </c>
      <c r="O440" s="1" t="s">
        <v>195</v>
      </c>
      <c r="P440" s="3">
        <v>1</v>
      </c>
      <c r="Q440" s="3">
        <v>21.157881</v>
      </c>
      <c r="R440" s="1" t="s">
        <v>34</v>
      </c>
      <c r="S440" s="1" t="s">
        <v>35</v>
      </c>
      <c r="T440" s="1" t="s">
        <v>36</v>
      </c>
      <c r="U440" s="1" t="s">
        <v>37</v>
      </c>
      <c r="V440" s="1" t="s">
        <v>85</v>
      </c>
      <c r="W440" s="1" t="s">
        <v>39</v>
      </c>
      <c r="X440" s="8" t="str">
        <f>+IFERROR(VLOOKUP(N440,[1]Hoja1!$B$2:$F$52,4,0)*P440,"")</f>
        <v/>
      </c>
      <c r="Y440" s="8" t="e">
        <f>+VLOOKUP(M440,[1]SKU!$B$3:$E$81,4,0)</f>
        <v>#N/A</v>
      </c>
      <c r="Z440" s="8" t="str">
        <f t="shared" si="6"/>
        <v>BEES</v>
      </c>
      <c r="AA440" s="8" t="str">
        <f>+VLOOKUP(I440,[1]SKU!$H$2:$I$97,2,0)</f>
        <v>PE07012</v>
      </c>
    </row>
    <row r="441" spans="1:27">
      <c r="A441" s="1" t="s">
        <v>42</v>
      </c>
      <c r="B441" s="2">
        <v>46295</v>
      </c>
      <c r="C441" s="1" t="s">
        <v>286</v>
      </c>
      <c r="D441" s="1" t="s">
        <v>43</v>
      </c>
      <c r="E441" s="1" t="s">
        <v>287</v>
      </c>
      <c r="F441" s="1" t="s">
        <v>288</v>
      </c>
      <c r="G441" s="1" t="s">
        <v>26</v>
      </c>
      <c r="H441" s="1" t="s">
        <v>27</v>
      </c>
      <c r="I441" s="1" t="s">
        <v>65</v>
      </c>
      <c r="J441" s="1" t="s">
        <v>28</v>
      </c>
      <c r="K441" s="1" t="s">
        <v>29</v>
      </c>
      <c r="L441" s="1" t="s">
        <v>30</v>
      </c>
      <c r="M441" s="1" t="s">
        <v>187</v>
      </c>
      <c r="N441" s="1" t="s">
        <v>188</v>
      </c>
      <c r="O441" s="1" t="s">
        <v>61</v>
      </c>
      <c r="P441" s="3">
        <v>1</v>
      </c>
      <c r="Q441" s="3">
        <v>22.001199</v>
      </c>
      <c r="R441" s="1" t="s">
        <v>34</v>
      </c>
      <c r="S441" s="1" t="s">
        <v>35</v>
      </c>
      <c r="T441" s="1" t="s">
        <v>36</v>
      </c>
      <c r="U441" s="1" t="s">
        <v>37</v>
      </c>
      <c r="V441" s="1" t="s">
        <v>38</v>
      </c>
      <c r="W441" s="1" t="s">
        <v>39</v>
      </c>
      <c r="X441" s="8" t="str">
        <f>+IFERROR(VLOOKUP(N441,[1]Hoja1!$B$2:$F$52,4,0)*P441,"")</f>
        <v/>
      </c>
      <c r="Y441" s="8" t="e">
        <f>+VLOOKUP(M441,[1]SKU!$B$3:$E$81,4,0)</f>
        <v>#N/A</v>
      </c>
      <c r="Z441" s="8" t="str">
        <f t="shared" si="6"/>
        <v>BEES</v>
      </c>
      <c r="AA441" s="8" t="str">
        <f>+VLOOKUP(I441,[1]SKU!$H$2:$I$97,2,0)</f>
        <v>PE07003</v>
      </c>
    </row>
    <row r="442" spans="1:27">
      <c r="A442" s="1" t="s">
        <v>24</v>
      </c>
      <c r="B442" s="2">
        <v>46295</v>
      </c>
      <c r="C442" s="1" t="s">
        <v>392</v>
      </c>
      <c r="D442" s="1" t="s">
        <v>25</v>
      </c>
      <c r="E442" s="1" t="s">
        <v>393</v>
      </c>
      <c r="F442" s="1" t="s">
        <v>394</v>
      </c>
      <c r="G442" s="1" t="s">
        <v>26</v>
      </c>
      <c r="H442" s="1" t="s">
        <v>27</v>
      </c>
      <c r="I442" s="1" t="s">
        <v>53</v>
      </c>
      <c r="J442" s="1" t="s">
        <v>28</v>
      </c>
      <c r="K442" s="1" t="s">
        <v>29</v>
      </c>
      <c r="L442" s="1" t="s">
        <v>30</v>
      </c>
      <c r="M442" s="1" t="s">
        <v>187</v>
      </c>
      <c r="N442" s="1" t="s">
        <v>188</v>
      </c>
      <c r="O442" s="1" t="s">
        <v>61</v>
      </c>
      <c r="P442" s="3">
        <v>1</v>
      </c>
      <c r="Q442" s="3">
        <v>20.000001000000001</v>
      </c>
      <c r="R442" s="1" t="s">
        <v>34</v>
      </c>
      <c r="S442" s="1" t="s">
        <v>35</v>
      </c>
      <c r="T442" s="1" t="s">
        <v>36</v>
      </c>
      <c r="U442" s="1" t="s">
        <v>37</v>
      </c>
      <c r="V442" s="1" t="s">
        <v>38</v>
      </c>
      <c r="W442" s="1" t="s">
        <v>39</v>
      </c>
      <c r="X442" s="8" t="str">
        <f>+IFERROR(VLOOKUP(N442,[1]Hoja1!$B$2:$F$52,4,0)*P442,"")</f>
        <v/>
      </c>
      <c r="Y442" s="8" t="e">
        <f>+VLOOKUP(M442,[1]SKU!$B$3:$E$81,4,0)</f>
        <v>#N/A</v>
      </c>
      <c r="Z442" s="8" t="str">
        <f t="shared" si="6"/>
        <v>BEES</v>
      </c>
      <c r="AA442" s="8" t="str">
        <f>+VLOOKUP(I442,[1]SKU!$H$2:$I$97,2,0)</f>
        <v>PE07010</v>
      </c>
    </row>
    <row r="443" spans="1:27">
      <c r="A443" s="1" t="s">
        <v>40</v>
      </c>
      <c r="B443" s="2">
        <v>46295</v>
      </c>
      <c r="C443" s="1" t="s">
        <v>364</v>
      </c>
      <c r="D443" s="1" t="s">
        <v>41</v>
      </c>
      <c r="E443" s="1" t="s">
        <v>365</v>
      </c>
      <c r="F443" s="1" t="s">
        <v>366</v>
      </c>
      <c r="G443" s="1" t="s">
        <v>26</v>
      </c>
      <c r="H443" s="1" t="s">
        <v>27</v>
      </c>
      <c r="I443" s="1" t="s">
        <v>132</v>
      </c>
      <c r="J443" s="1" t="s">
        <v>28</v>
      </c>
      <c r="K443" s="1" t="s">
        <v>29</v>
      </c>
      <c r="L443" s="1" t="s">
        <v>30</v>
      </c>
      <c r="M443" s="1" t="s">
        <v>187</v>
      </c>
      <c r="N443" s="1" t="s">
        <v>188</v>
      </c>
      <c r="O443" s="1" t="s">
        <v>61</v>
      </c>
      <c r="P443" s="3">
        <v>1</v>
      </c>
      <c r="Q443" s="3">
        <v>21.5</v>
      </c>
      <c r="R443" s="1" t="s">
        <v>34</v>
      </c>
      <c r="S443" s="1" t="s">
        <v>35</v>
      </c>
      <c r="T443" s="1" t="s">
        <v>36</v>
      </c>
      <c r="U443" s="1" t="s">
        <v>37</v>
      </c>
      <c r="V443" s="1" t="s">
        <v>38</v>
      </c>
      <c r="W443" s="1" t="s">
        <v>39</v>
      </c>
      <c r="X443" s="8" t="str">
        <f>+IFERROR(VLOOKUP(N443,[1]Hoja1!$B$2:$F$52,4,0)*P443,"")</f>
        <v/>
      </c>
      <c r="Y443" s="8" t="e">
        <f>+VLOOKUP(M443,[1]SKU!$B$3:$E$81,4,0)</f>
        <v>#N/A</v>
      </c>
      <c r="Z443" s="8" t="str">
        <f t="shared" si="6"/>
        <v>BEES</v>
      </c>
      <c r="AA443" s="8" t="str">
        <f>+VLOOKUP(I443,[1]SKU!$H$2:$I$97,2,0)</f>
        <v>PE07009</v>
      </c>
    </row>
    <row r="444" spans="1:27">
      <c r="A444" s="1" t="s">
        <v>42</v>
      </c>
      <c r="B444" s="2">
        <v>46295</v>
      </c>
      <c r="C444" s="1" t="s">
        <v>461</v>
      </c>
      <c r="D444" s="1" t="s">
        <v>43</v>
      </c>
      <c r="E444" s="1" t="s">
        <v>462</v>
      </c>
      <c r="F444" s="1" t="s">
        <v>463</v>
      </c>
      <c r="G444" s="1" t="s">
        <v>26</v>
      </c>
      <c r="H444" s="1" t="s">
        <v>27</v>
      </c>
      <c r="I444" s="1" t="s">
        <v>180</v>
      </c>
      <c r="J444" s="1" t="s">
        <v>28</v>
      </c>
      <c r="K444" s="1" t="s">
        <v>29</v>
      </c>
      <c r="L444" s="1" t="s">
        <v>30</v>
      </c>
      <c r="M444" s="1" t="s">
        <v>187</v>
      </c>
      <c r="N444" s="1" t="s">
        <v>188</v>
      </c>
      <c r="O444" s="1" t="s">
        <v>61</v>
      </c>
      <c r="P444" s="3">
        <v>3</v>
      </c>
      <c r="Q444" s="3">
        <v>52.26</v>
      </c>
      <c r="R444" s="1" t="s">
        <v>34</v>
      </c>
      <c r="S444" s="1" t="s">
        <v>35</v>
      </c>
      <c r="T444" s="1" t="s">
        <v>36</v>
      </c>
      <c r="U444" s="1" t="s">
        <v>37</v>
      </c>
      <c r="V444" s="1" t="s">
        <v>38</v>
      </c>
      <c r="W444" s="1" t="s">
        <v>39</v>
      </c>
      <c r="X444" s="8" t="str">
        <f>+IFERROR(VLOOKUP(N444,[1]Hoja1!$B$2:$F$52,4,0)*P444,"")</f>
        <v/>
      </c>
      <c r="Y444" s="8" t="e">
        <f>+VLOOKUP(M444,[1]SKU!$B$3:$E$81,4,0)</f>
        <v>#N/A</v>
      </c>
      <c r="Z444" s="8" t="str">
        <f t="shared" si="6"/>
        <v>BEES</v>
      </c>
      <c r="AA444" s="8" t="str">
        <f>+VLOOKUP(I444,[1]SKU!$H$2:$I$97,2,0)</f>
        <v>PE07002</v>
      </c>
    </row>
    <row r="445" spans="1:27">
      <c r="A445" s="1" t="s">
        <v>42</v>
      </c>
      <c r="B445" s="2">
        <v>46295</v>
      </c>
      <c r="C445" s="1" t="s">
        <v>352</v>
      </c>
      <c r="D445" s="1" t="s">
        <v>43</v>
      </c>
      <c r="E445" s="1" t="s">
        <v>353</v>
      </c>
      <c r="F445" s="1" t="s">
        <v>354</v>
      </c>
      <c r="G445" s="1" t="s">
        <v>26</v>
      </c>
      <c r="H445" s="1" t="s">
        <v>27</v>
      </c>
      <c r="I445" s="1" t="s">
        <v>180</v>
      </c>
      <c r="J445" s="1" t="s">
        <v>28</v>
      </c>
      <c r="K445" s="1" t="s">
        <v>29</v>
      </c>
      <c r="L445" s="1" t="s">
        <v>30</v>
      </c>
      <c r="M445" s="1" t="s">
        <v>187</v>
      </c>
      <c r="N445" s="1" t="s">
        <v>188</v>
      </c>
      <c r="O445" s="1" t="s">
        <v>61</v>
      </c>
      <c r="P445" s="3">
        <v>3</v>
      </c>
      <c r="Q445" s="3">
        <v>52.26</v>
      </c>
      <c r="R445" s="1" t="s">
        <v>34</v>
      </c>
      <c r="S445" s="1" t="s">
        <v>35</v>
      </c>
      <c r="T445" s="1" t="s">
        <v>36</v>
      </c>
      <c r="U445" s="1" t="s">
        <v>37</v>
      </c>
      <c r="V445" s="1" t="s">
        <v>38</v>
      </c>
      <c r="W445" s="1" t="s">
        <v>39</v>
      </c>
      <c r="X445" s="8" t="str">
        <f>+IFERROR(VLOOKUP(N445,[1]Hoja1!$B$2:$F$52,4,0)*P445,"")</f>
        <v/>
      </c>
      <c r="Y445" s="8" t="e">
        <f>+VLOOKUP(M445,[1]SKU!$B$3:$E$81,4,0)</f>
        <v>#N/A</v>
      </c>
      <c r="Z445" s="8" t="str">
        <f t="shared" si="6"/>
        <v>BEES</v>
      </c>
      <c r="AA445" s="8" t="str">
        <f>+VLOOKUP(I445,[1]SKU!$H$2:$I$97,2,0)</f>
        <v>PE07002</v>
      </c>
    </row>
    <row r="446" spans="1:27">
      <c r="A446" s="1" t="s">
        <v>40</v>
      </c>
      <c r="B446" s="2">
        <v>46295</v>
      </c>
      <c r="C446" s="1" t="s">
        <v>373</v>
      </c>
      <c r="D446" s="1" t="s">
        <v>41</v>
      </c>
      <c r="E446" s="1" t="s">
        <v>374</v>
      </c>
      <c r="F446" s="1" t="s">
        <v>375</v>
      </c>
      <c r="G446" s="1" t="s">
        <v>26</v>
      </c>
      <c r="H446" s="1" t="s">
        <v>27</v>
      </c>
      <c r="I446" s="1" t="s">
        <v>132</v>
      </c>
      <c r="J446" s="1" t="s">
        <v>28</v>
      </c>
      <c r="K446" s="1" t="s">
        <v>29</v>
      </c>
      <c r="L446" s="1" t="s">
        <v>30</v>
      </c>
      <c r="M446" s="1" t="s">
        <v>187</v>
      </c>
      <c r="N446" s="1" t="s">
        <v>188</v>
      </c>
      <c r="O446" s="1" t="s">
        <v>61</v>
      </c>
      <c r="P446" s="3">
        <v>3</v>
      </c>
      <c r="Q446" s="3">
        <v>52.26</v>
      </c>
      <c r="R446" s="1" t="s">
        <v>34</v>
      </c>
      <c r="S446" s="1" t="s">
        <v>35</v>
      </c>
      <c r="T446" s="1" t="s">
        <v>36</v>
      </c>
      <c r="U446" s="1" t="s">
        <v>37</v>
      </c>
      <c r="V446" s="1" t="s">
        <v>38</v>
      </c>
      <c r="W446" s="1" t="s">
        <v>39</v>
      </c>
      <c r="X446" s="8" t="str">
        <f>+IFERROR(VLOOKUP(N446,[1]Hoja1!$B$2:$F$52,4,0)*P446,"")</f>
        <v/>
      </c>
      <c r="Y446" s="8" t="e">
        <f>+VLOOKUP(M446,[1]SKU!$B$3:$E$81,4,0)</f>
        <v>#N/A</v>
      </c>
      <c r="Z446" s="8" t="str">
        <f t="shared" si="6"/>
        <v>BEES</v>
      </c>
      <c r="AA446" s="8" t="str">
        <f>+VLOOKUP(I446,[1]SKU!$H$2:$I$97,2,0)</f>
        <v>PE07009</v>
      </c>
    </row>
    <row r="447" spans="1:27">
      <c r="A447" s="1" t="s">
        <v>24</v>
      </c>
      <c r="B447" s="2">
        <v>46295</v>
      </c>
      <c r="C447" s="1" t="s">
        <v>242</v>
      </c>
      <c r="D447" s="1" t="s">
        <v>25</v>
      </c>
      <c r="E447" s="1" t="s">
        <v>243</v>
      </c>
      <c r="F447" s="1" t="s">
        <v>244</v>
      </c>
      <c r="G447" s="1" t="s">
        <v>26</v>
      </c>
      <c r="H447" s="1" t="s">
        <v>27</v>
      </c>
      <c r="I447" s="1" t="s">
        <v>53</v>
      </c>
      <c r="J447" s="1" t="s">
        <v>28</v>
      </c>
      <c r="K447" s="1" t="s">
        <v>29</v>
      </c>
      <c r="L447" s="1" t="s">
        <v>30</v>
      </c>
      <c r="M447" s="1" t="s">
        <v>187</v>
      </c>
      <c r="N447" s="1" t="s">
        <v>188</v>
      </c>
      <c r="O447" s="1" t="s">
        <v>61</v>
      </c>
      <c r="P447" s="3">
        <v>1</v>
      </c>
      <c r="Q447" s="3">
        <v>20.000001000000001</v>
      </c>
      <c r="R447" s="1" t="s">
        <v>34</v>
      </c>
      <c r="S447" s="1" t="s">
        <v>35</v>
      </c>
      <c r="T447" s="1" t="s">
        <v>36</v>
      </c>
      <c r="U447" s="1" t="s">
        <v>37</v>
      </c>
      <c r="V447" s="1" t="s">
        <v>38</v>
      </c>
      <c r="W447" s="1" t="s">
        <v>39</v>
      </c>
      <c r="X447" s="8" t="str">
        <f>+IFERROR(VLOOKUP(N447,[1]Hoja1!$B$2:$F$52,4,0)*P447,"")</f>
        <v/>
      </c>
      <c r="Y447" s="8" t="e">
        <f>+VLOOKUP(M447,[1]SKU!$B$3:$E$81,4,0)</f>
        <v>#N/A</v>
      </c>
      <c r="Z447" s="8" t="str">
        <f t="shared" si="6"/>
        <v>BEES</v>
      </c>
      <c r="AA447" s="8" t="str">
        <f>+VLOOKUP(I447,[1]SKU!$H$2:$I$97,2,0)</f>
        <v>PE07010</v>
      </c>
    </row>
    <row r="448" spans="1:27">
      <c r="A448" s="1" t="s">
        <v>44</v>
      </c>
      <c r="B448" s="2">
        <v>46295</v>
      </c>
      <c r="C448" s="1" t="s">
        <v>499</v>
      </c>
      <c r="D448" s="1" t="s">
        <v>58</v>
      </c>
      <c r="E448" s="1" t="s">
        <v>500</v>
      </c>
      <c r="F448" s="1" t="s">
        <v>501</v>
      </c>
      <c r="G448" s="1" t="s">
        <v>26</v>
      </c>
      <c r="H448" s="1" t="s">
        <v>27</v>
      </c>
      <c r="I448" s="1" t="s">
        <v>297</v>
      </c>
      <c r="J448" s="1" t="s">
        <v>28</v>
      </c>
      <c r="K448" s="1" t="s">
        <v>29</v>
      </c>
      <c r="L448" s="1" t="s">
        <v>30</v>
      </c>
      <c r="M448" s="1" t="s">
        <v>103</v>
      </c>
      <c r="N448" s="1" t="s">
        <v>104</v>
      </c>
      <c r="O448" s="1" t="s">
        <v>68</v>
      </c>
      <c r="P448" s="3">
        <v>1</v>
      </c>
      <c r="Q448" s="3">
        <v>0</v>
      </c>
      <c r="R448" s="1" t="s">
        <v>77</v>
      </c>
      <c r="S448" s="1" t="s">
        <v>35</v>
      </c>
      <c r="T448" s="1" t="s">
        <v>36</v>
      </c>
      <c r="U448" s="1" t="s">
        <v>37</v>
      </c>
      <c r="V448" s="1" t="s">
        <v>85</v>
      </c>
      <c r="W448" s="1" t="s">
        <v>39</v>
      </c>
      <c r="X448" s="8" t="str">
        <f>+IFERROR(VLOOKUP(N448,[1]Hoja1!$B$2:$F$52,4,0)*P448,"")</f>
        <v/>
      </c>
      <c r="Y448" s="8" t="e">
        <f>+VLOOKUP(M448,[1]SKU!$B$3:$E$81,4,0)</f>
        <v>#N/A</v>
      </c>
      <c r="Z448" s="8" t="str">
        <f t="shared" si="6"/>
        <v>BEES</v>
      </c>
      <c r="AA448" s="8" t="str">
        <f>+VLOOKUP(I448,[1]SKU!$H$2:$I$97,2,0)</f>
        <v>PE07004</v>
      </c>
    </row>
    <row r="449" spans="1:27">
      <c r="A449" s="1" t="s">
        <v>42</v>
      </c>
      <c r="B449" s="2">
        <v>46295</v>
      </c>
      <c r="C449" s="1" t="s">
        <v>280</v>
      </c>
      <c r="D449" s="1" t="s">
        <v>43</v>
      </c>
      <c r="E449" s="1" t="s">
        <v>281</v>
      </c>
      <c r="F449" s="1" t="s">
        <v>282</v>
      </c>
      <c r="G449" s="1" t="s">
        <v>26</v>
      </c>
      <c r="H449" s="1" t="s">
        <v>27</v>
      </c>
      <c r="I449" s="1" t="s">
        <v>267</v>
      </c>
      <c r="J449" s="1" t="s">
        <v>28</v>
      </c>
      <c r="K449" s="1" t="s">
        <v>29</v>
      </c>
      <c r="L449" s="1" t="s">
        <v>30</v>
      </c>
      <c r="M449" s="1" t="s">
        <v>103</v>
      </c>
      <c r="N449" s="1" t="s">
        <v>104</v>
      </c>
      <c r="O449" s="1" t="s">
        <v>68</v>
      </c>
      <c r="P449" s="3">
        <v>1</v>
      </c>
      <c r="Q449" s="3">
        <v>0</v>
      </c>
      <c r="R449" s="1" t="s">
        <v>77</v>
      </c>
      <c r="S449" s="1" t="s">
        <v>35</v>
      </c>
      <c r="T449" s="1" t="s">
        <v>36</v>
      </c>
      <c r="U449" s="1" t="s">
        <v>37</v>
      </c>
      <c r="V449" s="1" t="s">
        <v>85</v>
      </c>
      <c r="W449" s="1" t="s">
        <v>39</v>
      </c>
      <c r="X449" s="8" t="str">
        <f>+IFERROR(VLOOKUP(N449,[1]Hoja1!$B$2:$F$52,4,0)*P449,"")</f>
        <v/>
      </c>
      <c r="Y449" s="8" t="e">
        <f>+VLOOKUP(M449,[1]SKU!$B$3:$E$81,4,0)</f>
        <v>#N/A</v>
      </c>
      <c r="Z449" s="8" t="str">
        <f t="shared" si="6"/>
        <v>BEES</v>
      </c>
      <c r="AA449" s="8" t="str">
        <f>+VLOOKUP(I449,[1]SKU!$H$2:$I$97,2,0)</f>
        <v>PE07006</v>
      </c>
    </row>
    <row r="450" spans="1:27">
      <c r="A450" s="1" t="s">
        <v>42</v>
      </c>
      <c r="B450" s="2">
        <v>46295</v>
      </c>
      <c r="C450" s="1" t="s">
        <v>423</v>
      </c>
      <c r="D450" s="1" t="s">
        <v>43</v>
      </c>
      <c r="E450" s="1" t="s">
        <v>277</v>
      </c>
      <c r="F450" s="1" t="s">
        <v>278</v>
      </c>
      <c r="G450" s="1" t="s">
        <v>26</v>
      </c>
      <c r="H450" s="1" t="s">
        <v>27</v>
      </c>
      <c r="I450" s="1" t="s">
        <v>180</v>
      </c>
      <c r="J450" s="1" t="s">
        <v>28</v>
      </c>
      <c r="K450" s="1" t="s">
        <v>29</v>
      </c>
      <c r="L450" s="1" t="s">
        <v>30</v>
      </c>
      <c r="M450" s="1" t="s">
        <v>103</v>
      </c>
      <c r="N450" s="1" t="s">
        <v>104</v>
      </c>
      <c r="O450" s="1" t="s">
        <v>68</v>
      </c>
      <c r="P450" s="3">
        <v>4</v>
      </c>
      <c r="Q450" s="3">
        <v>23.84</v>
      </c>
      <c r="R450" s="1" t="s">
        <v>34</v>
      </c>
      <c r="S450" s="1" t="s">
        <v>35</v>
      </c>
      <c r="T450" s="1" t="s">
        <v>36</v>
      </c>
      <c r="U450" s="1" t="s">
        <v>37</v>
      </c>
      <c r="V450" s="1" t="s">
        <v>85</v>
      </c>
      <c r="W450" s="1" t="s">
        <v>39</v>
      </c>
      <c r="X450" s="8" t="str">
        <f>+IFERROR(VLOOKUP(N450,[1]Hoja1!$B$2:$F$52,4,0)*P450,"")</f>
        <v/>
      </c>
      <c r="Y450" s="8" t="e">
        <f>+VLOOKUP(M450,[1]SKU!$B$3:$E$81,4,0)</f>
        <v>#N/A</v>
      </c>
      <c r="Z450" s="8" t="str">
        <f t="shared" si="6"/>
        <v>BEES</v>
      </c>
      <c r="AA450" s="8" t="str">
        <f>+VLOOKUP(I450,[1]SKU!$H$2:$I$97,2,0)</f>
        <v>PE07002</v>
      </c>
    </row>
    <row r="451" spans="1:27">
      <c r="A451" s="1" t="s">
        <v>24</v>
      </c>
      <c r="B451" s="2">
        <v>46295</v>
      </c>
      <c r="C451" s="1" t="s">
        <v>594</v>
      </c>
      <c r="D451" s="1" t="s">
        <v>25</v>
      </c>
      <c r="E451" s="1" t="s">
        <v>75</v>
      </c>
      <c r="F451" s="1" t="s">
        <v>76</v>
      </c>
      <c r="G451" s="1" t="s">
        <v>26</v>
      </c>
      <c r="H451" s="1" t="s">
        <v>27</v>
      </c>
      <c r="I451" s="1" t="s">
        <v>53</v>
      </c>
      <c r="J451" s="1" t="s">
        <v>28</v>
      </c>
      <c r="K451" s="1" t="s">
        <v>29</v>
      </c>
      <c r="L451" s="1" t="s">
        <v>30</v>
      </c>
      <c r="M451" s="1" t="s">
        <v>103</v>
      </c>
      <c r="N451" s="1" t="s">
        <v>104</v>
      </c>
      <c r="O451" s="1" t="s">
        <v>68</v>
      </c>
      <c r="P451" s="3">
        <v>1</v>
      </c>
      <c r="Q451" s="3">
        <v>5.9599989999999998</v>
      </c>
      <c r="R451" s="1" t="s">
        <v>34</v>
      </c>
      <c r="S451" s="1" t="s">
        <v>35</v>
      </c>
      <c r="T451" s="1" t="s">
        <v>36</v>
      </c>
      <c r="U451" s="1" t="s">
        <v>37</v>
      </c>
      <c r="V451" s="1" t="s">
        <v>85</v>
      </c>
      <c r="W451" s="1" t="s">
        <v>39</v>
      </c>
      <c r="X451" s="8" t="str">
        <f>+IFERROR(VLOOKUP(N451,[1]Hoja1!$B$2:$F$52,4,0)*P451,"")</f>
        <v/>
      </c>
      <c r="Y451" s="8" t="e">
        <f>+VLOOKUP(M451,[1]SKU!$B$3:$E$81,4,0)</f>
        <v>#N/A</v>
      </c>
      <c r="Z451" s="8" t="str">
        <f t="shared" ref="Z451:Z514" si="7">+IF(J451="VB01                          ","BEES","FLEX")</f>
        <v>BEES</v>
      </c>
      <c r="AA451" s="8" t="str">
        <f>+VLOOKUP(I451,[1]SKU!$H$2:$I$97,2,0)</f>
        <v>PE07010</v>
      </c>
    </row>
    <row r="452" spans="1:27">
      <c r="A452" s="1" t="s">
        <v>42</v>
      </c>
      <c r="B452" s="2">
        <v>46295</v>
      </c>
      <c r="C452" s="1" t="s">
        <v>407</v>
      </c>
      <c r="D452" s="1" t="s">
        <v>43</v>
      </c>
      <c r="E452" s="1" t="s">
        <v>408</v>
      </c>
      <c r="F452" s="1" t="s">
        <v>409</v>
      </c>
      <c r="G452" s="1" t="s">
        <v>26</v>
      </c>
      <c r="H452" s="1" t="s">
        <v>27</v>
      </c>
      <c r="I452" s="1" t="s">
        <v>180</v>
      </c>
      <c r="J452" s="1" t="s">
        <v>28</v>
      </c>
      <c r="K452" s="1" t="s">
        <v>29</v>
      </c>
      <c r="L452" s="1" t="s">
        <v>30</v>
      </c>
      <c r="M452" s="1" t="s">
        <v>113</v>
      </c>
      <c r="N452" s="1" t="s">
        <v>114</v>
      </c>
      <c r="O452" s="1" t="s">
        <v>115</v>
      </c>
      <c r="P452" s="3">
        <v>5</v>
      </c>
      <c r="Q452" s="3">
        <v>49.018374999999999</v>
      </c>
      <c r="R452" s="1" t="s">
        <v>34</v>
      </c>
      <c r="S452" s="1" t="s">
        <v>35</v>
      </c>
      <c r="T452" s="1" t="s">
        <v>36</v>
      </c>
      <c r="U452" s="1" t="s">
        <v>37</v>
      </c>
      <c r="V452" s="1" t="s">
        <v>116</v>
      </c>
      <c r="W452" s="1" t="s">
        <v>39</v>
      </c>
      <c r="X452" s="8">
        <f>+IFERROR(VLOOKUP(N452,[1]Hoja1!$B$2:$F$52,4,0)*P452,"")</f>
        <v>5.040322580645161</v>
      </c>
      <c r="Y452" s="8" t="str">
        <f>+VLOOKUP(M452,[1]SKU!$B$3:$E$81,4,0)</f>
        <v>REGULAR</v>
      </c>
      <c r="Z452" s="8" t="str">
        <f t="shared" si="7"/>
        <v>BEES</v>
      </c>
      <c r="AA452" s="8" t="str">
        <f>+VLOOKUP(I452,[1]SKU!$H$2:$I$97,2,0)</f>
        <v>PE07002</v>
      </c>
    </row>
    <row r="453" spans="1:27">
      <c r="A453" s="1" t="s">
        <v>42</v>
      </c>
      <c r="B453" s="2">
        <v>46295</v>
      </c>
      <c r="C453" s="1" t="s">
        <v>275</v>
      </c>
      <c r="D453" s="1" t="s">
        <v>43</v>
      </c>
      <c r="E453" s="1" t="s">
        <v>178</v>
      </c>
      <c r="F453" s="1" t="s">
        <v>179</v>
      </c>
      <c r="G453" s="1" t="s">
        <v>26</v>
      </c>
      <c r="H453" s="1" t="s">
        <v>27</v>
      </c>
      <c r="I453" s="1" t="s">
        <v>180</v>
      </c>
      <c r="J453" s="1" t="s">
        <v>28</v>
      </c>
      <c r="K453" s="1" t="s">
        <v>29</v>
      </c>
      <c r="L453" s="1" t="s">
        <v>30</v>
      </c>
      <c r="M453" s="1" t="s">
        <v>113</v>
      </c>
      <c r="N453" s="1" t="s">
        <v>114</v>
      </c>
      <c r="O453" s="1" t="s">
        <v>115</v>
      </c>
      <c r="P453" s="3">
        <v>1</v>
      </c>
      <c r="Q453" s="3">
        <v>9.9996749999999999</v>
      </c>
      <c r="R453" s="1" t="s">
        <v>34</v>
      </c>
      <c r="S453" s="1" t="s">
        <v>35</v>
      </c>
      <c r="T453" s="1" t="s">
        <v>36</v>
      </c>
      <c r="U453" s="1" t="s">
        <v>37</v>
      </c>
      <c r="V453" s="1" t="s">
        <v>116</v>
      </c>
      <c r="W453" s="1" t="s">
        <v>39</v>
      </c>
      <c r="X453" s="8">
        <f>+IFERROR(VLOOKUP(N453,[1]Hoja1!$B$2:$F$52,4,0)*P453,"")</f>
        <v>1.0080645161290323</v>
      </c>
      <c r="Y453" s="8" t="str">
        <f>+VLOOKUP(M453,[1]SKU!$B$3:$E$81,4,0)</f>
        <v>REGULAR</v>
      </c>
      <c r="Z453" s="8" t="str">
        <f t="shared" si="7"/>
        <v>BEES</v>
      </c>
      <c r="AA453" s="8" t="str">
        <f>+VLOOKUP(I453,[1]SKU!$H$2:$I$97,2,0)</f>
        <v>PE07002</v>
      </c>
    </row>
    <row r="454" spans="1:27">
      <c r="A454" s="1" t="s">
        <v>42</v>
      </c>
      <c r="B454" s="2">
        <v>46295</v>
      </c>
      <c r="C454" s="1" t="s">
        <v>477</v>
      </c>
      <c r="D454" s="1" t="s">
        <v>43</v>
      </c>
      <c r="E454" s="1" t="s">
        <v>478</v>
      </c>
      <c r="F454" s="1" t="s">
        <v>479</v>
      </c>
      <c r="G454" s="1" t="s">
        <v>26</v>
      </c>
      <c r="H454" s="1" t="s">
        <v>27</v>
      </c>
      <c r="I454" s="1" t="s">
        <v>180</v>
      </c>
      <c r="J454" s="1" t="s">
        <v>28</v>
      </c>
      <c r="K454" s="1" t="s">
        <v>29</v>
      </c>
      <c r="L454" s="1" t="s">
        <v>30</v>
      </c>
      <c r="M454" s="1" t="s">
        <v>113</v>
      </c>
      <c r="N454" s="1" t="s">
        <v>114</v>
      </c>
      <c r="O454" s="1" t="s">
        <v>115</v>
      </c>
      <c r="P454" s="3">
        <v>1</v>
      </c>
      <c r="Q454" s="3">
        <v>9.9996749999999999</v>
      </c>
      <c r="R454" s="1" t="s">
        <v>34</v>
      </c>
      <c r="S454" s="1" t="s">
        <v>35</v>
      </c>
      <c r="T454" s="1" t="s">
        <v>36</v>
      </c>
      <c r="U454" s="1" t="s">
        <v>37</v>
      </c>
      <c r="V454" s="1" t="s">
        <v>116</v>
      </c>
      <c r="W454" s="1" t="s">
        <v>39</v>
      </c>
      <c r="X454" s="8">
        <f>+IFERROR(VLOOKUP(N454,[1]Hoja1!$B$2:$F$52,4,0)*P454,"")</f>
        <v>1.0080645161290323</v>
      </c>
      <c r="Y454" s="8" t="str">
        <f>+VLOOKUP(M454,[1]SKU!$B$3:$E$81,4,0)</f>
        <v>REGULAR</v>
      </c>
      <c r="Z454" s="8" t="str">
        <f t="shared" si="7"/>
        <v>BEES</v>
      </c>
      <c r="AA454" s="8" t="str">
        <f>+VLOOKUP(I454,[1]SKU!$H$2:$I$97,2,0)</f>
        <v>PE07002</v>
      </c>
    </row>
    <row r="455" spans="1:27">
      <c r="A455" s="1" t="s">
        <v>42</v>
      </c>
      <c r="B455" s="2">
        <v>46295</v>
      </c>
      <c r="C455" s="1" t="s">
        <v>617</v>
      </c>
      <c r="D455" s="1" t="s">
        <v>43</v>
      </c>
      <c r="E455" s="1" t="s">
        <v>70</v>
      </c>
      <c r="F455" s="1" t="s">
        <v>71</v>
      </c>
      <c r="G455" s="1" t="s">
        <v>26</v>
      </c>
      <c r="H455" s="1" t="s">
        <v>27</v>
      </c>
      <c r="I455" s="1" t="s">
        <v>72</v>
      </c>
      <c r="J455" s="1" t="s">
        <v>28</v>
      </c>
      <c r="K455" s="1" t="s">
        <v>29</v>
      </c>
      <c r="L455" s="1" t="s">
        <v>30</v>
      </c>
      <c r="M455" s="1" t="s">
        <v>198</v>
      </c>
      <c r="N455" s="1" t="s">
        <v>199</v>
      </c>
      <c r="O455" s="1" t="s">
        <v>33</v>
      </c>
      <c r="P455" s="3">
        <v>2</v>
      </c>
      <c r="Q455" s="3">
        <v>135.19999999999999</v>
      </c>
      <c r="R455" s="1" t="s">
        <v>34</v>
      </c>
      <c r="S455" s="1" t="s">
        <v>35</v>
      </c>
      <c r="T455" s="1" t="s">
        <v>36</v>
      </c>
      <c r="U455" s="1" t="s">
        <v>37</v>
      </c>
      <c r="V455" s="1" t="s">
        <v>38</v>
      </c>
      <c r="W455" s="1" t="s">
        <v>39</v>
      </c>
      <c r="X455" s="8" t="str">
        <f>+IFERROR(VLOOKUP(N455,[1]Hoja1!$B$2:$F$52,4,0)*P455,"")</f>
        <v/>
      </c>
      <c r="Y455" s="8" t="e">
        <f>+VLOOKUP(M455,[1]SKU!$B$3:$E$81,4,0)</f>
        <v>#N/A</v>
      </c>
      <c r="Z455" s="8" t="str">
        <f t="shared" si="7"/>
        <v>BEES</v>
      </c>
      <c r="AA455" s="8" t="str">
        <f>+VLOOKUP(I455,[1]SKU!$H$2:$I$97,2,0)</f>
        <v>PE07001</v>
      </c>
    </row>
    <row r="456" spans="1:27">
      <c r="A456" s="1" t="s">
        <v>42</v>
      </c>
      <c r="B456" s="2">
        <v>46295</v>
      </c>
      <c r="C456" s="1" t="s">
        <v>254</v>
      </c>
      <c r="D456" s="1" t="s">
        <v>43</v>
      </c>
      <c r="E456" s="1" t="s">
        <v>255</v>
      </c>
      <c r="F456" s="1" t="s">
        <v>256</v>
      </c>
      <c r="G456" s="1" t="s">
        <v>26</v>
      </c>
      <c r="H456" s="1" t="s">
        <v>27</v>
      </c>
      <c r="I456" s="1" t="s">
        <v>65</v>
      </c>
      <c r="J456" s="1" t="s">
        <v>28</v>
      </c>
      <c r="K456" s="1" t="s">
        <v>29</v>
      </c>
      <c r="L456" s="1" t="s">
        <v>30</v>
      </c>
      <c r="M456" s="1" t="s">
        <v>198</v>
      </c>
      <c r="N456" s="1" t="s">
        <v>199</v>
      </c>
      <c r="O456" s="1" t="s">
        <v>33</v>
      </c>
      <c r="P456" s="3">
        <v>2</v>
      </c>
      <c r="Q456" s="3">
        <v>135.19999999999999</v>
      </c>
      <c r="R456" s="1" t="s">
        <v>34</v>
      </c>
      <c r="S456" s="1" t="s">
        <v>35</v>
      </c>
      <c r="T456" s="1" t="s">
        <v>36</v>
      </c>
      <c r="U456" s="1" t="s">
        <v>37</v>
      </c>
      <c r="V456" s="1" t="s">
        <v>38</v>
      </c>
      <c r="W456" s="1" t="s">
        <v>39</v>
      </c>
      <c r="X456" s="8" t="str">
        <f>+IFERROR(VLOOKUP(N456,[1]Hoja1!$B$2:$F$52,4,0)*P456,"")</f>
        <v/>
      </c>
      <c r="Y456" s="8" t="e">
        <f>+VLOOKUP(M456,[1]SKU!$B$3:$E$81,4,0)</f>
        <v>#N/A</v>
      </c>
      <c r="Z456" s="8" t="str">
        <f t="shared" si="7"/>
        <v>BEES</v>
      </c>
      <c r="AA456" s="8" t="str">
        <f>+VLOOKUP(I456,[1]SKU!$H$2:$I$97,2,0)</f>
        <v>PE07003</v>
      </c>
    </row>
    <row r="457" spans="1:27">
      <c r="A457" s="1" t="s">
        <v>51</v>
      </c>
      <c r="B457" s="2">
        <v>46295</v>
      </c>
      <c r="C457" s="1" t="s">
        <v>437</v>
      </c>
      <c r="D457" s="1" t="s">
        <v>52</v>
      </c>
      <c r="E457" s="1" t="s">
        <v>438</v>
      </c>
      <c r="F457" s="1" t="s">
        <v>439</v>
      </c>
      <c r="G457" s="1" t="s">
        <v>26</v>
      </c>
      <c r="H457" s="1" t="s">
        <v>27</v>
      </c>
      <c r="I457" s="1" t="s">
        <v>238</v>
      </c>
      <c r="J457" s="1" t="s">
        <v>28</v>
      </c>
      <c r="K457" s="1" t="s">
        <v>29</v>
      </c>
      <c r="L457" s="1" t="s">
        <v>30</v>
      </c>
      <c r="M457" s="1" t="s">
        <v>625</v>
      </c>
      <c r="N457" s="1" t="s">
        <v>626</v>
      </c>
      <c r="O457" s="1" t="s">
        <v>195</v>
      </c>
      <c r="P457" s="3">
        <v>1</v>
      </c>
      <c r="Q457" s="3">
        <v>21.81</v>
      </c>
      <c r="R457" s="1" t="s">
        <v>34</v>
      </c>
      <c r="S457" s="1" t="s">
        <v>35</v>
      </c>
      <c r="T457" s="1" t="s">
        <v>36</v>
      </c>
      <c r="U457" s="1" t="s">
        <v>37</v>
      </c>
      <c r="V457" s="1" t="s">
        <v>85</v>
      </c>
      <c r="W457" s="1" t="s">
        <v>39</v>
      </c>
      <c r="X457" s="8" t="str">
        <f>+IFERROR(VLOOKUP(N457,[1]Hoja1!$B$2:$F$52,4,0)*P457,"")</f>
        <v/>
      </c>
      <c r="Y457" s="8" t="e">
        <f>+VLOOKUP(M457,[1]SKU!$B$3:$E$81,4,0)</f>
        <v>#N/A</v>
      </c>
      <c r="Z457" s="8" t="str">
        <f t="shared" si="7"/>
        <v>BEES</v>
      </c>
      <c r="AA457" s="8" t="str">
        <f>+VLOOKUP(I457,[1]SKU!$H$2:$I$97,2,0)</f>
        <v>PE07011</v>
      </c>
    </row>
    <row r="458" spans="1:27">
      <c r="A458" s="1" t="s">
        <v>24</v>
      </c>
      <c r="B458" s="2">
        <v>46295</v>
      </c>
      <c r="C458" s="1" t="s">
        <v>416</v>
      </c>
      <c r="D458" s="1" t="s">
        <v>25</v>
      </c>
      <c r="E458" s="1" t="s">
        <v>417</v>
      </c>
      <c r="F458" s="1" t="s">
        <v>418</v>
      </c>
      <c r="G458" s="1" t="s">
        <v>26</v>
      </c>
      <c r="H458" s="1" t="s">
        <v>27</v>
      </c>
      <c r="I458" s="1" t="s">
        <v>53</v>
      </c>
      <c r="J458" s="1" t="s">
        <v>28</v>
      </c>
      <c r="K458" s="1" t="s">
        <v>29</v>
      </c>
      <c r="L458" s="1" t="s">
        <v>30</v>
      </c>
      <c r="M458" s="1" t="s">
        <v>625</v>
      </c>
      <c r="N458" s="1" t="s">
        <v>626</v>
      </c>
      <c r="O458" s="1" t="s">
        <v>195</v>
      </c>
      <c r="P458" s="3">
        <v>1</v>
      </c>
      <c r="Q458" s="3">
        <v>21.81</v>
      </c>
      <c r="R458" s="1" t="s">
        <v>34</v>
      </c>
      <c r="S458" s="1" t="s">
        <v>35</v>
      </c>
      <c r="T458" s="1" t="s">
        <v>36</v>
      </c>
      <c r="U458" s="1" t="s">
        <v>37</v>
      </c>
      <c r="V458" s="1" t="s">
        <v>85</v>
      </c>
      <c r="W458" s="1" t="s">
        <v>39</v>
      </c>
      <c r="X458" s="8" t="str">
        <f>+IFERROR(VLOOKUP(N458,[1]Hoja1!$B$2:$F$52,4,0)*P458,"")</f>
        <v/>
      </c>
      <c r="Y458" s="8" t="e">
        <f>+VLOOKUP(M458,[1]SKU!$B$3:$E$81,4,0)</f>
        <v>#N/A</v>
      </c>
      <c r="Z458" s="8" t="str">
        <f t="shared" si="7"/>
        <v>BEES</v>
      </c>
      <c r="AA458" s="8" t="str">
        <f>+VLOOKUP(I458,[1]SKU!$H$2:$I$97,2,0)</f>
        <v>PE07010</v>
      </c>
    </row>
    <row r="459" spans="1:27">
      <c r="A459" s="1" t="s">
        <v>24</v>
      </c>
      <c r="B459" s="2">
        <v>46295</v>
      </c>
      <c r="C459" s="1" t="s">
        <v>248</v>
      </c>
      <c r="D459" s="1" t="s">
        <v>25</v>
      </c>
      <c r="E459" s="1" t="s">
        <v>249</v>
      </c>
      <c r="F459" s="1" t="s">
        <v>250</v>
      </c>
      <c r="G459" s="1" t="s">
        <v>26</v>
      </c>
      <c r="H459" s="1" t="s">
        <v>27</v>
      </c>
      <c r="I459" s="1" t="s">
        <v>53</v>
      </c>
      <c r="J459" s="1" t="s">
        <v>28</v>
      </c>
      <c r="K459" s="1" t="s">
        <v>29</v>
      </c>
      <c r="L459" s="1" t="s">
        <v>30</v>
      </c>
      <c r="M459" s="1" t="s">
        <v>625</v>
      </c>
      <c r="N459" s="1" t="s">
        <v>626</v>
      </c>
      <c r="O459" s="1" t="s">
        <v>195</v>
      </c>
      <c r="P459" s="3">
        <v>1</v>
      </c>
      <c r="Q459" s="3">
        <v>21.81</v>
      </c>
      <c r="R459" s="1" t="s">
        <v>34</v>
      </c>
      <c r="S459" s="1" t="s">
        <v>35</v>
      </c>
      <c r="T459" s="1" t="s">
        <v>36</v>
      </c>
      <c r="U459" s="1" t="s">
        <v>37</v>
      </c>
      <c r="V459" s="1" t="s">
        <v>85</v>
      </c>
      <c r="W459" s="1" t="s">
        <v>39</v>
      </c>
      <c r="X459" s="8" t="str">
        <f>+IFERROR(VLOOKUP(N459,[1]Hoja1!$B$2:$F$52,4,0)*P459,"")</f>
        <v/>
      </c>
      <c r="Y459" s="8" t="e">
        <f>+VLOOKUP(M459,[1]SKU!$B$3:$E$81,4,0)</f>
        <v>#N/A</v>
      </c>
      <c r="Z459" s="8" t="str">
        <f t="shared" si="7"/>
        <v>BEES</v>
      </c>
      <c r="AA459" s="8" t="str">
        <f>+VLOOKUP(I459,[1]SKU!$H$2:$I$97,2,0)</f>
        <v>PE07010</v>
      </c>
    </row>
    <row r="460" spans="1:27">
      <c r="A460" s="1" t="s">
        <v>42</v>
      </c>
      <c r="B460" s="2">
        <v>46295</v>
      </c>
      <c r="C460" s="1" t="s">
        <v>513</v>
      </c>
      <c r="D460" s="1" t="s">
        <v>43</v>
      </c>
      <c r="E460" s="1" t="s">
        <v>514</v>
      </c>
      <c r="F460" s="1" t="s">
        <v>515</v>
      </c>
      <c r="G460" s="1" t="s">
        <v>26</v>
      </c>
      <c r="H460" s="1" t="s">
        <v>27</v>
      </c>
      <c r="I460" s="1" t="s">
        <v>322</v>
      </c>
      <c r="J460" s="1" t="s">
        <v>28</v>
      </c>
      <c r="K460" s="1" t="s">
        <v>29</v>
      </c>
      <c r="L460" s="1" t="s">
        <v>30</v>
      </c>
      <c r="M460" s="1" t="s">
        <v>137</v>
      </c>
      <c r="N460" s="1" t="s">
        <v>138</v>
      </c>
      <c r="O460" s="1" t="s">
        <v>61</v>
      </c>
      <c r="P460" s="3">
        <v>1</v>
      </c>
      <c r="Q460" s="3">
        <v>14.382353</v>
      </c>
      <c r="R460" s="1" t="s">
        <v>34</v>
      </c>
      <c r="S460" s="1" t="s">
        <v>35</v>
      </c>
      <c r="T460" s="1" t="s">
        <v>36</v>
      </c>
      <c r="U460" s="1" t="s">
        <v>37</v>
      </c>
      <c r="V460" s="1" t="s">
        <v>38</v>
      </c>
      <c r="W460" s="1" t="s">
        <v>39</v>
      </c>
      <c r="X460" s="8">
        <f>+IFERROR(VLOOKUP(N460,[1]Hoja1!$B$2:$F$52,4,0)*P460,"")</f>
        <v>0.28629032258064518</v>
      </c>
      <c r="Y460" s="8" t="str">
        <f>+VLOOKUP(M460,[1]SKU!$B$3:$E$81,4,0)</f>
        <v>LATAS</v>
      </c>
      <c r="Z460" s="8" t="str">
        <f t="shared" si="7"/>
        <v>BEES</v>
      </c>
      <c r="AA460" s="8" t="str">
        <f>+VLOOKUP(I460,[1]SKU!$H$2:$I$97,2,0)</f>
        <v>PE07006</v>
      </c>
    </row>
    <row r="461" spans="1:27">
      <c r="A461" s="1" t="s">
        <v>42</v>
      </c>
      <c r="B461" s="2">
        <v>46295</v>
      </c>
      <c r="C461" s="1" t="s">
        <v>546</v>
      </c>
      <c r="D461" s="1" t="s">
        <v>43</v>
      </c>
      <c r="E461" s="1" t="s">
        <v>119</v>
      </c>
      <c r="F461" s="1" t="s">
        <v>120</v>
      </c>
      <c r="G461" s="1" t="s">
        <v>26</v>
      </c>
      <c r="H461" s="1" t="s">
        <v>27</v>
      </c>
      <c r="I461" s="1" t="s">
        <v>72</v>
      </c>
      <c r="J461" s="1" t="s">
        <v>28</v>
      </c>
      <c r="K461" s="1" t="s">
        <v>29</v>
      </c>
      <c r="L461" s="1" t="s">
        <v>30</v>
      </c>
      <c r="M461" s="1" t="s">
        <v>137</v>
      </c>
      <c r="N461" s="1" t="s">
        <v>138</v>
      </c>
      <c r="O461" s="1" t="s">
        <v>61</v>
      </c>
      <c r="P461" s="3">
        <v>5</v>
      </c>
      <c r="Q461" s="3">
        <v>96.648600000000002</v>
      </c>
      <c r="R461" s="1" t="s">
        <v>34</v>
      </c>
      <c r="S461" s="1" t="s">
        <v>35</v>
      </c>
      <c r="T461" s="1" t="s">
        <v>36</v>
      </c>
      <c r="U461" s="1" t="s">
        <v>37</v>
      </c>
      <c r="V461" s="1" t="s">
        <v>38</v>
      </c>
      <c r="W461" s="1" t="s">
        <v>39</v>
      </c>
      <c r="X461" s="8">
        <f>+IFERROR(VLOOKUP(N461,[1]Hoja1!$B$2:$F$52,4,0)*P461,"")</f>
        <v>1.431451612903226</v>
      </c>
      <c r="Y461" s="8" t="str">
        <f>+VLOOKUP(M461,[1]SKU!$B$3:$E$81,4,0)</f>
        <v>LATAS</v>
      </c>
      <c r="Z461" s="8" t="str">
        <f t="shared" si="7"/>
        <v>BEES</v>
      </c>
      <c r="AA461" s="8" t="str">
        <f>+VLOOKUP(I461,[1]SKU!$H$2:$I$97,2,0)</f>
        <v>PE07001</v>
      </c>
    </row>
    <row r="462" spans="1:27">
      <c r="A462" s="1" t="s">
        <v>40</v>
      </c>
      <c r="B462" s="2">
        <v>46295</v>
      </c>
      <c r="C462" s="1" t="s">
        <v>367</v>
      </c>
      <c r="D462" s="1" t="s">
        <v>41</v>
      </c>
      <c r="E462" s="1" t="s">
        <v>368</v>
      </c>
      <c r="F462" s="1" t="s">
        <v>369</v>
      </c>
      <c r="G462" s="1" t="s">
        <v>26</v>
      </c>
      <c r="H462" s="1" t="s">
        <v>27</v>
      </c>
      <c r="I462" s="1" t="s">
        <v>132</v>
      </c>
      <c r="J462" s="1" t="s">
        <v>28</v>
      </c>
      <c r="K462" s="1" t="s">
        <v>29</v>
      </c>
      <c r="L462" s="1" t="s">
        <v>30</v>
      </c>
      <c r="M462" s="1" t="s">
        <v>187</v>
      </c>
      <c r="N462" s="1" t="s">
        <v>188</v>
      </c>
      <c r="O462" s="1" t="s">
        <v>61</v>
      </c>
      <c r="P462" s="3">
        <v>1</v>
      </c>
      <c r="Q462" s="3">
        <v>21.5</v>
      </c>
      <c r="R462" s="1" t="s">
        <v>34</v>
      </c>
      <c r="S462" s="1" t="s">
        <v>35</v>
      </c>
      <c r="T462" s="1" t="s">
        <v>36</v>
      </c>
      <c r="U462" s="1" t="s">
        <v>37</v>
      </c>
      <c r="V462" s="1" t="s">
        <v>38</v>
      </c>
      <c r="W462" s="1" t="s">
        <v>39</v>
      </c>
      <c r="X462" s="8" t="str">
        <f>+IFERROR(VLOOKUP(N462,[1]Hoja1!$B$2:$F$52,4,0)*P462,"")</f>
        <v/>
      </c>
      <c r="Y462" s="8" t="e">
        <f>+VLOOKUP(M462,[1]SKU!$B$3:$E$81,4,0)</f>
        <v>#N/A</v>
      </c>
      <c r="Z462" s="8" t="str">
        <f t="shared" si="7"/>
        <v>BEES</v>
      </c>
      <c r="AA462" s="8" t="str">
        <f>+VLOOKUP(I462,[1]SKU!$H$2:$I$97,2,0)</f>
        <v>PE07009</v>
      </c>
    </row>
    <row r="463" spans="1:27">
      <c r="A463" s="1" t="s">
        <v>51</v>
      </c>
      <c r="B463" s="2">
        <v>46295</v>
      </c>
      <c r="C463" s="1" t="s">
        <v>483</v>
      </c>
      <c r="D463" s="1" t="s">
        <v>52</v>
      </c>
      <c r="E463" s="1" t="s">
        <v>484</v>
      </c>
      <c r="F463" s="1" t="s">
        <v>485</v>
      </c>
      <c r="G463" s="1" t="s">
        <v>26</v>
      </c>
      <c r="H463" s="1" t="s">
        <v>27</v>
      </c>
      <c r="I463" s="1" t="s">
        <v>238</v>
      </c>
      <c r="J463" s="1" t="s">
        <v>28</v>
      </c>
      <c r="K463" s="1" t="s">
        <v>29</v>
      </c>
      <c r="L463" s="1" t="s">
        <v>30</v>
      </c>
      <c r="M463" s="1" t="s">
        <v>189</v>
      </c>
      <c r="N463" s="1" t="s">
        <v>190</v>
      </c>
      <c r="O463" s="1" t="s">
        <v>61</v>
      </c>
      <c r="P463" s="3">
        <v>1</v>
      </c>
      <c r="Q463" s="3">
        <v>0</v>
      </c>
      <c r="R463" s="1" t="s">
        <v>77</v>
      </c>
      <c r="S463" s="1" t="s">
        <v>35</v>
      </c>
      <c r="T463" s="1" t="s">
        <v>36</v>
      </c>
      <c r="U463" s="1" t="s">
        <v>37</v>
      </c>
      <c r="V463" s="1" t="s">
        <v>38</v>
      </c>
      <c r="W463" s="1" t="s">
        <v>39</v>
      </c>
      <c r="X463" s="8">
        <f>+IFERROR(VLOOKUP(N463,[1]Hoja1!$B$2:$F$52,4,0)*P463,"")</f>
        <v>0.38145161290322577</v>
      </c>
      <c r="Y463" s="8" t="str">
        <f>+VLOOKUP(M463,[1]SKU!$B$3:$E$81,4,0)</f>
        <v>LATAS</v>
      </c>
      <c r="Z463" s="8" t="str">
        <f t="shared" si="7"/>
        <v>BEES</v>
      </c>
      <c r="AA463" s="8" t="str">
        <f>+VLOOKUP(I463,[1]SKU!$H$2:$I$97,2,0)</f>
        <v>PE07011</v>
      </c>
    </row>
    <row r="464" spans="1:27">
      <c r="A464" s="1" t="s">
        <v>40</v>
      </c>
      <c r="B464" s="2">
        <v>46295</v>
      </c>
      <c r="C464" s="1" t="s">
        <v>373</v>
      </c>
      <c r="D464" s="1" t="s">
        <v>41</v>
      </c>
      <c r="E464" s="1" t="s">
        <v>374</v>
      </c>
      <c r="F464" s="1" t="s">
        <v>375</v>
      </c>
      <c r="G464" s="1" t="s">
        <v>26</v>
      </c>
      <c r="H464" s="1" t="s">
        <v>27</v>
      </c>
      <c r="I464" s="1" t="s">
        <v>132</v>
      </c>
      <c r="J464" s="1" t="s">
        <v>28</v>
      </c>
      <c r="K464" s="1" t="s">
        <v>29</v>
      </c>
      <c r="L464" s="1" t="s">
        <v>30</v>
      </c>
      <c r="M464" s="1" t="s">
        <v>189</v>
      </c>
      <c r="N464" s="1" t="s">
        <v>190</v>
      </c>
      <c r="O464" s="1" t="s">
        <v>61</v>
      </c>
      <c r="P464" s="3">
        <v>2</v>
      </c>
      <c r="Q464" s="3">
        <v>34.620026000000003</v>
      </c>
      <c r="R464" s="1" t="s">
        <v>34</v>
      </c>
      <c r="S464" s="1" t="s">
        <v>35</v>
      </c>
      <c r="T464" s="1" t="s">
        <v>36</v>
      </c>
      <c r="U464" s="1" t="s">
        <v>37</v>
      </c>
      <c r="V464" s="1" t="s">
        <v>38</v>
      </c>
      <c r="W464" s="1" t="s">
        <v>39</v>
      </c>
      <c r="X464" s="8">
        <f>+IFERROR(VLOOKUP(N464,[1]Hoja1!$B$2:$F$52,4,0)*P464,"")</f>
        <v>0.76290322580645153</v>
      </c>
      <c r="Y464" s="8" t="str">
        <f>+VLOOKUP(M464,[1]SKU!$B$3:$E$81,4,0)</f>
        <v>LATAS</v>
      </c>
      <c r="Z464" s="8" t="str">
        <f t="shared" si="7"/>
        <v>BEES</v>
      </c>
      <c r="AA464" s="8" t="str">
        <f>+VLOOKUP(I464,[1]SKU!$H$2:$I$97,2,0)</f>
        <v>PE07009</v>
      </c>
    </row>
    <row r="465" spans="1:27">
      <c r="A465" s="1" t="s">
        <v>51</v>
      </c>
      <c r="B465" s="2">
        <v>46295</v>
      </c>
      <c r="C465" s="1" t="s">
        <v>455</v>
      </c>
      <c r="D465" s="1" t="s">
        <v>52</v>
      </c>
      <c r="E465" s="1" t="s">
        <v>456</v>
      </c>
      <c r="F465" s="1" t="s">
        <v>457</v>
      </c>
      <c r="G465" s="1" t="s">
        <v>26</v>
      </c>
      <c r="H465" s="1" t="s">
        <v>27</v>
      </c>
      <c r="I465" s="1" t="s">
        <v>238</v>
      </c>
      <c r="J465" s="1" t="s">
        <v>28</v>
      </c>
      <c r="K465" s="1" t="s">
        <v>29</v>
      </c>
      <c r="L465" s="1" t="s">
        <v>30</v>
      </c>
      <c r="M465" s="1" t="s">
        <v>189</v>
      </c>
      <c r="N465" s="1" t="s">
        <v>190</v>
      </c>
      <c r="O465" s="1" t="s">
        <v>61</v>
      </c>
      <c r="P465" s="3">
        <v>1</v>
      </c>
      <c r="Q465" s="3">
        <v>0</v>
      </c>
      <c r="R465" s="1" t="s">
        <v>77</v>
      </c>
      <c r="S465" s="1" t="s">
        <v>35</v>
      </c>
      <c r="T465" s="1" t="s">
        <v>36</v>
      </c>
      <c r="U465" s="1" t="s">
        <v>37</v>
      </c>
      <c r="V465" s="1" t="s">
        <v>38</v>
      </c>
      <c r="W465" s="1" t="s">
        <v>39</v>
      </c>
      <c r="X465" s="8">
        <f>+IFERROR(VLOOKUP(N465,[1]Hoja1!$B$2:$F$52,4,0)*P465,"")</f>
        <v>0.38145161290322577</v>
      </c>
      <c r="Y465" s="8" t="str">
        <f>+VLOOKUP(M465,[1]SKU!$B$3:$E$81,4,0)</f>
        <v>LATAS</v>
      </c>
      <c r="Z465" s="8" t="str">
        <f t="shared" si="7"/>
        <v>BEES</v>
      </c>
      <c r="AA465" s="8" t="str">
        <f>+VLOOKUP(I465,[1]SKU!$H$2:$I$97,2,0)</f>
        <v>PE07011</v>
      </c>
    </row>
    <row r="466" spans="1:27">
      <c r="A466" s="1" t="s">
        <v>51</v>
      </c>
      <c r="B466" s="2">
        <v>46295</v>
      </c>
      <c r="C466" s="1" t="s">
        <v>312</v>
      </c>
      <c r="D466" s="1" t="s">
        <v>52</v>
      </c>
      <c r="E466" s="1" t="s">
        <v>313</v>
      </c>
      <c r="F466" s="1" t="s">
        <v>314</v>
      </c>
      <c r="G466" s="1" t="s">
        <v>26</v>
      </c>
      <c r="H466" s="1" t="s">
        <v>27</v>
      </c>
      <c r="I466" s="1" t="s">
        <v>238</v>
      </c>
      <c r="J466" s="1" t="s">
        <v>28</v>
      </c>
      <c r="K466" s="1" t="s">
        <v>29</v>
      </c>
      <c r="L466" s="1" t="s">
        <v>30</v>
      </c>
      <c r="M466" s="1" t="s">
        <v>191</v>
      </c>
      <c r="N466" s="1" t="s">
        <v>192</v>
      </c>
      <c r="O466" s="1" t="s">
        <v>61</v>
      </c>
      <c r="P466" s="3">
        <v>12</v>
      </c>
      <c r="Q466" s="3">
        <v>308.45100100000002</v>
      </c>
      <c r="R466" s="1" t="s">
        <v>34</v>
      </c>
      <c r="S466" s="1" t="s">
        <v>35</v>
      </c>
      <c r="T466" s="1" t="s">
        <v>36</v>
      </c>
      <c r="U466" s="1" t="s">
        <v>37</v>
      </c>
      <c r="V466" s="1" t="s">
        <v>38</v>
      </c>
      <c r="W466" s="1" t="s">
        <v>39</v>
      </c>
      <c r="X466" s="8">
        <f>+IFERROR(VLOOKUP(N466,[1]Hoja1!$B$2:$F$52,4,0)*P466,"")</f>
        <v>3.435483870967742</v>
      </c>
      <c r="Y466" s="8" t="e">
        <f>+VLOOKUP(M466,[1]SKU!$B$3:$E$81,4,0)</f>
        <v>#N/A</v>
      </c>
      <c r="Z466" s="8" t="str">
        <f t="shared" si="7"/>
        <v>BEES</v>
      </c>
      <c r="AA466" s="8" t="str">
        <f>+VLOOKUP(I466,[1]SKU!$H$2:$I$97,2,0)</f>
        <v>PE07011</v>
      </c>
    </row>
    <row r="467" spans="1:27">
      <c r="A467" s="1" t="s">
        <v>42</v>
      </c>
      <c r="B467" s="2">
        <v>46295</v>
      </c>
      <c r="C467" s="1" t="s">
        <v>566</v>
      </c>
      <c r="D467" s="1" t="s">
        <v>43</v>
      </c>
      <c r="E467" s="1" t="s">
        <v>567</v>
      </c>
      <c r="F467" s="1" t="s">
        <v>568</v>
      </c>
      <c r="G467" s="1" t="s">
        <v>26</v>
      </c>
      <c r="H467" s="1" t="s">
        <v>27</v>
      </c>
      <c r="I467" s="1" t="s">
        <v>65</v>
      </c>
      <c r="J467" s="1" t="s">
        <v>28</v>
      </c>
      <c r="K467" s="1" t="s">
        <v>29</v>
      </c>
      <c r="L467" s="1" t="s">
        <v>30</v>
      </c>
      <c r="M467" s="1" t="s">
        <v>191</v>
      </c>
      <c r="N467" s="1" t="s">
        <v>192</v>
      </c>
      <c r="O467" s="1" t="s">
        <v>61</v>
      </c>
      <c r="P467" s="3">
        <v>1</v>
      </c>
      <c r="Q467" s="3">
        <v>26.5</v>
      </c>
      <c r="R467" s="1" t="s">
        <v>34</v>
      </c>
      <c r="S467" s="1" t="s">
        <v>35</v>
      </c>
      <c r="T467" s="1" t="s">
        <v>36</v>
      </c>
      <c r="U467" s="1" t="s">
        <v>37</v>
      </c>
      <c r="V467" s="1" t="s">
        <v>38</v>
      </c>
      <c r="W467" s="1" t="s">
        <v>39</v>
      </c>
      <c r="X467" s="8">
        <f>+IFERROR(VLOOKUP(N467,[1]Hoja1!$B$2:$F$52,4,0)*P467,"")</f>
        <v>0.28629032258064518</v>
      </c>
      <c r="Y467" s="8" t="e">
        <f>+VLOOKUP(M467,[1]SKU!$B$3:$E$81,4,0)</f>
        <v>#N/A</v>
      </c>
      <c r="Z467" s="8" t="str">
        <f t="shared" si="7"/>
        <v>BEES</v>
      </c>
      <c r="AA467" s="8" t="str">
        <f>+VLOOKUP(I467,[1]SKU!$H$2:$I$97,2,0)</f>
        <v>PE07003</v>
      </c>
    </row>
    <row r="468" spans="1:27">
      <c r="A468" s="1" t="s">
        <v>42</v>
      </c>
      <c r="B468" s="2">
        <v>46295</v>
      </c>
      <c r="C468" s="1" t="s">
        <v>563</v>
      </c>
      <c r="D468" s="1" t="s">
        <v>43</v>
      </c>
      <c r="E468" s="1" t="s">
        <v>564</v>
      </c>
      <c r="F468" s="1" t="s">
        <v>565</v>
      </c>
      <c r="G468" s="1" t="s">
        <v>26</v>
      </c>
      <c r="H468" s="1" t="s">
        <v>27</v>
      </c>
      <c r="I468" s="1" t="s">
        <v>180</v>
      </c>
      <c r="J468" s="1" t="s">
        <v>28</v>
      </c>
      <c r="K468" s="1" t="s">
        <v>29</v>
      </c>
      <c r="L468" s="1" t="s">
        <v>30</v>
      </c>
      <c r="M468" s="1" t="s">
        <v>191</v>
      </c>
      <c r="N468" s="1" t="s">
        <v>192</v>
      </c>
      <c r="O468" s="1" t="s">
        <v>61</v>
      </c>
      <c r="P468" s="3">
        <v>2</v>
      </c>
      <c r="Q468" s="3">
        <v>53.01</v>
      </c>
      <c r="R468" s="1" t="s">
        <v>34</v>
      </c>
      <c r="S468" s="1" t="s">
        <v>35</v>
      </c>
      <c r="T468" s="1" t="s">
        <v>36</v>
      </c>
      <c r="U468" s="1" t="s">
        <v>37</v>
      </c>
      <c r="V468" s="1" t="s">
        <v>38</v>
      </c>
      <c r="W468" s="1" t="s">
        <v>39</v>
      </c>
      <c r="X468" s="8">
        <f>+IFERROR(VLOOKUP(N468,[1]Hoja1!$B$2:$F$52,4,0)*P468,"")</f>
        <v>0.57258064516129037</v>
      </c>
      <c r="Y468" s="8" t="e">
        <f>+VLOOKUP(M468,[1]SKU!$B$3:$E$81,4,0)</f>
        <v>#N/A</v>
      </c>
      <c r="Z468" s="8" t="str">
        <f t="shared" si="7"/>
        <v>BEES</v>
      </c>
      <c r="AA468" s="8" t="str">
        <f>+VLOOKUP(I468,[1]SKU!$H$2:$I$97,2,0)</f>
        <v>PE07002</v>
      </c>
    </row>
    <row r="469" spans="1:27">
      <c r="A469" s="1" t="s">
        <v>42</v>
      </c>
      <c r="B469" s="2">
        <v>46295</v>
      </c>
      <c r="C469" s="1" t="s">
        <v>257</v>
      </c>
      <c r="D469" s="1" t="s">
        <v>43</v>
      </c>
      <c r="E469" s="1" t="s">
        <v>258</v>
      </c>
      <c r="F469" s="1" t="s">
        <v>259</v>
      </c>
      <c r="G469" s="1" t="s">
        <v>26</v>
      </c>
      <c r="H469" s="1" t="s">
        <v>27</v>
      </c>
      <c r="I469" s="1" t="s">
        <v>180</v>
      </c>
      <c r="J469" s="1" t="s">
        <v>28</v>
      </c>
      <c r="K469" s="1" t="s">
        <v>29</v>
      </c>
      <c r="L469" s="1" t="s">
        <v>30</v>
      </c>
      <c r="M469" s="1" t="s">
        <v>113</v>
      </c>
      <c r="N469" s="1" t="s">
        <v>114</v>
      </c>
      <c r="O469" s="1" t="s">
        <v>115</v>
      </c>
      <c r="P469" s="3">
        <v>1</v>
      </c>
      <c r="Q469" s="3">
        <v>9.9996749999999999</v>
      </c>
      <c r="R469" s="1" t="s">
        <v>34</v>
      </c>
      <c r="S469" s="1" t="s">
        <v>35</v>
      </c>
      <c r="T469" s="1" t="s">
        <v>36</v>
      </c>
      <c r="U469" s="1" t="s">
        <v>37</v>
      </c>
      <c r="V469" s="1" t="s">
        <v>116</v>
      </c>
      <c r="W469" s="1" t="s">
        <v>39</v>
      </c>
      <c r="X469" s="8">
        <f>+IFERROR(VLOOKUP(N469,[1]Hoja1!$B$2:$F$52,4,0)*P469,"")</f>
        <v>1.0080645161290323</v>
      </c>
      <c r="Y469" s="8" t="str">
        <f>+VLOOKUP(M469,[1]SKU!$B$3:$E$81,4,0)</f>
        <v>REGULAR</v>
      </c>
      <c r="Z469" s="8" t="str">
        <f t="shared" si="7"/>
        <v>BEES</v>
      </c>
      <c r="AA469" s="8" t="str">
        <f>+VLOOKUP(I469,[1]SKU!$H$2:$I$97,2,0)</f>
        <v>PE07002</v>
      </c>
    </row>
    <row r="470" spans="1:27">
      <c r="A470" s="1" t="s">
        <v>42</v>
      </c>
      <c r="B470" s="2">
        <v>46295</v>
      </c>
      <c r="C470" s="1" t="s">
        <v>543</v>
      </c>
      <c r="D470" s="1" t="s">
        <v>43</v>
      </c>
      <c r="E470" s="1" t="s">
        <v>544</v>
      </c>
      <c r="F470" s="1" t="s">
        <v>545</v>
      </c>
      <c r="G470" s="1" t="s">
        <v>26</v>
      </c>
      <c r="H470" s="1" t="s">
        <v>27</v>
      </c>
      <c r="I470" s="1" t="s">
        <v>65</v>
      </c>
      <c r="J470" s="1" t="s">
        <v>28</v>
      </c>
      <c r="K470" s="1" t="s">
        <v>29</v>
      </c>
      <c r="L470" s="1" t="s">
        <v>30</v>
      </c>
      <c r="M470" s="1" t="s">
        <v>113</v>
      </c>
      <c r="N470" s="1" t="s">
        <v>114</v>
      </c>
      <c r="O470" s="1" t="s">
        <v>115</v>
      </c>
      <c r="P470" s="3">
        <v>3</v>
      </c>
      <c r="Q470" s="3">
        <v>29.999026000000001</v>
      </c>
      <c r="R470" s="1" t="s">
        <v>34</v>
      </c>
      <c r="S470" s="1" t="s">
        <v>35</v>
      </c>
      <c r="T470" s="1" t="s">
        <v>36</v>
      </c>
      <c r="U470" s="1" t="s">
        <v>37</v>
      </c>
      <c r="V470" s="1" t="s">
        <v>116</v>
      </c>
      <c r="W470" s="1" t="s">
        <v>39</v>
      </c>
      <c r="X470" s="8">
        <f>+IFERROR(VLOOKUP(N470,[1]Hoja1!$B$2:$F$52,4,0)*P470,"")</f>
        <v>3.024193548387097</v>
      </c>
      <c r="Y470" s="8" t="str">
        <f>+VLOOKUP(M470,[1]SKU!$B$3:$E$81,4,0)</f>
        <v>REGULAR</v>
      </c>
      <c r="Z470" s="8" t="str">
        <f t="shared" si="7"/>
        <v>BEES</v>
      </c>
      <c r="AA470" s="8" t="str">
        <f>+VLOOKUP(I470,[1]SKU!$H$2:$I$97,2,0)</f>
        <v>PE07003</v>
      </c>
    </row>
    <row r="471" spans="1:27">
      <c r="A471" s="1" t="s">
        <v>40</v>
      </c>
      <c r="B471" s="2">
        <v>46295</v>
      </c>
      <c r="C471" s="1" t="s">
        <v>289</v>
      </c>
      <c r="D471" s="1" t="s">
        <v>41</v>
      </c>
      <c r="E471" s="1" t="s">
        <v>133</v>
      </c>
      <c r="F471" s="1" t="s">
        <v>134</v>
      </c>
      <c r="G471" s="1" t="s">
        <v>26</v>
      </c>
      <c r="H471" s="1" t="s">
        <v>27</v>
      </c>
      <c r="I471" s="1" t="s">
        <v>132</v>
      </c>
      <c r="J471" s="1" t="s">
        <v>28</v>
      </c>
      <c r="K471" s="1" t="s">
        <v>29</v>
      </c>
      <c r="L471" s="1" t="s">
        <v>30</v>
      </c>
      <c r="M471" s="1" t="s">
        <v>113</v>
      </c>
      <c r="N471" s="1" t="s">
        <v>114</v>
      </c>
      <c r="O471" s="1" t="s">
        <v>115</v>
      </c>
      <c r="P471" s="3">
        <v>1</v>
      </c>
      <c r="Q471" s="3">
        <v>9.9996749999999999</v>
      </c>
      <c r="R471" s="1" t="s">
        <v>34</v>
      </c>
      <c r="S471" s="1" t="s">
        <v>35</v>
      </c>
      <c r="T471" s="1" t="s">
        <v>36</v>
      </c>
      <c r="U471" s="1" t="s">
        <v>37</v>
      </c>
      <c r="V471" s="1" t="s">
        <v>116</v>
      </c>
      <c r="W471" s="1" t="s">
        <v>39</v>
      </c>
      <c r="X471" s="8">
        <f>+IFERROR(VLOOKUP(N471,[1]Hoja1!$B$2:$F$52,4,0)*P471,"")</f>
        <v>1.0080645161290323</v>
      </c>
      <c r="Y471" s="8" t="str">
        <f>+VLOOKUP(M471,[1]SKU!$B$3:$E$81,4,0)</f>
        <v>REGULAR</v>
      </c>
      <c r="Z471" s="8" t="str">
        <f t="shared" si="7"/>
        <v>BEES</v>
      </c>
      <c r="AA471" s="8" t="str">
        <f>+VLOOKUP(I471,[1]SKU!$H$2:$I$97,2,0)</f>
        <v>PE07009</v>
      </c>
    </row>
    <row r="472" spans="1:27">
      <c r="A472" s="1" t="s">
        <v>42</v>
      </c>
      <c r="B472" s="2">
        <v>46295</v>
      </c>
      <c r="C472" s="1" t="s">
        <v>627</v>
      </c>
      <c r="D472" s="1" t="s">
        <v>43</v>
      </c>
      <c r="E472" s="1" t="s">
        <v>628</v>
      </c>
      <c r="F472" s="1" t="s">
        <v>629</v>
      </c>
      <c r="G472" s="1" t="s">
        <v>26</v>
      </c>
      <c r="H472" s="1" t="s">
        <v>27</v>
      </c>
      <c r="I472" s="1" t="s">
        <v>322</v>
      </c>
      <c r="J472" s="1" t="s">
        <v>28</v>
      </c>
      <c r="K472" s="1" t="s">
        <v>29</v>
      </c>
      <c r="L472" s="1" t="s">
        <v>30</v>
      </c>
      <c r="M472" s="1" t="s">
        <v>113</v>
      </c>
      <c r="N472" s="1" t="s">
        <v>114</v>
      </c>
      <c r="O472" s="1" t="s">
        <v>115</v>
      </c>
      <c r="P472" s="3">
        <v>3</v>
      </c>
      <c r="Q472" s="3">
        <v>29.999026000000001</v>
      </c>
      <c r="R472" s="1" t="s">
        <v>34</v>
      </c>
      <c r="S472" s="1" t="s">
        <v>35</v>
      </c>
      <c r="T472" s="1" t="s">
        <v>36</v>
      </c>
      <c r="U472" s="1" t="s">
        <v>37</v>
      </c>
      <c r="V472" s="1" t="s">
        <v>116</v>
      </c>
      <c r="W472" s="1" t="s">
        <v>39</v>
      </c>
      <c r="X472" s="8">
        <f>+IFERROR(VLOOKUP(N472,[1]Hoja1!$B$2:$F$52,4,0)*P472,"")</f>
        <v>3.024193548387097</v>
      </c>
      <c r="Y472" s="8" t="str">
        <f>+VLOOKUP(M472,[1]SKU!$B$3:$E$81,4,0)</f>
        <v>REGULAR</v>
      </c>
      <c r="Z472" s="8" t="str">
        <f t="shared" si="7"/>
        <v>BEES</v>
      </c>
      <c r="AA472" s="8" t="str">
        <f>+VLOOKUP(I472,[1]SKU!$H$2:$I$97,2,0)</f>
        <v>PE07006</v>
      </c>
    </row>
    <row r="473" spans="1:27">
      <c r="A473" s="1" t="s">
        <v>24</v>
      </c>
      <c r="B473" s="2">
        <v>46295</v>
      </c>
      <c r="C473" s="1" t="s">
        <v>315</v>
      </c>
      <c r="D473" s="1" t="s">
        <v>25</v>
      </c>
      <c r="E473" s="1" t="s">
        <v>130</v>
      </c>
      <c r="F473" s="1" t="s">
        <v>131</v>
      </c>
      <c r="G473" s="1" t="s">
        <v>26</v>
      </c>
      <c r="H473" s="1" t="s">
        <v>27</v>
      </c>
      <c r="I473" s="1" t="s">
        <v>53</v>
      </c>
      <c r="J473" s="1" t="s">
        <v>28</v>
      </c>
      <c r="K473" s="1" t="s">
        <v>29</v>
      </c>
      <c r="L473" s="1" t="s">
        <v>30</v>
      </c>
      <c r="M473" s="1" t="s">
        <v>113</v>
      </c>
      <c r="N473" s="1" t="s">
        <v>114</v>
      </c>
      <c r="O473" s="1" t="s">
        <v>115</v>
      </c>
      <c r="P473" s="3">
        <v>2</v>
      </c>
      <c r="Q473" s="3">
        <v>19.99935</v>
      </c>
      <c r="R473" s="1" t="s">
        <v>34</v>
      </c>
      <c r="S473" s="1" t="s">
        <v>35</v>
      </c>
      <c r="T473" s="1" t="s">
        <v>36</v>
      </c>
      <c r="U473" s="1" t="s">
        <v>37</v>
      </c>
      <c r="V473" s="1" t="s">
        <v>116</v>
      </c>
      <c r="W473" s="1" t="s">
        <v>39</v>
      </c>
      <c r="X473" s="8">
        <f>+IFERROR(VLOOKUP(N473,[1]Hoja1!$B$2:$F$52,4,0)*P473,"")</f>
        <v>2.0161290322580645</v>
      </c>
      <c r="Y473" s="8" t="str">
        <f>+VLOOKUP(M473,[1]SKU!$B$3:$E$81,4,0)</f>
        <v>REGULAR</v>
      </c>
      <c r="Z473" s="8" t="str">
        <f t="shared" si="7"/>
        <v>BEES</v>
      </c>
      <c r="AA473" s="8" t="str">
        <f>+VLOOKUP(I473,[1]SKU!$H$2:$I$97,2,0)</f>
        <v>PE07010</v>
      </c>
    </row>
    <row r="474" spans="1:27">
      <c r="A474" s="1" t="s">
        <v>42</v>
      </c>
      <c r="B474" s="2">
        <v>46295</v>
      </c>
      <c r="C474" s="1" t="s">
        <v>557</v>
      </c>
      <c r="D474" s="1" t="s">
        <v>43</v>
      </c>
      <c r="E474" s="1" t="s">
        <v>558</v>
      </c>
      <c r="F474" s="1" t="s">
        <v>559</v>
      </c>
      <c r="G474" s="1" t="s">
        <v>26</v>
      </c>
      <c r="H474" s="1" t="s">
        <v>27</v>
      </c>
      <c r="I474" s="1" t="s">
        <v>267</v>
      </c>
      <c r="J474" s="1" t="s">
        <v>28</v>
      </c>
      <c r="K474" s="1" t="s">
        <v>29</v>
      </c>
      <c r="L474" s="1" t="s">
        <v>30</v>
      </c>
      <c r="M474" s="1" t="s">
        <v>113</v>
      </c>
      <c r="N474" s="1" t="s">
        <v>114</v>
      </c>
      <c r="O474" s="1" t="s">
        <v>115</v>
      </c>
      <c r="P474" s="3">
        <v>1</v>
      </c>
      <c r="Q474" s="3">
        <v>9.9996749999999999</v>
      </c>
      <c r="R474" s="1" t="s">
        <v>34</v>
      </c>
      <c r="S474" s="1" t="s">
        <v>35</v>
      </c>
      <c r="T474" s="1" t="s">
        <v>36</v>
      </c>
      <c r="U474" s="1" t="s">
        <v>37</v>
      </c>
      <c r="V474" s="1" t="s">
        <v>116</v>
      </c>
      <c r="W474" s="1" t="s">
        <v>39</v>
      </c>
      <c r="X474" s="8">
        <f>+IFERROR(VLOOKUP(N474,[1]Hoja1!$B$2:$F$52,4,0)*P474,"")</f>
        <v>1.0080645161290323</v>
      </c>
      <c r="Y474" s="8" t="str">
        <f>+VLOOKUP(M474,[1]SKU!$B$3:$E$81,4,0)</f>
        <v>REGULAR</v>
      </c>
      <c r="Z474" s="8" t="str">
        <f t="shared" si="7"/>
        <v>BEES</v>
      </c>
      <c r="AA474" s="8" t="str">
        <f>+VLOOKUP(I474,[1]SKU!$H$2:$I$97,2,0)</f>
        <v>PE07006</v>
      </c>
    </row>
    <row r="475" spans="1:27">
      <c r="A475" s="1" t="s">
        <v>24</v>
      </c>
      <c r="B475" s="2">
        <v>46295</v>
      </c>
      <c r="C475" s="1" t="s">
        <v>594</v>
      </c>
      <c r="D475" s="1" t="s">
        <v>25</v>
      </c>
      <c r="E475" s="1" t="s">
        <v>75</v>
      </c>
      <c r="F475" s="1" t="s">
        <v>76</v>
      </c>
      <c r="G475" s="1" t="s">
        <v>26</v>
      </c>
      <c r="H475" s="1" t="s">
        <v>27</v>
      </c>
      <c r="I475" s="1" t="s">
        <v>53</v>
      </c>
      <c r="J475" s="1" t="s">
        <v>28</v>
      </c>
      <c r="K475" s="1" t="s">
        <v>29</v>
      </c>
      <c r="L475" s="1" t="s">
        <v>30</v>
      </c>
      <c r="M475" s="1" t="s">
        <v>113</v>
      </c>
      <c r="N475" s="1" t="s">
        <v>114</v>
      </c>
      <c r="O475" s="1" t="s">
        <v>115</v>
      </c>
      <c r="P475" s="3">
        <v>1</v>
      </c>
      <c r="Q475" s="3">
        <v>9.9996749999999999</v>
      </c>
      <c r="R475" s="1" t="s">
        <v>34</v>
      </c>
      <c r="S475" s="1" t="s">
        <v>35</v>
      </c>
      <c r="T475" s="1" t="s">
        <v>36</v>
      </c>
      <c r="U475" s="1" t="s">
        <v>37</v>
      </c>
      <c r="V475" s="1" t="s">
        <v>116</v>
      </c>
      <c r="W475" s="1" t="s">
        <v>39</v>
      </c>
      <c r="X475" s="8">
        <f>+IFERROR(VLOOKUP(N475,[1]Hoja1!$B$2:$F$52,4,0)*P475,"")</f>
        <v>1.0080645161290323</v>
      </c>
      <c r="Y475" s="8" t="str">
        <f>+VLOOKUP(M475,[1]SKU!$B$3:$E$81,4,0)</f>
        <v>REGULAR</v>
      </c>
      <c r="Z475" s="8" t="str">
        <f t="shared" si="7"/>
        <v>BEES</v>
      </c>
      <c r="AA475" s="8" t="str">
        <f>+VLOOKUP(I475,[1]SKU!$H$2:$I$97,2,0)</f>
        <v>PE07010</v>
      </c>
    </row>
    <row r="476" spans="1:27">
      <c r="A476" s="1" t="s">
        <v>24</v>
      </c>
      <c r="B476" s="2">
        <v>46295</v>
      </c>
      <c r="C476" s="1" t="s">
        <v>248</v>
      </c>
      <c r="D476" s="1" t="s">
        <v>25</v>
      </c>
      <c r="E476" s="1" t="s">
        <v>249</v>
      </c>
      <c r="F476" s="1" t="s">
        <v>250</v>
      </c>
      <c r="G476" s="1" t="s">
        <v>26</v>
      </c>
      <c r="H476" s="1" t="s">
        <v>27</v>
      </c>
      <c r="I476" s="1" t="s">
        <v>53</v>
      </c>
      <c r="J476" s="1" t="s">
        <v>28</v>
      </c>
      <c r="K476" s="1" t="s">
        <v>29</v>
      </c>
      <c r="L476" s="1" t="s">
        <v>30</v>
      </c>
      <c r="M476" s="1" t="s">
        <v>223</v>
      </c>
      <c r="N476" s="1" t="s">
        <v>224</v>
      </c>
      <c r="O476" s="1" t="s">
        <v>155</v>
      </c>
      <c r="P476" s="3">
        <v>1</v>
      </c>
      <c r="Q476" s="3">
        <v>4.7765279999999999</v>
      </c>
      <c r="R476" s="1" t="s">
        <v>34</v>
      </c>
      <c r="S476" s="1" t="s">
        <v>35</v>
      </c>
      <c r="T476" s="1" t="s">
        <v>36</v>
      </c>
      <c r="U476" s="1" t="s">
        <v>37</v>
      </c>
      <c r="V476" s="1" t="s">
        <v>85</v>
      </c>
      <c r="W476" s="1" t="s">
        <v>39</v>
      </c>
      <c r="X476" s="8" t="str">
        <f>+IFERROR(VLOOKUP(N476,[1]Hoja1!$B$2:$F$52,4,0)*P476,"")</f>
        <v/>
      </c>
      <c r="Y476" s="8" t="e">
        <f>+VLOOKUP(M476,[1]SKU!$B$3:$E$81,4,0)</f>
        <v>#N/A</v>
      </c>
      <c r="Z476" s="8" t="str">
        <f t="shared" si="7"/>
        <v>BEES</v>
      </c>
      <c r="AA476" s="8" t="str">
        <f>+VLOOKUP(I476,[1]SKU!$H$2:$I$97,2,0)</f>
        <v>PE07010</v>
      </c>
    </row>
    <row r="477" spans="1:27">
      <c r="A477" s="1" t="s">
        <v>24</v>
      </c>
      <c r="B477" s="2">
        <v>46295</v>
      </c>
      <c r="C477" s="1" t="s">
        <v>594</v>
      </c>
      <c r="D477" s="1" t="s">
        <v>25</v>
      </c>
      <c r="E477" s="1" t="s">
        <v>75</v>
      </c>
      <c r="F477" s="1" t="s">
        <v>76</v>
      </c>
      <c r="G477" s="1" t="s">
        <v>26</v>
      </c>
      <c r="H477" s="1" t="s">
        <v>27</v>
      </c>
      <c r="I477" s="1" t="s">
        <v>53</v>
      </c>
      <c r="J477" s="1" t="s">
        <v>28</v>
      </c>
      <c r="K477" s="1" t="s">
        <v>29</v>
      </c>
      <c r="L477" s="1" t="s">
        <v>30</v>
      </c>
      <c r="M477" s="1" t="s">
        <v>223</v>
      </c>
      <c r="N477" s="1" t="s">
        <v>224</v>
      </c>
      <c r="O477" s="1" t="s">
        <v>155</v>
      </c>
      <c r="P477" s="3">
        <v>1</v>
      </c>
      <c r="Q477" s="3">
        <v>0</v>
      </c>
      <c r="R477" s="1" t="s">
        <v>77</v>
      </c>
      <c r="S477" s="1" t="s">
        <v>35</v>
      </c>
      <c r="T477" s="1" t="s">
        <v>36</v>
      </c>
      <c r="U477" s="1" t="s">
        <v>37</v>
      </c>
      <c r="V477" s="1" t="s">
        <v>85</v>
      </c>
      <c r="W477" s="1" t="s">
        <v>39</v>
      </c>
      <c r="X477" s="8" t="str">
        <f>+IFERROR(VLOOKUP(N477,[1]Hoja1!$B$2:$F$52,4,0)*P477,"")</f>
        <v/>
      </c>
      <c r="Y477" s="8" t="e">
        <f>+VLOOKUP(M477,[1]SKU!$B$3:$E$81,4,0)</f>
        <v>#N/A</v>
      </c>
      <c r="Z477" s="8" t="str">
        <f t="shared" si="7"/>
        <v>BEES</v>
      </c>
      <c r="AA477" s="8" t="str">
        <f>+VLOOKUP(I477,[1]SKU!$H$2:$I$97,2,0)</f>
        <v>PE07010</v>
      </c>
    </row>
    <row r="478" spans="1:27">
      <c r="A478" s="1" t="s">
        <v>42</v>
      </c>
      <c r="B478" s="2">
        <v>46295</v>
      </c>
      <c r="C478" s="1" t="s">
        <v>547</v>
      </c>
      <c r="D478" s="1" t="s">
        <v>43</v>
      </c>
      <c r="E478" s="1" t="s">
        <v>548</v>
      </c>
      <c r="F478" s="1" t="s">
        <v>549</v>
      </c>
      <c r="G478" s="1" t="s">
        <v>26</v>
      </c>
      <c r="H478" s="1" t="s">
        <v>27</v>
      </c>
      <c r="I478" s="1" t="s">
        <v>180</v>
      </c>
      <c r="J478" s="1" t="s">
        <v>28</v>
      </c>
      <c r="K478" s="1" t="s">
        <v>29</v>
      </c>
      <c r="L478" s="1" t="s">
        <v>30</v>
      </c>
      <c r="M478" s="1" t="s">
        <v>107</v>
      </c>
      <c r="N478" s="1" t="s">
        <v>108</v>
      </c>
      <c r="O478" s="1" t="s">
        <v>61</v>
      </c>
      <c r="P478" s="3">
        <v>1</v>
      </c>
      <c r="Q478" s="3">
        <v>24.929220000000001</v>
      </c>
      <c r="R478" s="1" t="s">
        <v>34</v>
      </c>
      <c r="S478" s="1" t="s">
        <v>35</v>
      </c>
      <c r="T478" s="1" t="s">
        <v>36</v>
      </c>
      <c r="U478" s="1" t="s">
        <v>37</v>
      </c>
      <c r="V478" s="1" t="s">
        <v>38</v>
      </c>
      <c r="W478" s="1" t="s">
        <v>39</v>
      </c>
      <c r="X478" s="8">
        <f>+IFERROR(VLOOKUP(N478,[1]Hoja1!$B$2:$F$52,4,0)*P478,"")</f>
        <v>0.28629032258064518</v>
      </c>
      <c r="Y478" s="8" t="str">
        <f>+VLOOKUP(M478,[1]SKU!$B$3:$E$81,4,0)</f>
        <v>LATAS</v>
      </c>
      <c r="Z478" s="8" t="str">
        <f t="shared" si="7"/>
        <v>BEES</v>
      </c>
      <c r="AA478" s="8" t="str">
        <f>+VLOOKUP(I478,[1]SKU!$H$2:$I$97,2,0)</f>
        <v>PE07002</v>
      </c>
    </row>
    <row r="479" spans="1:27">
      <c r="A479" s="1" t="s">
        <v>24</v>
      </c>
      <c r="B479" s="2">
        <v>46295</v>
      </c>
      <c r="C479" s="1" t="s">
        <v>452</v>
      </c>
      <c r="D479" s="1" t="s">
        <v>25</v>
      </c>
      <c r="E479" s="1" t="s">
        <v>453</v>
      </c>
      <c r="F479" s="1" t="s">
        <v>454</v>
      </c>
      <c r="G479" s="1" t="s">
        <v>26</v>
      </c>
      <c r="H479" s="1" t="s">
        <v>27</v>
      </c>
      <c r="I479" s="1" t="s">
        <v>64</v>
      </c>
      <c r="J479" s="1" t="s">
        <v>28</v>
      </c>
      <c r="K479" s="1" t="s">
        <v>29</v>
      </c>
      <c r="L479" s="1" t="s">
        <v>30</v>
      </c>
      <c r="M479" s="1" t="s">
        <v>80</v>
      </c>
      <c r="N479" s="1" t="s">
        <v>81</v>
      </c>
      <c r="O479" s="1" t="s">
        <v>33</v>
      </c>
      <c r="P479" s="3">
        <v>1</v>
      </c>
      <c r="Q479" s="3">
        <v>76.210800000000006</v>
      </c>
      <c r="R479" s="1" t="s">
        <v>34</v>
      </c>
      <c r="S479" s="1" t="s">
        <v>35</v>
      </c>
      <c r="T479" s="1" t="s">
        <v>36</v>
      </c>
      <c r="U479" s="1" t="s">
        <v>37</v>
      </c>
      <c r="V479" s="1" t="s">
        <v>38</v>
      </c>
      <c r="W479" s="1" t="s">
        <v>39</v>
      </c>
      <c r="X479" s="8">
        <f>+IFERROR(VLOOKUP(N479,[1]Hoja1!$B$2:$F$52,4,0)*P479,"")</f>
        <v>1</v>
      </c>
      <c r="Y479" s="8" t="str">
        <f>+VLOOKUP(M479,[1]SKU!$B$3:$E$81,4,0)</f>
        <v>REGULAR</v>
      </c>
      <c r="Z479" s="8" t="str">
        <f t="shared" si="7"/>
        <v>BEES</v>
      </c>
      <c r="AA479" s="8" t="str">
        <f>+VLOOKUP(I479,[1]SKU!$H$2:$I$97,2,0)</f>
        <v>PE07012</v>
      </c>
    </row>
    <row r="480" spans="1:27">
      <c r="A480" s="1" t="s">
        <v>44</v>
      </c>
      <c r="B480" s="2">
        <v>46295</v>
      </c>
      <c r="C480" s="1" t="s">
        <v>404</v>
      </c>
      <c r="D480" s="1" t="s">
        <v>58</v>
      </c>
      <c r="E480" s="1" t="s">
        <v>405</v>
      </c>
      <c r="F480" s="1" t="s">
        <v>406</v>
      </c>
      <c r="G480" s="1" t="s">
        <v>26</v>
      </c>
      <c r="H480" s="1" t="s">
        <v>27</v>
      </c>
      <c r="I480" s="1" t="s">
        <v>297</v>
      </c>
      <c r="J480" s="1" t="s">
        <v>28</v>
      </c>
      <c r="K480" s="1" t="s">
        <v>29</v>
      </c>
      <c r="L480" s="1" t="s">
        <v>30</v>
      </c>
      <c r="M480" s="1" t="s">
        <v>80</v>
      </c>
      <c r="N480" s="1" t="s">
        <v>81</v>
      </c>
      <c r="O480" s="1" t="s">
        <v>33</v>
      </c>
      <c r="P480" s="3">
        <v>1</v>
      </c>
      <c r="Q480" s="3">
        <v>76.210800000000006</v>
      </c>
      <c r="R480" s="1" t="s">
        <v>34</v>
      </c>
      <c r="S480" s="1" t="s">
        <v>35</v>
      </c>
      <c r="T480" s="1" t="s">
        <v>36</v>
      </c>
      <c r="U480" s="1" t="s">
        <v>37</v>
      </c>
      <c r="V480" s="1" t="s">
        <v>38</v>
      </c>
      <c r="W480" s="1" t="s">
        <v>39</v>
      </c>
      <c r="X480" s="8">
        <f>+IFERROR(VLOOKUP(N480,[1]Hoja1!$B$2:$F$52,4,0)*P480,"")</f>
        <v>1</v>
      </c>
      <c r="Y480" s="8" t="str">
        <f>+VLOOKUP(M480,[1]SKU!$B$3:$E$81,4,0)</f>
        <v>REGULAR</v>
      </c>
      <c r="Z480" s="8" t="str">
        <f t="shared" si="7"/>
        <v>BEES</v>
      </c>
      <c r="AA480" s="8" t="str">
        <f>+VLOOKUP(I480,[1]SKU!$H$2:$I$97,2,0)</f>
        <v>PE07004</v>
      </c>
    </row>
    <row r="481" spans="1:27">
      <c r="A481" s="1" t="s">
        <v>42</v>
      </c>
      <c r="B481" s="2">
        <v>46295</v>
      </c>
      <c r="C481" s="1" t="s">
        <v>505</v>
      </c>
      <c r="D481" s="1" t="s">
        <v>43</v>
      </c>
      <c r="E481" s="1" t="s">
        <v>506</v>
      </c>
      <c r="F481" s="1" t="s">
        <v>507</v>
      </c>
      <c r="G481" s="1" t="s">
        <v>26</v>
      </c>
      <c r="H481" s="1" t="s">
        <v>27</v>
      </c>
      <c r="I481" s="1" t="s">
        <v>65</v>
      </c>
      <c r="J481" s="1" t="s">
        <v>28</v>
      </c>
      <c r="K481" s="1" t="s">
        <v>29</v>
      </c>
      <c r="L481" s="1" t="s">
        <v>30</v>
      </c>
      <c r="M481" s="1" t="s">
        <v>80</v>
      </c>
      <c r="N481" s="1" t="s">
        <v>81</v>
      </c>
      <c r="O481" s="1" t="s">
        <v>33</v>
      </c>
      <c r="P481" s="3">
        <v>1</v>
      </c>
      <c r="Q481" s="3">
        <v>76.210800000000006</v>
      </c>
      <c r="R481" s="1" t="s">
        <v>34</v>
      </c>
      <c r="S481" s="1" t="s">
        <v>35</v>
      </c>
      <c r="T481" s="1" t="s">
        <v>36</v>
      </c>
      <c r="U481" s="1" t="s">
        <v>37</v>
      </c>
      <c r="V481" s="1" t="s">
        <v>38</v>
      </c>
      <c r="W481" s="1" t="s">
        <v>39</v>
      </c>
      <c r="X481" s="8">
        <f>+IFERROR(VLOOKUP(N481,[1]Hoja1!$B$2:$F$52,4,0)*P481,"")</f>
        <v>1</v>
      </c>
      <c r="Y481" s="8" t="str">
        <f>+VLOOKUP(M481,[1]SKU!$B$3:$E$81,4,0)</f>
        <v>REGULAR</v>
      </c>
      <c r="Z481" s="8" t="str">
        <f t="shared" si="7"/>
        <v>BEES</v>
      </c>
      <c r="AA481" s="8" t="str">
        <f>+VLOOKUP(I481,[1]SKU!$H$2:$I$97,2,0)</f>
        <v>PE07003</v>
      </c>
    </row>
    <row r="482" spans="1:27">
      <c r="A482" s="1" t="s">
        <v>51</v>
      </c>
      <c r="B482" s="2">
        <v>46295</v>
      </c>
      <c r="C482" s="1" t="s">
        <v>437</v>
      </c>
      <c r="D482" s="1" t="s">
        <v>52</v>
      </c>
      <c r="E482" s="1" t="s">
        <v>438</v>
      </c>
      <c r="F482" s="1" t="s">
        <v>439</v>
      </c>
      <c r="G482" s="1" t="s">
        <v>26</v>
      </c>
      <c r="H482" s="1" t="s">
        <v>27</v>
      </c>
      <c r="I482" s="1" t="s">
        <v>238</v>
      </c>
      <c r="J482" s="1" t="s">
        <v>28</v>
      </c>
      <c r="K482" s="1" t="s">
        <v>29</v>
      </c>
      <c r="L482" s="1" t="s">
        <v>30</v>
      </c>
      <c r="M482" s="1" t="s">
        <v>80</v>
      </c>
      <c r="N482" s="1" t="s">
        <v>81</v>
      </c>
      <c r="O482" s="1" t="s">
        <v>33</v>
      </c>
      <c r="P482" s="3">
        <v>1</v>
      </c>
      <c r="Q482" s="3">
        <v>76.210800000000006</v>
      </c>
      <c r="R482" s="1" t="s">
        <v>34</v>
      </c>
      <c r="S482" s="1" t="s">
        <v>35</v>
      </c>
      <c r="T482" s="1" t="s">
        <v>36</v>
      </c>
      <c r="U482" s="1" t="s">
        <v>37</v>
      </c>
      <c r="V482" s="1" t="s">
        <v>38</v>
      </c>
      <c r="W482" s="1" t="s">
        <v>39</v>
      </c>
      <c r="X482" s="8">
        <f>+IFERROR(VLOOKUP(N482,[1]Hoja1!$B$2:$F$52,4,0)*P482,"")</f>
        <v>1</v>
      </c>
      <c r="Y482" s="8" t="str">
        <f>+VLOOKUP(M482,[1]SKU!$B$3:$E$81,4,0)</f>
        <v>REGULAR</v>
      </c>
      <c r="Z482" s="8" t="str">
        <f t="shared" si="7"/>
        <v>BEES</v>
      </c>
      <c r="AA482" s="8" t="str">
        <f>+VLOOKUP(I482,[1]SKU!$H$2:$I$97,2,0)</f>
        <v>PE07011</v>
      </c>
    </row>
    <row r="483" spans="1:27">
      <c r="A483" s="1" t="s">
        <v>24</v>
      </c>
      <c r="B483" s="2">
        <v>46295</v>
      </c>
      <c r="C483" s="1" t="s">
        <v>242</v>
      </c>
      <c r="D483" s="1" t="s">
        <v>25</v>
      </c>
      <c r="E483" s="1" t="s">
        <v>243</v>
      </c>
      <c r="F483" s="1" t="s">
        <v>244</v>
      </c>
      <c r="G483" s="1" t="s">
        <v>26</v>
      </c>
      <c r="H483" s="1" t="s">
        <v>27</v>
      </c>
      <c r="I483" s="1" t="s">
        <v>53</v>
      </c>
      <c r="J483" s="1" t="s">
        <v>28</v>
      </c>
      <c r="K483" s="1" t="s">
        <v>29</v>
      </c>
      <c r="L483" s="1" t="s">
        <v>30</v>
      </c>
      <c r="M483" s="1" t="s">
        <v>49</v>
      </c>
      <c r="N483" s="1" t="s">
        <v>50</v>
      </c>
      <c r="O483" s="1" t="s">
        <v>33</v>
      </c>
      <c r="P483" s="3">
        <v>6</v>
      </c>
      <c r="Q483" s="3">
        <v>437.04</v>
      </c>
      <c r="R483" s="1" t="s">
        <v>34</v>
      </c>
      <c r="S483" s="1" t="s">
        <v>35</v>
      </c>
      <c r="T483" s="1" t="s">
        <v>36</v>
      </c>
      <c r="U483" s="1" t="s">
        <v>37</v>
      </c>
      <c r="V483" s="1" t="s">
        <v>38</v>
      </c>
      <c r="W483" s="1" t="s">
        <v>39</v>
      </c>
      <c r="X483" s="8">
        <f>+IFERROR(VLOOKUP(N483,[1]Hoja1!$B$2:$F$52,4,0)*P483,"")</f>
        <v>6.096774193548387</v>
      </c>
      <c r="Y483" s="8" t="str">
        <f>+VLOOKUP(M483,[1]SKU!$B$3:$E$81,4,0)</f>
        <v>REGULAR</v>
      </c>
      <c r="Z483" s="8" t="str">
        <f t="shared" si="7"/>
        <v>BEES</v>
      </c>
      <c r="AA483" s="8" t="str">
        <f>+VLOOKUP(I483,[1]SKU!$H$2:$I$97,2,0)</f>
        <v>PE07010</v>
      </c>
    </row>
    <row r="484" spans="1:27">
      <c r="A484" s="1" t="s">
        <v>24</v>
      </c>
      <c r="B484" s="2">
        <v>46295</v>
      </c>
      <c r="C484" s="1" t="s">
        <v>530</v>
      </c>
      <c r="D484" s="1" t="s">
        <v>25</v>
      </c>
      <c r="E484" s="1" t="s">
        <v>531</v>
      </c>
      <c r="F484" s="1" t="s">
        <v>532</v>
      </c>
      <c r="G484" s="1" t="s">
        <v>26</v>
      </c>
      <c r="H484" s="1" t="s">
        <v>27</v>
      </c>
      <c r="I484" s="1" t="s">
        <v>64</v>
      </c>
      <c r="J484" s="1" t="s">
        <v>28</v>
      </c>
      <c r="K484" s="1" t="s">
        <v>29</v>
      </c>
      <c r="L484" s="1" t="s">
        <v>30</v>
      </c>
      <c r="M484" s="1" t="s">
        <v>49</v>
      </c>
      <c r="N484" s="1" t="s">
        <v>50</v>
      </c>
      <c r="O484" s="1" t="s">
        <v>33</v>
      </c>
      <c r="P484" s="3">
        <v>2</v>
      </c>
      <c r="Q484" s="3">
        <v>145.68</v>
      </c>
      <c r="R484" s="1" t="s">
        <v>34</v>
      </c>
      <c r="S484" s="1" t="s">
        <v>35</v>
      </c>
      <c r="T484" s="1" t="s">
        <v>36</v>
      </c>
      <c r="U484" s="1" t="s">
        <v>37</v>
      </c>
      <c r="V484" s="1" t="s">
        <v>38</v>
      </c>
      <c r="W484" s="1" t="s">
        <v>39</v>
      </c>
      <c r="X484" s="8">
        <f>+IFERROR(VLOOKUP(N484,[1]Hoja1!$B$2:$F$52,4,0)*P484,"")</f>
        <v>2.032258064516129</v>
      </c>
      <c r="Y484" s="8" t="str">
        <f>+VLOOKUP(M484,[1]SKU!$B$3:$E$81,4,0)</f>
        <v>REGULAR</v>
      </c>
      <c r="Z484" s="8" t="str">
        <f t="shared" si="7"/>
        <v>BEES</v>
      </c>
      <c r="AA484" s="8" t="str">
        <f>+VLOOKUP(I484,[1]SKU!$H$2:$I$97,2,0)</f>
        <v>PE07012</v>
      </c>
    </row>
    <row r="485" spans="1:27">
      <c r="A485" s="1" t="s">
        <v>44</v>
      </c>
      <c r="B485" s="2">
        <v>46295</v>
      </c>
      <c r="C485" s="1" t="s">
        <v>294</v>
      </c>
      <c r="D485" s="1" t="s">
        <v>58</v>
      </c>
      <c r="E485" s="1" t="s">
        <v>295</v>
      </c>
      <c r="F485" s="1" t="s">
        <v>296</v>
      </c>
      <c r="G485" s="1" t="s">
        <v>26</v>
      </c>
      <c r="H485" s="1" t="s">
        <v>27</v>
      </c>
      <c r="I485" s="1" t="s">
        <v>297</v>
      </c>
      <c r="J485" s="1" t="s">
        <v>28</v>
      </c>
      <c r="K485" s="1" t="s">
        <v>29</v>
      </c>
      <c r="L485" s="1" t="s">
        <v>30</v>
      </c>
      <c r="M485" s="1" t="s">
        <v>49</v>
      </c>
      <c r="N485" s="1" t="s">
        <v>50</v>
      </c>
      <c r="O485" s="1" t="s">
        <v>33</v>
      </c>
      <c r="P485" s="3">
        <v>1</v>
      </c>
      <c r="Q485" s="3">
        <v>0</v>
      </c>
      <c r="R485" s="1" t="s">
        <v>77</v>
      </c>
      <c r="S485" s="1" t="s">
        <v>35</v>
      </c>
      <c r="T485" s="1" t="s">
        <v>36</v>
      </c>
      <c r="U485" s="1" t="s">
        <v>37</v>
      </c>
      <c r="V485" s="1" t="s">
        <v>38</v>
      </c>
      <c r="W485" s="1" t="s">
        <v>39</v>
      </c>
      <c r="X485" s="8">
        <f>+IFERROR(VLOOKUP(N485,[1]Hoja1!$B$2:$F$52,4,0)*P485,"")</f>
        <v>1.0161290322580645</v>
      </c>
      <c r="Y485" s="8" t="str">
        <f>+VLOOKUP(M485,[1]SKU!$B$3:$E$81,4,0)</f>
        <v>REGULAR</v>
      </c>
      <c r="Z485" s="8" t="str">
        <f t="shared" si="7"/>
        <v>BEES</v>
      </c>
      <c r="AA485" s="8" t="str">
        <f>+VLOOKUP(I485,[1]SKU!$H$2:$I$97,2,0)</f>
        <v>PE07004</v>
      </c>
    </row>
    <row r="486" spans="1:27">
      <c r="A486" s="1" t="s">
        <v>24</v>
      </c>
      <c r="B486" s="2">
        <v>46295</v>
      </c>
      <c r="C486" s="1" t="s">
        <v>618</v>
      </c>
      <c r="D486" s="1" t="s">
        <v>25</v>
      </c>
      <c r="E486" s="1" t="s">
        <v>619</v>
      </c>
      <c r="F486" s="1" t="s">
        <v>620</v>
      </c>
      <c r="G486" s="1" t="s">
        <v>26</v>
      </c>
      <c r="H486" s="1" t="s">
        <v>27</v>
      </c>
      <c r="I486" s="1" t="s">
        <v>53</v>
      </c>
      <c r="J486" s="1" t="s">
        <v>28</v>
      </c>
      <c r="K486" s="1" t="s">
        <v>29</v>
      </c>
      <c r="L486" s="1" t="s">
        <v>30</v>
      </c>
      <c r="M486" s="1" t="s">
        <v>49</v>
      </c>
      <c r="N486" s="1" t="s">
        <v>50</v>
      </c>
      <c r="O486" s="1" t="s">
        <v>33</v>
      </c>
      <c r="P486" s="3">
        <v>5</v>
      </c>
      <c r="Q486" s="3">
        <v>364.2</v>
      </c>
      <c r="R486" s="1" t="s">
        <v>34</v>
      </c>
      <c r="S486" s="1" t="s">
        <v>35</v>
      </c>
      <c r="T486" s="1" t="s">
        <v>36</v>
      </c>
      <c r="U486" s="1" t="s">
        <v>37</v>
      </c>
      <c r="V486" s="1" t="s">
        <v>38</v>
      </c>
      <c r="W486" s="1" t="s">
        <v>39</v>
      </c>
      <c r="X486" s="8">
        <f>+IFERROR(VLOOKUP(N486,[1]Hoja1!$B$2:$F$52,4,0)*P486,"")</f>
        <v>5.0806451612903221</v>
      </c>
      <c r="Y486" s="8" t="str">
        <f>+VLOOKUP(M486,[1]SKU!$B$3:$E$81,4,0)</f>
        <v>REGULAR</v>
      </c>
      <c r="Z486" s="8" t="str">
        <f t="shared" si="7"/>
        <v>BEES</v>
      </c>
      <c r="AA486" s="8" t="str">
        <f>+VLOOKUP(I486,[1]SKU!$H$2:$I$97,2,0)</f>
        <v>PE07010</v>
      </c>
    </row>
    <row r="487" spans="1:27">
      <c r="A487" s="1" t="s">
        <v>42</v>
      </c>
      <c r="B487" s="2">
        <v>46295</v>
      </c>
      <c r="C487" s="1" t="s">
        <v>275</v>
      </c>
      <c r="D487" s="1" t="s">
        <v>43</v>
      </c>
      <c r="E487" s="1" t="s">
        <v>178</v>
      </c>
      <c r="F487" s="1" t="s">
        <v>179</v>
      </c>
      <c r="G487" s="1" t="s">
        <v>26</v>
      </c>
      <c r="H487" s="1" t="s">
        <v>27</v>
      </c>
      <c r="I487" s="1" t="s">
        <v>180</v>
      </c>
      <c r="J487" s="1" t="s">
        <v>28</v>
      </c>
      <c r="K487" s="1" t="s">
        <v>29</v>
      </c>
      <c r="L487" s="1" t="s">
        <v>30</v>
      </c>
      <c r="M487" s="1" t="s">
        <v>49</v>
      </c>
      <c r="N487" s="1" t="s">
        <v>50</v>
      </c>
      <c r="O487" s="1" t="s">
        <v>33</v>
      </c>
      <c r="P487" s="3">
        <v>4</v>
      </c>
      <c r="Q487" s="3">
        <v>291.36</v>
      </c>
      <c r="R487" s="1" t="s">
        <v>34</v>
      </c>
      <c r="S487" s="1" t="s">
        <v>35</v>
      </c>
      <c r="T487" s="1" t="s">
        <v>36</v>
      </c>
      <c r="U487" s="1" t="s">
        <v>37</v>
      </c>
      <c r="V487" s="1" t="s">
        <v>38</v>
      </c>
      <c r="W487" s="1" t="s">
        <v>39</v>
      </c>
      <c r="X487" s="8">
        <f>+IFERROR(VLOOKUP(N487,[1]Hoja1!$B$2:$F$52,4,0)*P487,"")</f>
        <v>4.064516129032258</v>
      </c>
      <c r="Y487" s="8" t="str">
        <f>+VLOOKUP(M487,[1]SKU!$B$3:$E$81,4,0)</f>
        <v>REGULAR</v>
      </c>
      <c r="Z487" s="8" t="str">
        <f t="shared" si="7"/>
        <v>BEES</v>
      </c>
      <c r="AA487" s="8" t="str">
        <f>+VLOOKUP(I487,[1]SKU!$H$2:$I$97,2,0)</f>
        <v>PE07002</v>
      </c>
    </row>
    <row r="488" spans="1:27">
      <c r="A488" s="1" t="s">
        <v>40</v>
      </c>
      <c r="B488" s="2">
        <v>46295</v>
      </c>
      <c r="C488" s="1" t="s">
        <v>364</v>
      </c>
      <c r="D488" s="1" t="s">
        <v>41</v>
      </c>
      <c r="E488" s="1" t="s">
        <v>365</v>
      </c>
      <c r="F488" s="1" t="s">
        <v>366</v>
      </c>
      <c r="G488" s="1" t="s">
        <v>26</v>
      </c>
      <c r="H488" s="1" t="s">
        <v>27</v>
      </c>
      <c r="I488" s="1" t="s">
        <v>132</v>
      </c>
      <c r="J488" s="1" t="s">
        <v>28</v>
      </c>
      <c r="K488" s="1" t="s">
        <v>29</v>
      </c>
      <c r="L488" s="1" t="s">
        <v>30</v>
      </c>
      <c r="M488" s="1" t="s">
        <v>49</v>
      </c>
      <c r="N488" s="1" t="s">
        <v>50</v>
      </c>
      <c r="O488" s="1" t="s">
        <v>33</v>
      </c>
      <c r="P488" s="3">
        <v>1</v>
      </c>
      <c r="Q488" s="3">
        <v>71.637254999999996</v>
      </c>
      <c r="R488" s="1" t="s">
        <v>34</v>
      </c>
      <c r="S488" s="1" t="s">
        <v>35</v>
      </c>
      <c r="T488" s="1" t="s">
        <v>36</v>
      </c>
      <c r="U488" s="1" t="s">
        <v>37</v>
      </c>
      <c r="V488" s="1" t="s">
        <v>38</v>
      </c>
      <c r="W488" s="1" t="s">
        <v>39</v>
      </c>
      <c r="X488" s="8">
        <f>+IFERROR(VLOOKUP(N488,[1]Hoja1!$B$2:$F$52,4,0)*P488,"")</f>
        <v>1.0161290322580645</v>
      </c>
      <c r="Y488" s="8" t="str">
        <f>+VLOOKUP(M488,[1]SKU!$B$3:$E$81,4,0)</f>
        <v>REGULAR</v>
      </c>
      <c r="Z488" s="8" t="str">
        <f t="shared" si="7"/>
        <v>BEES</v>
      </c>
      <c r="AA488" s="8" t="str">
        <f>+VLOOKUP(I488,[1]SKU!$H$2:$I$97,2,0)</f>
        <v>PE07009</v>
      </c>
    </row>
    <row r="489" spans="1:27">
      <c r="A489" s="1" t="s">
        <v>42</v>
      </c>
      <c r="B489" s="2">
        <v>46295</v>
      </c>
      <c r="C489" s="1" t="s">
        <v>578</v>
      </c>
      <c r="D489" s="1" t="s">
        <v>43</v>
      </c>
      <c r="E489" s="1" t="s">
        <v>579</v>
      </c>
      <c r="F489" s="1" t="s">
        <v>580</v>
      </c>
      <c r="G489" s="1" t="s">
        <v>26</v>
      </c>
      <c r="H489" s="1" t="s">
        <v>27</v>
      </c>
      <c r="I489" s="1" t="s">
        <v>65</v>
      </c>
      <c r="J489" s="1" t="s">
        <v>28</v>
      </c>
      <c r="K489" s="1" t="s">
        <v>29</v>
      </c>
      <c r="L489" s="1" t="s">
        <v>30</v>
      </c>
      <c r="M489" s="1" t="s">
        <v>49</v>
      </c>
      <c r="N489" s="1" t="s">
        <v>50</v>
      </c>
      <c r="O489" s="1" t="s">
        <v>33</v>
      </c>
      <c r="P489" s="3">
        <v>1</v>
      </c>
      <c r="Q489" s="3">
        <v>72.840001000000001</v>
      </c>
      <c r="R489" s="1" t="s">
        <v>34</v>
      </c>
      <c r="S489" s="1" t="s">
        <v>35</v>
      </c>
      <c r="T489" s="1" t="s">
        <v>36</v>
      </c>
      <c r="U489" s="1" t="s">
        <v>37</v>
      </c>
      <c r="V489" s="1" t="s">
        <v>38</v>
      </c>
      <c r="W489" s="1" t="s">
        <v>39</v>
      </c>
      <c r="X489" s="8">
        <f>+IFERROR(VLOOKUP(N489,[1]Hoja1!$B$2:$F$52,4,0)*P489,"")</f>
        <v>1.0161290322580645</v>
      </c>
      <c r="Y489" s="8" t="str">
        <f>+VLOOKUP(M489,[1]SKU!$B$3:$E$81,4,0)</f>
        <v>REGULAR</v>
      </c>
      <c r="Z489" s="8" t="str">
        <f t="shared" si="7"/>
        <v>BEES</v>
      </c>
      <c r="AA489" s="8" t="str">
        <f>+VLOOKUP(I489,[1]SKU!$H$2:$I$97,2,0)</f>
        <v>PE07003</v>
      </c>
    </row>
    <row r="490" spans="1:27">
      <c r="A490" s="1" t="s">
        <v>44</v>
      </c>
      <c r="B490" s="2">
        <v>46295</v>
      </c>
      <c r="C490" s="1" t="s">
        <v>380</v>
      </c>
      <c r="D490" s="1" t="s">
        <v>58</v>
      </c>
      <c r="E490" s="1" t="s">
        <v>381</v>
      </c>
      <c r="F490" s="1" t="s">
        <v>382</v>
      </c>
      <c r="G490" s="1" t="s">
        <v>26</v>
      </c>
      <c r="H490" s="1" t="s">
        <v>27</v>
      </c>
      <c r="I490" s="1" t="s">
        <v>297</v>
      </c>
      <c r="J490" s="1" t="s">
        <v>28</v>
      </c>
      <c r="K490" s="1" t="s">
        <v>29</v>
      </c>
      <c r="L490" s="1" t="s">
        <v>30</v>
      </c>
      <c r="M490" s="1" t="s">
        <v>137</v>
      </c>
      <c r="N490" s="1" t="s">
        <v>138</v>
      </c>
      <c r="O490" s="1" t="s">
        <v>61</v>
      </c>
      <c r="P490" s="3">
        <v>1</v>
      </c>
      <c r="Q490" s="3">
        <v>14.382353</v>
      </c>
      <c r="R490" s="1" t="s">
        <v>34</v>
      </c>
      <c r="S490" s="1" t="s">
        <v>35</v>
      </c>
      <c r="T490" s="1" t="s">
        <v>36</v>
      </c>
      <c r="U490" s="1" t="s">
        <v>37</v>
      </c>
      <c r="V490" s="1" t="s">
        <v>38</v>
      </c>
      <c r="W490" s="1" t="s">
        <v>39</v>
      </c>
      <c r="X490" s="8">
        <f>+IFERROR(VLOOKUP(N490,[1]Hoja1!$B$2:$F$52,4,0)*P490,"")</f>
        <v>0.28629032258064518</v>
      </c>
      <c r="Y490" s="8" t="str">
        <f>+VLOOKUP(M490,[1]SKU!$B$3:$E$81,4,0)</f>
        <v>LATAS</v>
      </c>
      <c r="Z490" s="8" t="str">
        <f t="shared" si="7"/>
        <v>BEES</v>
      </c>
      <c r="AA490" s="8" t="str">
        <f>+VLOOKUP(I490,[1]SKU!$H$2:$I$97,2,0)</f>
        <v>PE07004</v>
      </c>
    </row>
    <row r="491" spans="1:27">
      <c r="A491" s="1" t="s">
        <v>44</v>
      </c>
      <c r="B491" s="2">
        <v>46295</v>
      </c>
      <c r="C491" s="1" t="s">
        <v>333</v>
      </c>
      <c r="D491" s="1" t="s">
        <v>58</v>
      </c>
      <c r="E491" s="1" t="s">
        <v>334</v>
      </c>
      <c r="F491" s="1" t="s">
        <v>335</v>
      </c>
      <c r="G491" s="1" t="s">
        <v>26</v>
      </c>
      <c r="H491" s="1" t="s">
        <v>27</v>
      </c>
      <c r="I491" s="1" t="s">
        <v>297</v>
      </c>
      <c r="J491" s="1" t="s">
        <v>28</v>
      </c>
      <c r="K491" s="1" t="s">
        <v>29</v>
      </c>
      <c r="L491" s="1" t="s">
        <v>30</v>
      </c>
      <c r="M491" s="1" t="s">
        <v>137</v>
      </c>
      <c r="N491" s="1" t="s">
        <v>138</v>
      </c>
      <c r="O491" s="1" t="s">
        <v>61</v>
      </c>
      <c r="P491" s="3">
        <v>1</v>
      </c>
      <c r="Q491" s="3">
        <v>14.382353</v>
      </c>
      <c r="R491" s="1" t="s">
        <v>34</v>
      </c>
      <c r="S491" s="1" t="s">
        <v>35</v>
      </c>
      <c r="T491" s="1" t="s">
        <v>36</v>
      </c>
      <c r="U491" s="1" t="s">
        <v>37</v>
      </c>
      <c r="V491" s="1" t="s">
        <v>38</v>
      </c>
      <c r="W491" s="1" t="s">
        <v>39</v>
      </c>
      <c r="X491" s="8">
        <f>+IFERROR(VLOOKUP(N491,[1]Hoja1!$B$2:$F$52,4,0)*P491,"")</f>
        <v>0.28629032258064518</v>
      </c>
      <c r="Y491" s="8" t="str">
        <f>+VLOOKUP(M491,[1]SKU!$B$3:$E$81,4,0)</f>
        <v>LATAS</v>
      </c>
      <c r="Z491" s="8" t="str">
        <f t="shared" si="7"/>
        <v>BEES</v>
      </c>
      <c r="AA491" s="8" t="str">
        <f>+VLOOKUP(I491,[1]SKU!$H$2:$I$97,2,0)</f>
        <v>PE07004</v>
      </c>
    </row>
    <row r="492" spans="1:27">
      <c r="A492" s="1" t="s">
        <v>42</v>
      </c>
      <c r="B492" s="2">
        <v>46295</v>
      </c>
      <c r="C492" s="1" t="s">
        <v>540</v>
      </c>
      <c r="D492" s="1" t="s">
        <v>43</v>
      </c>
      <c r="E492" s="1" t="s">
        <v>541</v>
      </c>
      <c r="F492" s="1" t="s">
        <v>542</v>
      </c>
      <c r="G492" s="1" t="s">
        <v>26</v>
      </c>
      <c r="H492" s="1" t="s">
        <v>27</v>
      </c>
      <c r="I492" s="1" t="s">
        <v>180</v>
      </c>
      <c r="J492" s="1" t="s">
        <v>28</v>
      </c>
      <c r="K492" s="1" t="s">
        <v>29</v>
      </c>
      <c r="L492" s="1" t="s">
        <v>30</v>
      </c>
      <c r="M492" s="1" t="s">
        <v>137</v>
      </c>
      <c r="N492" s="1" t="s">
        <v>138</v>
      </c>
      <c r="O492" s="1" t="s">
        <v>61</v>
      </c>
      <c r="P492" s="3">
        <v>1</v>
      </c>
      <c r="Q492" s="3">
        <v>20.39</v>
      </c>
      <c r="R492" s="1" t="s">
        <v>34</v>
      </c>
      <c r="S492" s="1" t="s">
        <v>35</v>
      </c>
      <c r="T492" s="1" t="s">
        <v>36</v>
      </c>
      <c r="U492" s="1" t="s">
        <v>37</v>
      </c>
      <c r="V492" s="1" t="s">
        <v>38</v>
      </c>
      <c r="W492" s="1" t="s">
        <v>39</v>
      </c>
      <c r="X492" s="8">
        <f>+IFERROR(VLOOKUP(N492,[1]Hoja1!$B$2:$F$52,4,0)*P492,"")</f>
        <v>0.28629032258064518</v>
      </c>
      <c r="Y492" s="8" t="str">
        <f>+VLOOKUP(M492,[1]SKU!$B$3:$E$81,4,0)</f>
        <v>LATAS</v>
      </c>
      <c r="Z492" s="8" t="str">
        <f t="shared" si="7"/>
        <v>BEES</v>
      </c>
      <c r="AA492" s="8" t="str">
        <f>+VLOOKUP(I492,[1]SKU!$H$2:$I$97,2,0)</f>
        <v>PE07002</v>
      </c>
    </row>
    <row r="493" spans="1:27">
      <c r="A493" s="1" t="s">
        <v>42</v>
      </c>
      <c r="B493" s="2">
        <v>46295</v>
      </c>
      <c r="C493" s="1" t="s">
        <v>509</v>
      </c>
      <c r="D493" s="1" t="s">
        <v>43</v>
      </c>
      <c r="E493" s="1" t="s">
        <v>151</v>
      </c>
      <c r="F493" s="1" t="s">
        <v>152</v>
      </c>
      <c r="G493" s="1" t="s">
        <v>26</v>
      </c>
      <c r="H493" s="1" t="s">
        <v>27</v>
      </c>
      <c r="I493" s="1" t="s">
        <v>72</v>
      </c>
      <c r="J493" s="1" t="s">
        <v>28</v>
      </c>
      <c r="K493" s="1" t="s">
        <v>29</v>
      </c>
      <c r="L493" s="1" t="s">
        <v>30</v>
      </c>
      <c r="M493" s="1" t="s">
        <v>137</v>
      </c>
      <c r="N493" s="1" t="s">
        <v>138</v>
      </c>
      <c r="O493" s="1" t="s">
        <v>61</v>
      </c>
      <c r="P493" s="3">
        <v>1</v>
      </c>
      <c r="Q493" s="3">
        <v>14.382353</v>
      </c>
      <c r="R493" s="1" t="s">
        <v>34</v>
      </c>
      <c r="S493" s="1" t="s">
        <v>35</v>
      </c>
      <c r="T493" s="1" t="s">
        <v>36</v>
      </c>
      <c r="U493" s="1" t="s">
        <v>37</v>
      </c>
      <c r="V493" s="1" t="s">
        <v>38</v>
      </c>
      <c r="W493" s="1" t="s">
        <v>39</v>
      </c>
      <c r="X493" s="8">
        <f>+IFERROR(VLOOKUP(N493,[1]Hoja1!$B$2:$F$52,4,0)*P493,"")</f>
        <v>0.28629032258064518</v>
      </c>
      <c r="Y493" s="8" t="str">
        <f>+VLOOKUP(M493,[1]SKU!$B$3:$E$81,4,0)</f>
        <v>LATAS</v>
      </c>
      <c r="Z493" s="8" t="str">
        <f t="shared" si="7"/>
        <v>BEES</v>
      </c>
      <c r="AA493" s="8" t="str">
        <f>+VLOOKUP(I493,[1]SKU!$H$2:$I$97,2,0)</f>
        <v>PE07001</v>
      </c>
    </row>
    <row r="494" spans="1:27">
      <c r="A494" s="1" t="s">
        <v>44</v>
      </c>
      <c r="B494" s="2">
        <v>46295</v>
      </c>
      <c r="C494" s="1" t="s">
        <v>404</v>
      </c>
      <c r="D494" s="1" t="s">
        <v>58</v>
      </c>
      <c r="E494" s="1" t="s">
        <v>405</v>
      </c>
      <c r="F494" s="1" t="s">
        <v>406</v>
      </c>
      <c r="G494" s="1" t="s">
        <v>26</v>
      </c>
      <c r="H494" s="1" t="s">
        <v>27</v>
      </c>
      <c r="I494" s="1" t="s">
        <v>297</v>
      </c>
      <c r="J494" s="1" t="s">
        <v>28</v>
      </c>
      <c r="K494" s="1" t="s">
        <v>29</v>
      </c>
      <c r="L494" s="1" t="s">
        <v>30</v>
      </c>
      <c r="M494" s="1" t="s">
        <v>137</v>
      </c>
      <c r="N494" s="1" t="s">
        <v>138</v>
      </c>
      <c r="O494" s="1" t="s">
        <v>61</v>
      </c>
      <c r="P494" s="3">
        <v>1</v>
      </c>
      <c r="Q494" s="3">
        <v>14.382353</v>
      </c>
      <c r="R494" s="1" t="s">
        <v>34</v>
      </c>
      <c r="S494" s="1" t="s">
        <v>35</v>
      </c>
      <c r="T494" s="1" t="s">
        <v>36</v>
      </c>
      <c r="U494" s="1" t="s">
        <v>37</v>
      </c>
      <c r="V494" s="1" t="s">
        <v>38</v>
      </c>
      <c r="W494" s="1" t="s">
        <v>39</v>
      </c>
      <c r="X494" s="8">
        <f>+IFERROR(VLOOKUP(N494,[1]Hoja1!$B$2:$F$52,4,0)*P494,"")</f>
        <v>0.28629032258064518</v>
      </c>
      <c r="Y494" s="8" t="str">
        <f>+VLOOKUP(M494,[1]SKU!$B$3:$E$81,4,0)</f>
        <v>LATAS</v>
      </c>
      <c r="Z494" s="8" t="str">
        <f t="shared" si="7"/>
        <v>BEES</v>
      </c>
      <c r="AA494" s="8" t="str">
        <f>+VLOOKUP(I494,[1]SKU!$H$2:$I$97,2,0)</f>
        <v>PE07004</v>
      </c>
    </row>
    <row r="495" spans="1:27">
      <c r="A495" s="1" t="s">
        <v>42</v>
      </c>
      <c r="B495" s="2">
        <v>46295</v>
      </c>
      <c r="C495" s="1" t="s">
        <v>493</v>
      </c>
      <c r="D495" s="1" t="s">
        <v>43</v>
      </c>
      <c r="E495" s="1" t="s">
        <v>494</v>
      </c>
      <c r="F495" s="1" t="s">
        <v>495</v>
      </c>
      <c r="G495" s="1" t="s">
        <v>26</v>
      </c>
      <c r="H495" s="1" t="s">
        <v>27</v>
      </c>
      <c r="I495" s="1" t="s">
        <v>65</v>
      </c>
      <c r="J495" s="1" t="s">
        <v>28</v>
      </c>
      <c r="K495" s="1" t="s">
        <v>29</v>
      </c>
      <c r="L495" s="1" t="s">
        <v>30</v>
      </c>
      <c r="M495" s="1" t="s">
        <v>137</v>
      </c>
      <c r="N495" s="1" t="s">
        <v>138</v>
      </c>
      <c r="O495" s="1" t="s">
        <v>61</v>
      </c>
      <c r="P495" s="3">
        <v>2</v>
      </c>
      <c r="Q495" s="3">
        <v>39.678939999999997</v>
      </c>
      <c r="R495" s="1" t="s">
        <v>34</v>
      </c>
      <c r="S495" s="1" t="s">
        <v>35</v>
      </c>
      <c r="T495" s="1" t="s">
        <v>36</v>
      </c>
      <c r="U495" s="1" t="s">
        <v>37</v>
      </c>
      <c r="V495" s="1" t="s">
        <v>38</v>
      </c>
      <c r="W495" s="1" t="s">
        <v>39</v>
      </c>
      <c r="X495" s="8">
        <f>+IFERROR(VLOOKUP(N495,[1]Hoja1!$B$2:$F$52,4,0)*P495,"")</f>
        <v>0.57258064516129037</v>
      </c>
      <c r="Y495" s="8" t="str">
        <f>+VLOOKUP(M495,[1]SKU!$B$3:$E$81,4,0)</f>
        <v>LATAS</v>
      </c>
      <c r="Z495" s="8" t="str">
        <f t="shared" si="7"/>
        <v>BEES</v>
      </c>
      <c r="AA495" s="8" t="str">
        <f>+VLOOKUP(I495,[1]SKU!$H$2:$I$97,2,0)</f>
        <v>PE07003</v>
      </c>
    </row>
    <row r="496" spans="1:27">
      <c r="A496" s="1" t="s">
        <v>42</v>
      </c>
      <c r="B496" s="2">
        <v>46295</v>
      </c>
      <c r="C496" s="1" t="s">
        <v>398</v>
      </c>
      <c r="D496" s="1" t="s">
        <v>43</v>
      </c>
      <c r="E496" s="1" t="s">
        <v>399</v>
      </c>
      <c r="F496" s="1" t="s">
        <v>400</v>
      </c>
      <c r="G496" s="1" t="s">
        <v>26</v>
      </c>
      <c r="H496" s="1" t="s">
        <v>27</v>
      </c>
      <c r="I496" s="1" t="s">
        <v>65</v>
      </c>
      <c r="J496" s="1" t="s">
        <v>28</v>
      </c>
      <c r="K496" s="1" t="s">
        <v>29</v>
      </c>
      <c r="L496" s="1" t="s">
        <v>30</v>
      </c>
      <c r="M496" s="1" t="s">
        <v>137</v>
      </c>
      <c r="N496" s="1" t="s">
        <v>138</v>
      </c>
      <c r="O496" s="1" t="s">
        <v>61</v>
      </c>
      <c r="P496" s="3">
        <v>1</v>
      </c>
      <c r="Q496" s="3">
        <v>20.02298</v>
      </c>
      <c r="R496" s="1" t="s">
        <v>34</v>
      </c>
      <c r="S496" s="1" t="s">
        <v>35</v>
      </c>
      <c r="T496" s="1" t="s">
        <v>36</v>
      </c>
      <c r="U496" s="1" t="s">
        <v>37</v>
      </c>
      <c r="V496" s="1" t="s">
        <v>38</v>
      </c>
      <c r="W496" s="1" t="s">
        <v>39</v>
      </c>
      <c r="X496" s="8">
        <f>+IFERROR(VLOOKUP(N496,[1]Hoja1!$B$2:$F$52,4,0)*P496,"")</f>
        <v>0.28629032258064518</v>
      </c>
      <c r="Y496" s="8" t="str">
        <f>+VLOOKUP(M496,[1]SKU!$B$3:$E$81,4,0)</f>
        <v>LATAS</v>
      </c>
      <c r="Z496" s="8" t="str">
        <f t="shared" si="7"/>
        <v>BEES</v>
      </c>
      <c r="AA496" s="8" t="str">
        <f>+VLOOKUP(I496,[1]SKU!$H$2:$I$97,2,0)</f>
        <v>PE07003</v>
      </c>
    </row>
    <row r="497" spans="1:27">
      <c r="A497" s="1" t="s">
        <v>42</v>
      </c>
      <c r="B497" s="2">
        <v>46295</v>
      </c>
      <c r="C497" s="1" t="s">
        <v>286</v>
      </c>
      <c r="D497" s="1" t="s">
        <v>43</v>
      </c>
      <c r="E497" s="1" t="s">
        <v>287</v>
      </c>
      <c r="F497" s="1" t="s">
        <v>288</v>
      </c>
      <c r="G497" s="1" t="s">
        <v>26</v>
      </c>
      <c r="H497" s="1" t="s">
        <v>27</v>
      </c>
      <c r="I497" s="1" t="s">
        <v>65</v>
      </c>
      <c r="J497" s="1" t="s">
        <v>28</v>
      </c>
      <c r="K497" s="1" t="s">
        <v>29</v>
      </c>
      <c r="L497" s="1" t="s">
        <v>30</v>
      </c>
      <c r="M497" s="1" t="s">
        <v>213</v>
      </c>
      <c r="N497" s="1" t="s">
        <v>214</v>
      </c>
      <c r="O497" s="1" t="s">
        <v>61</v>
      </c>
      <c r="P497" s="3">
        <v>1</v>
      </c>
      <c r="Q497" s="3">
        <v>29.181362</v>
      </c>
      <c r="R497" s="1" t="s">
        <v>34</v>
      </c>
      <c r="S497" s="1" t="s">
        <v>35</v>
      </c>
      <c r="T497" s="1" t="s">
        <v>36</v>
      </c>
      <c r="U497" s="1" t="s">
        <v>37</v>
      </c>
      <c r="V497" s="1" t="s">
        <v>38</v>
      </c>
      <c r="W497" s="1" t="s">
        <v>39</v>
      </c>
      <c r="X497" s="8" t="str">
        <f>+IFERROR(VLOOKUP(N497,[1]Hoja1!$B$2:$F$52,4,0)*P497,"")</f>
        <v/>
      </c>
      <c r="Y497" s="8" t="e">
        <f>+VLOOKUP(M497,[1]SKU!$B$3:$E$81,4,0)</f>
        <v>#N/A</v>
      </c>
      <c r="Z497" s="8" t="str">
        <f t="shared" si="7"/>
        <v>BEES</v>
      </c>
      <c r="AA497" s="8" t="str">
        <f>+VLOOKUP(I497,[1]SKU!$H$2:$I$97,2,0)</f>
        <v>PE07003</v>
      </c>
    </row>
    <row r="498" spans="1:27">
      <c r="A498" s="1" t="s">
        <v>42</v>
      </c>
      <c r="B498" s="2">
        <v>46295</v>
      </c>
      <c r="C498" s="1" t="s">
        <v>547</v>
      </c>
      <c r="D498" s="1" t="s">
        <v>43</v>
      </c>
      <c r="E498" s="1" t="s">
        <v>548</v>
      </c>
      <c r="F498" s="1" t="s">
        <v>549</v>
      </c>
      <c r="G498" s="1" t="s">
        <v>26</v>
      </c>
      <c r="H498" s="1" t="s">
        <v>27</v>
      </c>
      <c r="I498" s="1" t="s">
        <v>180</v>
      </c>
      <c r="J498" s="1" t="s">
        <v>28</v>
      </c>
      <c r="K498" s="1" t="s">
        <v>29</v>
      </c>
      <c r="L498" s="1" t="s">
        <v>30</v>
      </c>
      <c r="M498" s="1" t="s">
        <v>213</v>
      </c>
      <c r="N498" s="1" t="s">
        <v>214</v>
      </c>
      <c r="O498" s="1" t="s">
        <v>61</v>
      </c>
      <c r="P498" s="3">
        <v>1</v>
      </c>
      <c r="Q498" s="3">
        <v>29.181362</v>
      </c>
      <c r="R498" s="1" t="s">
        <v>34</v>
      </c>
      <c r="S498" s="1" t="s">
        <v>35</v>
      </c>
      <c r="T498" s="1" t="s">
        <v>36</v>
      </c>
      <c r="U498" s="1" t="s">
        <v>37</v>
      </c>
      <c r="V498" s="1" t="s">
        <v>38</v>
      </c>
      <c r="W498" s="1" t="s">
        <v>39</v>
      </c>
      <c r="X498" s="8" t="str">
        <f>+IFERROR(VLOOKUP(N498,[1]Hoja1!$B$2:$F$52,4,0)*P498,"")</f>
        <v/>
      </c>
      <c r="Y498" s="8" t="e">
        <f>+VLOOKUP(M498,[1]SKU!$B$3:$E$81,4,0)</f>
        <v>#N/A</v>
      </c>
      <c r="Z498" s="8" t="str">
        <f t="shared" si="7"/>
        <v>BEES</v>
      </c>
      <c r="AA498" s="8" t="str">
        <f>+VLOOKUP(I498,[1]SKU!$H$2:$I$97,2,0)</f>
        <v>PE07002</v>
      </c>
    </row>
    <row r="499" spans="1:27">
      <c r="A499" s="1" t="s">
        <v>42</v>
      </c>
      <c r="B499" s="2">
        <v>46295</v>
      </c>
      <c r="C499" s="1" t="s">
        <v>413</v>
      </c>
      <c r="D499" s="1" t="s">
        <v>43</v>
      </c>
      <c r="E499" s="1" t="s">
        <v>414</v>
      </c>
      <c r="F499" s="1" t="s">
        <v>415</v>
      </c>
      <c r="G499" s="1" t="s">
        <v>26</v>
      </c>
      <c r="H499" s="1" t="s">
        <v>27</v>
      </c>
      <c r="I499" s="1" t="s">
        <v>267</v>
      </c>
      <c r="J499" s="1" t="s">
        <v>28</v>
      </c>
      <c r="K499" s="1" t="s">
        <v>29</v>
      </c>
      <c r="L499" s="1" t="s">
        <v>30</v>
      </c>
      <c r="M499" s="1" t="s">
        <v>213</v>
      </c>
      <c r="N499" s="1" t="s">
        <v>214</v>
      </c>
      <c r="O499" s="1" t="s">
        <v>61</v>
      </c>
      <c r="P499" s="3">
        <v>1</v>
      </c>
      <c r="Q499" s="3">
        <v>31.18</v>
      </c>
      <c r="R499" s="1" t="s">
        <v>34</v>
      </c>
      <c r="S499" s="1" t="s">
        <v>35</v>
      </c>
      <c r="T499" s="1" t="s">
        <v>36</v>
      </c>
      <c r="U499" s="1" t="s">
        <v>37</v>
      </c>
      <c r="V499" s="1" t="s">
        <v>38</v>
      </c>
      <c r="W499" s="1" t="s">
        <v>39</v>
      </c>
      <c r="X499" s="8" t="str">
        <f>+IFERROR(VLOOKUP(N499,[1]Hoja1!$B$2:$F$52,4,0)*P499,"")</f>
        <v/>
      </c>
      <c r="Y499" s="8" t="e">
        <f>+VLOOKUP(M499,[1]SKU!$B$3:$E$81,4,0)</f>
        <v>#N/A</v>
      </c>
      <c r="Z499" s="8" t="str">
        <f t="shared" si="7"/>
        <v>BEES</v>
      </c>
      <c r="AA499" s="8" t="str">
        <f>+VLOOKUP(I499,[1]SKU!$H$2:$I$97,2,0)</f>
        <v>PE07006</v>
      </c>
    </row>
    <row r="500" spans="1:27">
      <c r="A500" s="1" t="s">
        <v>42</v>
      </c>
      <c r="B500" s="2">
        <v>46295</v>
      </c>
      <c r="C500" s="1" t="s">
        <v>477</v>
      </c>
      <c r="D500" s="1" t="s">
        <v>43</v>
      </c>
      <c r="E500" s="1" t="s">
        <v>478</v>
      </c>
      <c r="F500" s="1" t="s">
        <v>479</v>
      </c>
      <c r="G500" s="1" t="s">
        <v>26</v>
      </c>
      <c r="H500" s="1" t="s">
        <v>27</v>
      </c>
      <c r="I500" s="1" t="s">
        <v>180</v>
      </c>
      <c r="J500" s="1" t="s">
        <v>28</v>
      </c>
      <c r="K500" s="1" t="s">
        <v>29</v>
      </c>
      <c r="L500" s="1" t="s">
        <v>30</v>
      </c>
      <c r="M500" s="1" t="s">
        <v>213</v>
      </c>
      <c r="N500" s="1" t="s">
        <v>214</v>
      </c>
      <c r="O500" s="1" t="s">
        <v>61</v>
      </c>
      <c r="P500" s="3">
        <v>1</v>
      </c>
      <c r="Q500" s="3">
        <v>29.181362</v>
      </c>
      <c r="R500" s="1" t="s">
        <v>34</v>
      </c>
      <c r="S500" s="1" t="s">
        <v>35</v>
      </c>
      <c r="T500" s="1" t="s">
        <v>36</v>
      </c>
      <c r="U500" s="1" t="s">
        <v>37</v>
      </c>
      <c r="V500" s="1" t="s">
        <v>38</v>
      </c>
      <c r="W500" s="1" t="s">
        <v>39</v>
      </c>
      <c r="X500" s="8" t="str">
        <f>+IFERROR(VLOOKUP(N500,[1]Hoja1!$B$2:$F$52,4,0)*P500,"")</f>
        <v/>
      </c>
      <c r="Y500" s="8" t="e">
        <f>+VLOOKUP(M500,[1]SKU!$B$3:$E$81,4,0)</f>
        <v>#N/A</v>
      </c>
      <c r="Z500" s="8" t="str">
        <f t="shared" si="7"/>
        <v>BEES</v>
      </c>
      <c r="AA500" s="8" t="str">
        <f>+VLOOKUP(I500,[1]SKU!$H$2:$I$97,2,0)</f>
        <v>PE07002</v>
      </c>
    </row>
    <row r="501" spans="1:27">
      <c r="A501" s="1" t="s">
        <v>42</v>
      </c>
      <c r="B501" s="2">
        <v>46295</v>
      </c>
      <c r="C501" s="1" t="s">
        <v>489</v>
      </c>
      <c r="D501" s="1" t="s">
        <v>43</v>
      </c>
      <c r="E501" s="1" t="s">
        <v>490</v>
      </c>
      <c r="F501" s="1" t="s">
        <v>491</v>
      </c>
      <c r="G501" s="1" t="s">
        <v>26</v>
      </c>
      <c r="H501" s="1" t="s">
        <v>27</v>
      </c>
      <c r="I501" s="1" t="s">
        <v>267</v>
      </c>
      <c r="J501" s="1" t="s">
        <v>28</v>
      </c>
      <c r="K501" s="1" t="s">
        <v>29</v>
      </c>
      <c r="L501" s="1" t="s">
        <v>30</v>
      </c>
      <c r="M501" s="1" t="s">
        <v>213</v>
      </c>
      <c r="N501" s="1" t="s">
        <v>214</v>
      </c>
      <c r="O501" s="1" t="s">
        <v>61</v>
      </c>
      <c r="P501" s="3">
        <v>1</v>
      </c>
      <c r="Q501" s="3">
        <v>29.181362</v>
      </c>
      <c r="R501" s="1" t="s">
        <v>34</v>
      </c>
      <c r="S501" s="1" t="s">
        <v>35</v>
      </c>
      <c r="T501" s="1" t="s">
        <v>36</v>
      </c>
      <c r="U501" s="1" t="s">
        <v>37</v>
      </c>
      <c r="V501" s="1" t="s">
        <v>38</v>
      </c>
      <c r="W501" s="1" t="s">
        <v>39</v>
      </c>
      <c r="X501" s="8" t="str">
        <f>+IFERROR(VLOOKUP(N501,[1]Hoja1!$B$2:$F$52,4,0)*P501,"")</f>
        <v/>
      </c>
      <c r="Y501" s="8" t="e">
        <f>+VLOOKUP(M501,[1]SKU!$B$3:$E$81,4,0)</f>
        <v>#N/A</v>
      </c>
      <c r="Z501" s="8" t="str">
        <f t="shared" si="7"/>
        <v>BEES</v>
      </c>
      <c r="AA501" s="8" t="str">
        <f>+VLOOKUP(I501,[1]SKU!$H$2:$I$97,2,0)</f>
        <v>PE07006</v>
      </c>
    </row>
    <row r="502" spans="1:27">
      <c r="A502" s="1" t="s">
        <v>42</v>
      </c>
      <c r="B502" s="2">
        <v>46295</v>
      </c>
      <c r="C502" s="1" t="s">
        <v>257</v>
      </c>
      <c r="D502" s="1" t="s">
        <v>43</v>
      </c>
      <c r="E502" s="1" t="s">
        <v>258</v>
      </c>
      <c r="F502" s="1" t="s">
        <v>259</v>
      </c>
      <c r="G502" s="1" t="s">
        <v>26</v>
      </c>
      <c r="H502" s="1" t="s">
        <v>27</v>
      </c>
      <c r="I502" s="1" t="s">
        <v>180</v>
      </c>
      <c r="J502" s="1" t="s">
        <v>28</v>
      </c>
      <c r="K502" s="1" t="s">
        <v>29</v>
      </c>
      <c r="L502" s="1" t="s">
        <v>30</v>
      </c>
      <c r="M502" s="1" t="s">
        <v>217</v>
      </c>
      <c r="N502" s="1" t="s">
        <v>218</v>
      </c>
      <c r="O502" s="1" t="s">
        <v>61</v>
      </c>
      <c r="P502" s="3">
        <v>1</v>
      </c>
      <c r="Q502" s="3">
        <v>0</v>
      </c>
      <c r="R502" s="1" t="s">
        <v>77</v>
      </c>
      <c r="S502" s="1" t="s">
        <v>35</v>
      </c>
      <c r="T502" s="1" t="s">
        <v>36</v>
      </c>
      <c r="U502" s="1" t="s">
        <v>37</v>
      </c>
      <c r="V502" s="1" t="s">
        <v>38</v>
      </c>
      <c r="W502" s="1" t="s">
        <v>39</v>
      </c>
      <c r="X502" s="8" t="str">
        <f>+IFERROR(VLOOKUP(N502,[1]Hoja1!$B$2:$F$52,4,0)*P502,"")</f>
        <v/>
      </c>
      <c r="Y502" s="8" t="e">
        <f>+VLOOKUP(M502,[1]SKU!$B$3:$E$81,4,0)</f>
        <v>#N/A</v>
      </c>
      <c r="Z502" s="8" t="str">
        <f t="shared" si="7"/>
        <v>BEES</v>
      </c>
      <c r="AA502" s="8" t="str">
        <f>+VLOOKUP(I502,[1]SKU!$H$2:$I$97,2,0)</f>
        <v>PE07002</v>
      </c>
    </row>
    <row r="503" spans="1:27">
      <c r="A503" s="1" t="s">
        <v>42</v>
      </c>
      <c r="B503" s="2">
        <v>46295</v>
      </c>
      <c r="C503" s="1" t="s">
        <v>525</v>
      </c>
      <c r="D503" s="1" t="s">
        <v>43</v>
      </c>
      <c r="E503" s="1" t="s">
        <v>526</v>
      </c>
      <c r="F503" s="1" t="s">
        <v>527</v>
      </c>
      <c r="G503" s="1" t="s">
        <v>26</v>
      </c>
      <c r="H503" s="1" t="s">
        <v>27</v>
      </c>
      <c r="I503" s="1" t="s">
        <v>72</v>
      </c>
      <c r="J503" s="1" t="s">
        <v>28</v>
      </c>
      <c r="K503" s="1" t="s">
        <v>29</v>
      </c>
      <c r="L503" s="1" t="s">
        <v>30</v>
      </c>
      <c r="M503" s="1" t="s">
        <v>183</v>
      </c>
      <c r="N503" s="1" t="s">
        <v>184</v>
      </c>
      <c r="O503" s="1" t="s">
        <v>155</v>
      </c>
      <c r="P503" s="3">
        <v>4</v>
      </c>
      <c r="Q503" s="3">
        <v>96.440000999999995</v>
      </c>
      <c r="R503" s="1" t="s">
        <v>34</v>
      </c>
      <c r="S503" s="1" t="s">
        <v>35</v>
      </c>
      <c r="T503" s="1" t="s">
        <v>36</v>
      </c>
      <c r="U503" s="1" t="s">
        <v>37</v>
      </c>
      <c r="V503" s="1" t="s">
        <v>85</v>
      </c>
      <c r="W503" s="1" t="s">
        <v>39</v>
      </c>
      <c r="X503" s="8" t="str">
        <f>+IFERROR(VLOOKUP(N503,[1]Hoja1!$B$2:$F$52,4,0)*P503,"")</f>
        <v/>
      </c>
      <c r="Y503" s="8" t="e">
        <f>+VLOOKUP(M503,[1]SKU!$B$3:$E$81,4,0)</f>
        <v>#N/A</v>
      </c>
      <c r="Z503" s="8" t="str">
        <f t="shared" si="7"/>
        <v>BEES</v>
      </c>
      <c r="AA503" s="8" t="str">
        <f>+VLOOKUP(I503,[1]SKU!$H$2:$I$97,2,0)</f>
        <v>PE07001</v>
      </c>
    </row>
    <row r="504" spans="1:27">
      <c r="A504" s="1" t="s">
        <v>51</v>
      </c>
      <c r="B504" s="2">
        <v>46295</v>
      </c>
      <c r="C504" s="1" t="s">
        <v>581</v>
      </c>
      <c r="D504" s="1" t="s">
        <v>52</v>
      </c>
      <c r="E504" s="1" t="s">
        <v>582</v>
      </c>
      <c r="F504" s="1" t="s">
        <v>583</v>
      </c>
      <c r="G504" s="1" t="s">
        <v>26</v>
      </c>
      <c r="H504" s="1" t="s">
        <v>27</v>
      </c>
      <c r="I504" s="1" t="s">
        <v>238</v>
      </c>
      <c r="J504" s="1" t="s">
        <v>28</v>
      </c>
      <c r="K504" s="1" t="s">
        <v>29</v>
      </c>
      <c r="L504" s="1" t="s">
        <v>30</v>
      </c>
      <c r="M504" s="1" t="s">
        <v>183</v>
      </c>
      <c r="N504" s="1" t="s">
        <v>184</v>
      </c>
      <c r="O504" s="1" t="s">
        <v>155</v>
      </c>
      <c r="P504" s="3">
        <v>1</v>
      </c>
      <c r="Q504" s="3">
        <v>24.11</v>
      </c>
      <c r="R504" s="1" t="s">
        <v>34</v>
      </c>
      <c r="S504" s="1" t="s">
        <v>35</v>
      </c>
      <c r="T504" s="1" t="s">
        <v>36</v>
      </c>
      <c r="U504" s="1" t="s">
        <v>37</v>
      </c>
      <c r="V504" s="1" t="s">
        <v>85</v>
      </c>
      <c r="W504" s="1" t="s">
        <v>39</v>
      </c>
      <c r="X504" s="8" t="str">
        <f>+IFERROR(VLOOKUP(N504,[1]Hoja1!$B$2:$F$52,4,0)*P504,"")</f>
        <v/>
      </c>
      <c r="Y504" s="8" t="e">
        <f>+VLOOKUP(M504,[1]SKU!$B$3:$E$81,4,0)</f>
        <v>#N/A</v>
      </c>
      <c r="Z504" s="8" t="str">
        <f t="shared" si="7"/>
        <v>BEES</v>
      </c>
      <c r="AA504" s="8" t="str">
        <f>+VLOOKUP(I504,[1]SKU!$H$2:$I$97,2,0)</f>
        <v>PE07011</v>
      </c>
    </row>
    <row r="505" spans="1:27">
      <c r="A505" s="1" t="s">
        <v>51</v>
      </c>
      <c r="B505" s="2">
        <v>46295</v>
      </c>
      <c r="C505" s="1" t="s">
        <v>588</v>
      </c>
      <c r="D505" s="1" t="s">
        <v>52</v>
      </c>
      <c r="E505" s="1" t="s">
        <v>589</v>
      </c>
      <c r="F505" s="1" t="s">
        <v>590</v>
      </c>
      <c r="G505" s="1" t="s">
        <v>26</v>
      </c>
      <c r="H505" s="1" t="s">
        <v>27</v>
      </c>
      <c r="I505" s="1" t="s">
        <v>329</v>
      </c>
      <c r="J505" s="1" t="s">
        <v>28</v>
      </c>
      <c r="K505" s="1" t="s">
        <v>29</v>
      </c>
      <c r="L505" s="1" t="s">
        <v>30</v>
      </c>
      <c r="M505" s="1" t="s">
        <v>183</v>
      </c>
      <c r="N505" s="1" t="s">
        <v>184</v>
      </c>
      <c r="O505" s="1" t="s">
        <v>155</v>
      </c>
      <c r="P505" s="3">
        <v>1</v>
      </c>
      <c r="Q505" s="3">
        <v>24.11</v>
      </c>
      <c r="R505" s="1" t="s">
        <v>34</v>
      </c>
      <c r="S505" s="1" t="s">
        <v>35</v>
      </c>
      <c r="T505" s="1" t="s">
        <v>36</v>
      </c>
      <c r="U505" s="1" t="s">
        <v>37</v>
      </c>
      <c r="V505" s="1" t="s">
        <v>85</v>
      </c>
      <c r="W505" s="1" t="s">
        <v>39</v>
      </c>
      <c r="X505" s="8" t="str">
        <f>+IFERROR(VLOOKUP(N505,[1]Hoja1!$B$2:$F$52,4,0)*P505,"")</f>
        <v/>
      </c>
      <c r="Y505" s="8" t="e">
        <f>+VLOOKUP(M505,[1]SKU!$B$3:$E$81,4,0)</f>
        <v>#N/A</v>
      </c>
      <c r="Z505" s="8" t="str">
        <f t="shared" si="7"/>
        <v>BEES</v>
      </c>
      <c r="AA505" s="8" t="str">
        <f>+VLOOKUP(I505,[1]SKU!$H$2:$I$97,2,0)</f>
        <v>PE07011</v>
      </c>
    </row>
    <row r="506" spans="1:27">
      <c r="A506" s="1" t="s">
        <v>51</v>
      </c>
      <c r="B506" s="2">
        <v>46295</v>
      </c>
      <c r="C506" s="1" t="s">
        <v>572</v>
      </c>
      <c r="D506" s="1" t="s">
        <v>52</v>
      </c>
      <c r="E506" s="1" t="s">
        <v>573</v>
      </c>
      <c r="F506" s="1" t="s">
        <v>574</v>
      </c>
      <c r="G506" s="1" t="s">
        <v>26</v>
      </c>
      <c r="H506" s="1" t="s">
        <v>27</v>
      </c>
      <c r="I506" s="1" t="s">
        <v>238</v>
      </c>
      <c r="J506" s="1" t="s">
        <v>28</v>
      </c>
      <c r="K506" s="1" t="s">
        <v>29</v>
      </c>
      <c r="L506" s="1" t="s">
        <v>30</v>
      </c>
      <c r="M506" s="1" t="s">
        <v>183</v>
      </c>
      <c r="N506" s="1" t="s">
        <v>184</v>
      </c>
      <c r="O506" s="1" t="s">
        <v>155</v>
      </c>
      <c r="P506" s="3">
        <v>1</v>
      </c>
      <c r="Q506" s="3">
        <v>24.11</v>
      </c>
      <c r="R506" s="1" t="s">
        <v>34</v>
      </c>
      <c r="S506" s="1" t="s">
        <v>35</v>
      </c>
      <c r="T506" s="1" t="s">
        <v>36</v>
      </c>
      <c r="U506" s="1" t="s">
        <v>37</v>
      </c>
      <c r="V506" s="1" t="s">
        <v>85</v>
      </c>
      <c r="W506" s="1" t="s">
        <v>39</v>
      </c>
      <c r="X506" s="8" t="str">
        <f>+IFERROR(VLOOKUP(N506,[1]Hoja1!$B$2:$F$52,4,0)*P506,"")</f>
        <v/>
      </c>
      <c r="Y506" s="8" t="e">
        <f>+VLOOKUP(M506,[1]SKU!$B$3:$E$81,4,0)</f>
        <v>#N/A</v>
      </c>
      <c r="Z506" s="8" t="str">
        <f t="shared" si="7"/>
        <v>BEES</v>
      </c>
      <c r="AA506" s="8" t="str">
        <f>+VLOOKUP(I506,[1]SKU!$H$2:$I$97,2,0)</f>
        <v>PE07011</v>
      </c>
    </row>
    <row r="507" spans="1:27">
      <c r="A507" s="1" t="s">
        <v>51</v>
      </c>
      <c r="B507" s="2">
        <v>46295</v>
      </c>
      <c r="C507" s="1" t="s">
        <v>603</v>
      </c>
      <c r="D507" s="1" t="s">
        <v>52</v>
      </c>
      <c r="E507" s="1" t="s">
        <v>604</v>
      </c>
      <c r="F507" s="1" t="s">
        <v>605</v>
      </c>
      <c r="G507" s="1" t="s">
        <v>26</v>
      </c>
      <c r="H507" s="1" t="s">
        <v>27</v>
      </c>
      <c r="I507" s="1" t="s">
        <v>238</v>
      </c>
      <c r="J507" s="1" t="s">
        <v>28</v>
      </c>
      <c r="K507" s="1" t="s">
        <v>29</v>
      </c>
      <c r="L507" s="1" t="s">
        <v>30</v>
      </c>
      <c r="M507" s="1" t="s">
        <v>183</v>
      </c>
      <c r="N507" s="1" t="s">
        <v>184</v>
      </c>
      <c r="O507" s="1" t="s">
        <v>155</v>
      </c>
      <c r="P507" s="3">
        <v>2</v>
      </c>
      <c r="Q507" s="3">
        <v>48.22</v>
      </c>
      <c r="R507" s="1" t="s">
        <v>34</v>
      </c>
      <c r="S507" s="1" t="s">
        <v>35</v>
      </c>
      <c r="T507" s="1" t="s">
        <v>36</v>
      </c>
      <c r="U507" s="1" t="s">
        <v>37</v>
      </c>
      <c r="V507" s="1" t="s">
        <v>85</v>
      </c>
      <c r="W507" s="1" t="s">
        <v>39</v>
      </c>
      <c r="X507" s="8" t="str">
        <f>+IFERROR(VLOOKUP(N507,[1]Hoja1!$B$2:$F$52,4,0)*P507,"")</f>
        <v/>
      </c>
      <c r="Y507" s="8" t="e">
        <f>+VLOOKUP(M507,[1]SKU!$B$3:$E$81,4,0)</f>
        <v>#N/A</v>
      </c>
      <c r="Z507" s="8" t="str">
        <f t="shared" si="7"/>
        <v>BEES</v>
      </c>
      <c r="AA507" s="8" t="str">
        <f>+VLOOKUP(I507,[1]SKU!$H$2:$I$97,2,0)</f>
        <v>PE07011</v>
      </c>
    </row>
    <row r="508" spans="1:27">
      <c r="A508" s="1" t="s">
        <v>51</v>
      </c>
      <c r="B508" s="2">
        <v>46295</v>
      </c>
      <c r="C508" s="1" t="s">
        <v>630</v>
      </c>
      <c r="D508" s="1" t="s">
        <v>52</v>
      </c>
      <c r="E508" s="1" t="s">
        <v>631</v>
      </c>
      <c r="F508" s="1" t="s">
        <v>632</v>
      </c>
      <c r="G508" s="1" t="s">
        <v>26</v>
      </c>
      <c r="H508" s="1" t="s">
        <v>27</v>
      </c>
      <c r="I508" s="1" t="s">
        <v>238</v>
      </c>
      <c r="J508" s="1" t="s">
        <v>28</v>
      </c>
      <c r="K508" s="1" t="s">
        <v>29</v>
      </c>
      <c r="L508" s="1" t="s">
        <v>30</v>
      </c>
      <c r="M508" s="1" t="s">
        <v>183</v>
      </c>
      <c r="N508" s="1" t="s">
        <v>184</v>
      </c>
      <c r="O508" s="1" t="s">
        <v>155</v>
      </c>
      <c r="P508" s="3">
        <v>3</v>
      </c>
      <c r="Q508" s="3">
        <v>72.33</v>
      </c>
      <c r="R508" s="1" t="s">
        <v>34</v>
      </c>
      <c r="S508" s="1" t="s">
        <v>35</v>
      </c>
      <c r="T508" s="1" t="s">
        <v>36</v>
      </c>
      <c r="U508" s="1" t="s">
        <v>37</v>
      </c>
      <c r="V508" s="1" t="s">
        <v>85</v>
      </c>
      <c r="W508" s="1" t="s">
        <v>39</v>
      </c>
      <c r="X508" s="8" t="str">
        <f>+IFERROR(VLOOKUP(N508,[1]Hoja1!$B$2:$F$52,4,0)*P508,"")</f>
        <v/>
      </c>
      <c r="Y508" s="8" t="e">
        <f>+VLOOKUP(M508,[1]SKU!$B$3:$E$81,4,0)</f>
        <v>#N/A</v>
      </c>
      <c r="Z508" s="8" t="str">
        <f t="shared" si="7"/>
        <v>BEES</v>
      </c>
      <c r="AA508" s="8" t="str">
        <f>+VLOOKUP(I508,[1]SKU!$H$2:$I$97,2,0)</f>
        <v>PE07011</v>
      </c>
    </row>
    <row r="509" spans="1:27">
      <c r="A509" s="1" t="s">
        <v>51</v>
      </c>
      <c r="B509" s="2">
        <v>46295</v>
      </c>
      <c r="C509" s="1" t="s">
        <v>260</v>
      </c>
      <c r="D509" s="1" t="s">
        <v>52</v>
      </c>
      <c r="E509" s="1" t="s">
        <v>261</v>
      </c>
      <c r="F509" s="1" t="s">
        <v>262</v>
      </c>
      <c r="G509" s="1" t="s">
        <v>26</v>
      </c>
      <c r="H509" s="1" t="s">
        <v>27</v>
      </c>
      <c r="I509" s="1" t="s">
        <v>238</v>
      </c>
      <c r="J509" s="1" t="s">
        <v>28</v>
      </c>
      <c r="K509" s="1" t="s">
        <v>29</v>
      </c>
      <c r="L509" s="1" t="s">
        <v>30</v>
      </c>
      <c r="M509" s="1" t="s">
        <v>31</v>
      </c>
      <c r="N509" s="1" t="s">
        <v>32</v>
      </c>
      <c r="O509" s="1" t="s">
        <v>33</v>
      </c>
      <c r="P509" s="3">
        <v>2</v>
      </c>
      <c r="Q509" s="3">
        <v>148.08439999999999</v>
      </c>
      <c r="R509" s="1" t="s">
        <v>34</v>
      </c>
      <c r="S509" s="1" t="s">
        <v>35</v>
      </c>
      <c r="T509" s="1" t="s">
        <v>36</v>
      </c>
      <c r="U509" s="1" t="s">
        <v>37</v>
      </c>
      <c r="V509" s="1" t="s">
        <v>38</v>
      </c>
      <c r="W509" s="1" t="s">
        <v>39</v>
      </c>
      <c r="X509" s="8">
        <f>+IFERROR(VLOOKUP(N509,[1]Hoja1!$B$2:$F$52,4,0)*P509,"")</f>
        <v>2</v>
      </c>
      <c r="Y509" s="8" t="str">
        <f>+VLOOKUP(M509,[1]SKU!$B$3:$E$81,4,0)</f>
        <v>REGULAR</v>
      </c>
      <c r="Z509" s="8" t="str">
        <f t="shared" si="7"/>
        <v>BEES</v>
      </c>
      <c r="AA509" s="8" t="str">
        <f>+VLOOKUP(I509,[1]SKU!$H$2:$I$97,2,0)</f>
        <v>PE07011</v>
      </c>
    </row>
    <row r="510" spans="1:27">
      <c r="A510" s="1" t="s">
        <v>42</v>
      </c>
      <c r="B510" s="2">
        <v>46295</v>
      </c>
      <c r="C510" s="1" t="s">
        <v>519</v>
      </c>
      <c r="D510" s="1" t="s">
        <v>43</v>
      </c>
      <c r="E510" s="1" t="s">
        <v>520</v>
      </c>
      <c r="F510" s="1" t="s">
        <v>521</v>
      </c>
      <c r="G510" s="1" t="s">
        <v>26</v>
      </c>
      <c r="H510" s="1" t="s">
        <v>27</v>
      </c>
      <c r="I510" s="1" t="s">
        <v>72</v>
      </c>
      <c r="J510" s="1" t="s">
        <v>28</v>
      </c>
      <c r="K510" s="1" t="s">
        <v>29</v>
      </c>
      <c r="L510" s="1" t="s">
        <v>30</v>
      </c>
      <c r="M510" s="1" t="s">
        <v>31</v>
      </c>
      <c r="N510" s="1" t="s">
        <v>32</v>
      </c>
      <c r="O510" s="1" t="s">
        <v>33</v>
      </c>
      <c r="P510" s="3">
        <v>1</v>
      </c>
      <c r="Q510" s="3">
        <v>76.210800000000006</v>
      </c>
      <c r="R510" s="1" t="s">
        <v>34</v>
      </c>
      <c r="S510" s="1" t="s">
        <v>35</v>
      </c>
      <c r="T510" s="1" t="s">
        <v>36</v>
      </c>
      <c r="U510" s="1" t="s">
        <v>37</v>
      </c>
      <c r="V510" s="1" t="s">
        <v>38</v>
      </c>
      <c r="W510" s="1" t="s">
        <v>39</v>
      </c>
      <c r="X510" s="8">
        <f>+IFERROR(VLOOKUP(N510,[1]Hoja1!$B$2:$F$52,4,0)*P510,"")</f>
        <v>1</v>
      </c>
      <c r="Y510" s="8" t="str">
        <f>+VLOOKUP(M510,[1]SKU!$B$3:$E$81,4,0)</f>
        <v>REGULAR</v>
      </c>
      <c r="Z510" s="8" t="str">
        <f t="shared" si="7"/>
        <v>BEES</v>
      </c>
      <c r="AA510" s="8" t="str">
        <f>+VLOOKUP(I510,[1]SKU!$H$2:$I$97,2,0)</f>
        <v>PE07001</v>
      </c>
    </row>
    <row r="511" spans="1:27">
      <c r="A511" s="1" t="s">
        <v>24</v>
      </c>
      <c r="B511" s="2">
        <v>46295</v>
      </c>
      <c r="C511" s="1" t="s">
        <v>339</v>
      </c>
      <c r="D511" s="1" t="s">
        <v>25</v>
      </c>
      <c r="E511" s="1" t="s">
        <v>340</v>
      </c>
      <c r="F511" s="1" t="s">
        <v>341</v>
      </c>
      <c r="G511" s="1" t="s">
        <v>26</v>
      </c>
      <c r="H511" s="1" t="s">
        <v>27</v>
      </c>
      <c r="I511" s="1" t="s">
        <v>53</v>
      </c>
      <c r="J511" s="1" t="s">
        <v>28</v>
      </c>
      <c r="K511" s="1" t="s">
        <v>29</v>
      </c>
      <c r="L511" s="1" t="s">
        <v>30</v>
      </c>
      <c r="M511" s="1" t="s">
        <v>113</v>
      </c>
      <c r="N511" s="1" t="s">
        <v>114</v>
      </c>
      <c r="O511" s="1" t="s">
        <v>115</v>
      </c>
      <c r="P511" s="3">
        <v>2</v>
      </c>
      <c r="Q511" s="3">
        <v>19.99935</v>
      </c>
      <c r="R511" s="1" t="s">
        <v>34</v>
      </c>
      <c r="S511" s="1" t="s">
        <v>35</v>
      </c>
      <c r="T511" s="1" t="s">
        <v>36</v>
      </c>
      <c r="U511" s="1" t="s">
        <v>37</v>
      </c>
      <c r="V511" s="1" t="s">
        <v>116</v>
      </c>
      <c r="W511" s="1" t="s">
        <v>39</v>
      </c>
      <c r="X511" s="8">
        <f>+IFERROR(VLOOKUP(N511,[1]Hoja1!$B$2:$F$52,4,0)*P511,"")</f>
        <v>2.0161290322580645</v>
      </c>
      <c r="Y511" s="8" t="str">
        <f>+VLOOKUP(M511,[1]SKU!$B$3:$E$81,4,0)</f>
        <v>REGULAR</v>
      </c>
      <c r="Z511" s="8" t="str">
        <f t="shared" si="7"/>
        <v>BEES</v>
      </c>
      <c r="AA511" s="8" t="str">
        <f>+VLOOKUP(I511,[1]SKU!$H$2:$I$97,2,0)</f>
        <v>PE07010</v>
      </c>
    </row>
    <row r="512" spans="1:27">
      <c r="A512" s="1" t="s">
        <v>51</v>
      </c>
      <c r="B512" s="2">
        <v>46295</v>
      </c>
      <c r="C512" s="1" t="s">
        <v>455</v>
      </c>
      <c r="D512" s="1" t="s">
        <v>52</v>
      </c>
      <c r="E512" s="1" t="s">
        <v>456</v>
      </c>
      <c r="F512" s="1" t="s">
        <v>457</v>
      </c>
      <c r="G512" s="1" t="s">
        <v>26</v>
      </c>
      <c r="H512" s="1" t="s">
        <v>27</v>
      </c>
      <c r="I512" s="1" t="s">
        <v>238</v>
      </c>
      <c r="J512" s="1" t="s">
        <v>28</v>
      </c>
      <c r="K512" s="1" t="s">
        <v>29</v>
      </c>
      <c r="L512" s="1" t="s">
        <v>30</v>
      </c>
      <c r="M512" s="1" t="s">
        <v>202</v>
      </c>
      <c r="N512" s="1" t="s">
        <v>203</v>
      </c>
      <c r="O512" s="1" t="s">
        <v>33</v>
      </c>
      <c r="P512" s="3">
        <v>1</v>
      </c>
      <c r="Q512" s="3">
        <v>77.45</v>
      </c>
      <c r="R512" s="1" t="s">
        <v>34</v>
      </c>
      <c r="S512" s="1" t="s">
        <v>35</v>
      </c>
      <c r="T512" s="1" t="s">
        <v>36</v>
      </c>
      <c r="U512" s="1" t="s">
        <v>37</v>
      </c>
      <c r="V512" s="1" t="s">
        <v>38</v>
      </c>
      <c r="W512" s="1" t="s">
        <v>39</v>
      </c>
      <c r="X512" s="8" t="str">
        <f>+IFERROR(VLOOKUP(N512,[1]Hoja1!$B$2:$F$52,4,0)*P512,"")</f>
        <v/>
      </c>
      <c r="Y512" s="8" t="e">
        <f>+VLOOKUP(M512,[1]SKU!$B$3:$E$81,4,0)</f>
        <v>#N/A</v>
      </c>
      <c r="Z512" s="8" t="str">
        <f t="shared" si="7"/>
        <v>BEES</v>
      </c>
      <c r="AA512" s="8" t="str">
        <f>+VLOOKUP(I512,[1]SKU!$H$2:$I$97,2,0)</f>
        <v>PE07011</v>
      </c>
    </row>
    <row r="513" spans="1:27">
      <c r="A513" s="1" t="s">
        <v>51</v>
      </c>
      <c r="B513" s="2">
        <v>46295</v>
      </c>
      <c r="C513" s="1" t="s">
        <v>437</v>
      </c>
      <c r="D513" s="1" t="s">
        <v>52</v>
      </c>
      <c r="E513" s="1" t="s">
        <v>438</v>
      </c>
      <c r="F513" s="1" t="s">
        <v>439</v>
      </c>
      <c r="G513" s="1" t="s">
        <v>26</v>
      </c>
      <c r="H513" s="1" t="s">
        <v>27</v>
      </c>
      <c r="I513" s="1" t="s">
        <v>238</v>
      </c>
      <c r="J513" s="1" t="s">
        <v>28</v>
      </c>
      <c r="K513" s="1" t="s">
        <v>29</v>
      </c>
      <c r="L513" s="1" t="s">
        <v>30</v>
      </c>
      <c r="M513" s="1" t="s">
        <v>202</v>
      </c>
      <c r="N513" s="1" t="s">
        <v>203</v>
      </c>
      <c r="O513" s="1" t="s">
        <v>33</v>
      </c>
      <c r="P513" s="3">
        <v>1</v>
      </c>
      <c r="Q513" s="3">
        <v>76.210800000000006</v>
      </c>
      <c r="R513" s="1" t="s">
        <v>34</v>
      </c>
      <c r="S513" s="1" t="s">
        <v>35</v>
      </c>
      <c r="T513" s="1" t="s">
        <v>36</v>
      </c>
      <c r="U513" s="1" t="s">
        <v>37</v>
      </c>
      <c r="V513" s="1" t="s">
        <v>38</v>
      </c>
      <c r="W513" s="1" t="s">
        <v>39</v>
      </c>
      <c r="X513" s="8" t="str">
        <f>+IFERROR(VLOOKUP(N513,[1]Hoja1!$B$2:$F$52,4,0)*P513,"")</f>
        <v/>
      </c>
      <c r="Y513" s="8" t="e">
        <f>+VLOOKUP(M513,[1]SKU!$B$3:$E$81,4,0)</f>
        <v>#N/A</v>
      </c>
      <c r="Z513" s="8" t="str">
        <f t="shared" si="7"/>
        <v>BEES</v>
      </c>
      <c r="AA513" s="8" t="str">
        <f>+VLOOKUP(I513,[1]SKU!$H$2:$I$97,2,0)</f>
        <v>PE07011</v>
      </c>
    </row>
    <row r="514" spans="1:27">
      <c r="A514" s="1" t="s">
        <v>42</v>
      </c>
      <c r="B514" s="2">
        <v>46295</v>
      </c>
      <c r="C514" s="1" t="s">
        <v>323</v>
      </c>
      <c r="D514" s="1" t="s">
        <v>43</v>
      </c>
      <c r="E514" s="1" t="s">
        <v>324</v>
      </c>
      <c r="F514" s="1" t="s">
        <v>325</v>
      </c>
      <c r="G514" s="1" t="s">
        <v>26</v>
      </c>
      <c r="H514" s="1" t="s">
        <v>27</v>
      </c>
      <c r="I514" s="1" t="s">
        <v>72</v>
      </c>
      <c r="J514" s="1" t="s">
        <v>28</v>
      </c>
      <c r="K514" s="1" t="s">
        <v>29</v>
      </c>
      <c r="L514" s="1" t="s">
        <v>30</v>
      </c>
      <c r="M514" s="1" t="s">
        <v>633</v>
      </c>
      <c r="N514" s="1" t="s">
        <v>634</v>
      </c>
      <c r="O514" s="1" t="s">
        <v>208</v>
      </c>
      <c r="P514" s="3">
        <v>1</v>
      </c>
      <c r="Q514" s="3">
        <v>13.95</v>
      </c>
      <c r="R514" s="1" t="s">
        <v>34</v>
      </c>
      <c r="S514" s="1" t="s">
        <v>35</v>
      </c>
      <c r="T514" s="1" t="s">
        <v>36</v>
      </c>
      <c r="U514" s="1" t="s">
        <v>37</v>
      </c>
      <c r="V514" s="1" t="s">
        <v>85</v>
      </c>
      <c r="W514" s="1" t="s">
        <v>39</v>
      </c>
      <c r="X514" s="8" t="str">
        <f>+IFERROR(VLOOKUP(N514,[1]Hoja1!$B$2:$F$52,4,0)*P514,"")</f>
        <v/>
      </c>
      <c r="Y514" s="8" t="e">
        <f>+VLOOKUP(M514,[1]SKU!$B$3:$E$81,4,0)</f>
        <v>#N/A</v>
      </c>
      <c r="Z514" s="8" t="str">
        <f t="shared" si="7"/>
        <v>BEES</v>
      </c>
      <c r="AA514" s="8" t="str">
        <f>+VLOOKUP(I514,[1]SKU!$H$2:$I$97,2,0)</f>
        <v>PE07001</v>
      </c>
    </row>
    <row r="515" spans="1:27">
      <c r="A515" s="1" t="s">
        <v>51</v>
      </c>
      <c r="B515" s="2">
        <v>46295</v>
      </c>
      <c r="C515" s="1" t="s">
        <v>480</v>
      </c>
      <c r="D515" s="1" t="s">
        <v>52</v>
      </c>
      <c r="E515" s="1" t="s">
        <v>481</v>
      </c>
      <c r="F515" s="1" t="s">
        <v>482</v>
      </c>
      <c r="G515" s="1" t="s">
        <v>26</v>
      </c>
      <c r="H515" s="1" t="s">
        <v>27</v>
      </c>
      <c r="I515" s="1" t="s">
        <v>238</v>
      </c>
      <c r="J515" s="1" t="s">
        <v>28</v>
      </c>
      <c r="K515" s="1" t="s">
        <v>29</v>
      </c>
      <c r="L515" s="1" t="s">
        <v>30</v>
      </c>
      <c r="M515" s="1" t="s">
        <v>202</v>
      </c>
      <c r="N515" s="1" t="s">
        <v>203</v>
      </c>
      <c r="O515" s="1" t="s">
        <v>33</v>
      </c>
      <c r="P515" s="3">
        <v>2</v>
      </c>
      <c r="Q515" s="3">
        <v>154.89999900000001</v>
      </c>
      <c r="R515" s="1" t="s">
        <v>34</v>
      </c>
      <c r="S515" s="1" t="s">
        <v>35</v>
      </c>
      <c r="T515" s="1" t="s">
        <v>36</v>
      </c>
      <c r="U515" s="1" t="s">
        <v>37</v>
      </c>
      <c r="V515" s="1" t="s">
        <v>38</v>
      </c>
      <c r="W515" s="1" t="s">
        <v>39</v>
      </c>
      <c r="X515" s="8" t="str">
        <f>+IFERROR(VLOOKUP(N515,[1]Hoja1!$B$2:$F$52,4,0)*P515,"")</f>
        <v/>
      </c>
      <c r="Y515" s="8" t="e">
        <f>+VLOOKUP(M515,[1]SKU!$B$3:$E$81,4,0)</f>
        <v>#N/A</v>
      </c>
      <c r="Z515" s="8" t="str">
        <f t="shared" ref="Z515:Z578" si="8">+IF(J515="VB01                          ","BEES","FLEX")</f>
        <v>BEES</v>
      </c>
      <c r="AA515" s="8" t="str">
        <f>+VLOOKUP(I515,[1]SKU!$H$2:$I$97,2,0)</f>
        <v>PE07011</v>
      </c>
    </row>
    <row r="516" spans="1:27">
      <c r="A516" s="1" t="s">
        <v>42</v>
      </c>
      <c r="B516" s="2">
        <v>46295</v>
      </c>
      <c r="C516" s="1" t="s">
        <v>430</v>
      </c>
      <c r="D516" s="1" t="s">
        <v>43</v>
      </c>
      <c r="E516" s="1" t="s">
        <v>431</v>
      </c>
      <c r="F516" s="1" t="s">
        <v>432</v>
      </c>
      <c r="G516" s="1" t="s">
        <v>26</v>
      </c>
      <c r="H516" s="1" t="s">
        <v>27</v>
      </c>
      <c r="I516" s="1" t="s">
        <v>180</v>
      </c>
      <c r="J516" s="1" t="s">
        <v>28</v>
      </c>
      <c r="K516" s="1" t="s">
        <v>29</v>
      </c>
      <c r="L516" s="1" t="s">
        <v>30</v>
      </c>
      <c r="M516" s="1" t="s">
        <v>633</v>
      </c>
      <c r="N516" s="1" t="s">
        <v>634</v>
      </c>
      <c r="O516" s="1" t="s">
        <v>208</v>
      </c>
      <c r="P516" s="3">
        <v>1</v>
      </c>
      <c r="Q516" s="3">
        <v>0</v>
      </c>
      <c r="R516" s="1" t="s">
        <v>77</v>
      </c>
      <c r="S516" s="1" t="s">
        <v>35</v>
      </c>
      <c r="T516" s="1" t="s">
        <v>36</v>
      </c>
      <c r="U516" s="1" t="s">
        <v>37</v>
      </c>
      <c r="V516" s="1" t="s">
        <v>85</v>
      </c>
      <c r="W516" s="1" t="s">
        <v>39</v>
      </c>
      <c r="X516" s="8" t="str">
        <f>+IFERROR(VLOOKUP(N516,[1]Hoja1!$B$2:$F$52,4,0)*P516,"")</f>
        <v/>
      </c>
      <c r="Y516" s="8" t="e">
        <f>+VLOOKUP(M516,[1]SKU!$B$3:$E$81,4,0)</f>
        <v>#N/A</v>
      </c>
      <c r="Z516" s="8" t="str">
        <f t="shared" si="8"/>
        <v>BEES</v>
      </c>
      <c r="AA516" s="8" t="str">
        <f>+VLOOKUP(I516,[1]SKU!$H$2:$I$97,2,0)</f>
        <v>PE07002</v>
      </c>
    </row>
    <row r="517" spans="1:27">
      <c r="A517" s="1" t="s">
        <v>51</v>
      </c>
      <c r="B517" s="2">
        <v>46295</v>
      </c>
      <c r="C517" s="1" t="s">
        <v>239</v>
      </c>
      <c r="D517" s="1" t="s">
        <v>52</v>
      </c>
      <c r="E517" s="1" t="s">
        <v>240</v>
      </c>
      <c r="F517" s="1" t="s">
        <v>241</v>
      </c>
      <c r="G517" s="1" t="s">
        <v>26</v>
      </c>
      <c r="H517" s="1" t="s">
        <v>27</v>
      </c>
      <c r="I517" s="1" t="s">
        <v>238</v>
      </c>
      <c r="J517" s="1" t="s">
        <v>28</v>
      </c>
      <c r="K517" s="1" t="s">
        <v>29</v>
      </c>
      <c r="L517" s="1" t="s">
        <v>30</v>
      </c>
      <c r="M517" s="1" t="s">
        <v>202</v>
      </c>
      <c r="N517" s="1" t="s">
        <v>203</v>
      </c>
      <c r="O517" s="1" t="s">
        <v>33</v>
      </c>
      <c r="P517" s="3">
        <v>1</v>
      </c>
      <c r="Q517" s="3">
        <v>76.210800000000006</v>
      </c>
      <c r="R517" s="1" t="s">
        <v>34</v>
      </c>
      <c r="S517" s="1" t="s">
        <v>35</v>
      </c>
      <c r="T517" s="1" t="s">
        <v>36</v>
      </c>
      <c r="U517" s="1" t="s">
        <v>37</v>
      </c>
      <c r="V517" s="1" t="s">
        <v>38</v>
      </c>
      <c r="W517" s="1" t="s">
        <v>39</v>
      </c>
      <c r="X517" s="8" t="str">
        <f>+IFERROR(VLOOKUP(N517,[1]Hoja1!$B$2:$F$52,4,0)*P517,"")</f>
        <v/>
      </c>
      <c r="Y517" s="8" t="e">
        <f>+VLOOKUP(M517,[1]SKU!$B$3:$E$81,4,0)</f>
        <v>#N/A</v>
      </c>
      <c r="Z517" s="8" t="str">
        <f t="shared" si="8"/>
        <v>BEES</v>
      </c>
      <c r="AA517" s="8" t="str">
        <f>+VLOOKUP(I517,[1]SKU!$H$2:$I$97,2,0)</f>
        <v>PE07011</v>
      </c>
    </row>
    <row r="518" spans="1:27">
      <c r="A518" s="1" t="s">
        <v>24</v>
      </c>
      <c r="B518" s="2">
        <v>46295</v>
      </c>
      <c r="C518" s="1" t="s">
        <v>242</v>
      </c>
      <c r="D518" s="1" t="s">
        <v>25</v>
      </c>
      <c r="E518" s="1" t="s">
        <v>243</v>
      </c>
      <c r="F518" s="1" t="s">
        <v>244</v>
      </c>
      <c r="G518" s="1" t="s">
        <v>26</v>
      </c>
      <c r="H518" s="1" t="s">
        <v>27</v>
      </c>
      <c r="I518" s="1" t="s">
        <v>53</v>
      </c>
      <c r="J518" s="1" t="s">
        <v>28</v>
      </c>
      <c r="K518" s="1" t="s">
        <v>29</v>
      </c>
      <c r="L518" s="1" t="s">
        <v>30</v>
      </c>
      <c r="M518" s="1" t="s">
        <v>109</v>
      </c>
      <c r="N518" s="1" t="s">
        <v>110</v>
      </c>
      <c r="O518" s="1" t="s">
        <v>61</v>
      </c>
      <c r="P518" s="3">
        <v>1</v>
      </c>
      <c r="Q518" s="3">
        <v>29.181362</v>
      </c>
      <c r="R518" s="1" t="s">
        <v>34</v>
      </c>
      <c r="S518" s="1" t="s">
        <v>35</v>
      </c>
      <c r="T518" s="1" t="s">
        <v>36</v>
      </c>
      <c r="U518" s="1" t="s">
        <v>37</v>
      </c>
      <c r="V518" s="1" t="s">
        <v>38</v>
      </c>
      <c r="W518" s="1" t="s">
        <v>39</v>
      </c>
      <c r="X518" s="8" t="str">
        <f>+IFERROR(VLOOKUP(N518,[1]Hoja1!$B$2:$F$52,4,0)*P518,"")</f>
        <v/>
      </c>
      <c r="Y518" s="8" t="e">
        <f>+VLOOKUP(M518,[1]SKU!$B$3:$E$81,4,0)</f>
        <v>#N/A</v>
      </c>
      <c r="Z518" s="8" t="str">
        <f t="shared" si="8"/>
        <v>BEES</v>
      </c>
      <c r="AA518" s="8" t="str">
        <f>+VLOOKUP(I518,[1]SKU!$H$2:$I$97,2,0)</f>
        <v>PE07010</v>
      </c>
    </row>
    <row r="519" spans="1:27">
      <c r="A519" s="1" t="s">
        <v>51</v>
      </c>
      <c r="B519" s="2">
        <v>46295</v>
      </c>
      <c r="C519" s="1" t="s">
        <v>437</v>
      </c>
      <c r="D519" s="1" t="s">
        <v>52</v>
      </c>
      <c r="E519" s="1" t="s">
        <v>438</v>
      </c>
      <c r="F519" s="1" t="s">
        <v>439</v>
      </c>
      <c r="G519" s="1" t="s">
        <v>26</v>
      </c>
      <c r="H519" s="1" t="s">
        <v>27</v>
      </c>
      <c r="I519" s="1" t="s">
        <v>238</v>
      </c>
      <c r="J519" s="1" t="s">
        <v>28</v>
      </c>
      <c r="K519" s="1" t="s">
        <v>29</v>
      </c>
      <c r="L519" s="1" t="s">
        <v>30</v>
      </c>
      <c r="M519" s="1" t="s">
        <v>635</v>
      </c>
      <c r="N519" s="1" t="s">
        <v>636</v>
      </c>
      <c r="O519" s="1" t="s">
        <v>155</v>
      </c>
      <c r="P519" s="3">
        <v>3</v>
      </c>
      <c r="Q519" s="3">
        <v>67.380534999999995</v>
      </c>
      <c r="R519" s="1" t="s">
        <v>34</v>
      </c>
      <c r="S519" s="1" t="s">
        <v>35</v>
      </c>
      <c r="T519" s="1" t="s">
        <v>36</v>
      </c>
      <c r="U519" s="1" t="s">
        <v>37</v>
      </c>
      <c r="V519" s="1" t="s">
        <v>85</v>
      </c>
      <c r="W519" s="1" t="s">
        <v>39</v>
      </c>
      <c r="X519" s="8" t="str">
        <f>+IFERROR(VLOOKUP(N519,[1]Hoja1!$B$2:$F$52,4,0)*P519,"")</f>
        <v/>
      </c>
      <c r="Y519" s="8" t="e">
        <f>+VLOOKUP(M519,[1]SKU!$B$3:$E$81,4,0)</f>
        <v>#N/A</v>
      </c>
      <c r="Z519" s="8" t="str">
        <f t="shared" si="8"/>
        <v>BEES</v>
      </c>
      <c r="AA519" s="8" t="str">
        <f>+VLOOKUP(I519,[1]SKU!$H$2:$I$97,2,0)</f>
        <v>PE07011</v>
      </c>
    </row>
    <row r="520" spans="1:27">
      <c r="A520" s="1" t="s">
        <v>24</v>
      </c>
      <c r="B520" s="2">
        <v>46295</v>
      </c>
      <c r="C520" s="1" t="s">
        <v>401</v>
      </c>
      <c r="D520" s="1" t="s">
        <v>25</v>
      </c>
      <c r="E520" s="1" t="s">
        <v>402</v>
      </c>
      <c r="F520" s="1" t="s">
        <v>403</v>
      </c>
      <c r="G520" s="1" t="s">
        <v>26</v>
      </c>
      <c r="H520" s="1" t="s">
        <v>27</v>
      </c>
      <c r="I520" s="1" t="s">
        <v>53</v>
      </c>
      <c r="J520" s="1" t="s">
        <v>28</v>
      </c>
      <c r="K520" s="1" t="s">
        <v>29</v>
      </c>
      <c r="L520" s="1" t="s">
        <v>30</v>
      </c>
      <c r="M520" s="1" t="s">
        <v>221</v>
      </c>
      <c r="N520" s="1" t="s">
        <v>222</v>
      </c>
      <c r="O520" s="1" t="s">
        <v>61</v>
      </c>
      <c r="P520" s="3">
        <v>1</v>
      </c>
      <c r="Q520" s="3">
        <v>17.353000000000002</v>
      </c>
      <c r="R520" s="1" t="s">
        <v>34</v>
      </c>
      <c r="S520" s="1" t="s">
        <v>35</v>
      </c>
      <c r="T520" s="1" t="s">
        <v>36</v>
      </c>
      <c r="U520" s="1" t="s">
        <v>37</v>
      </c>
      <c r="V520" s="1" t="s">
        <v>69</v>
      </c>
      <c r="W520" s="1" t="s">
        <v>39</v>
      </c>
      <c r="X520" s="8" t="str">
        <f>+IFERROR(VLOOKUP(N520,[1]Hoja1!$B$2:$F$52,4,0)*P520,"")</f>
        <v/>
      </c>
      <c r="Y520" s="8" t="e">
        <f>+VLOOKUP(M520,[1]SKU!$B$3:$E$81,4,0)</f>
        <v>#N/A</v>
      </c>
      <c r="Z520" s="8" t="str">
        <f t="shared" si="8"/>
        <v>BEES</v>
      </c>
      <c r="AA520" s="8" t="str">
        <f>+VLOOKUP(I520,[1]SKU!$H$2:$I$97,2,0)</f>
        <v>PE07010</v>
      </c>
    </row>
    <row r="521" spans="1:27">
      <c r="A521" s="1" t="s">
        <v>24</v>
      </c>
      <c r="B521" s="2">
        <v>46295</v>
      </c>
      <c r="C521" s="1" t="s">
        <v>248</v>
      </c>
      <c r="D521" s="1" t="s">
        <v>25</v>
      </c>
      <c r="E521" s="1" t="s">
        <v>249</v>
      </c>
      <c r="F521" s="1" t="s">
        <v>250</v>
      </c>
      <c r="G521" s="1" t="s">
        <v>26</v>
      </c>
      <c r="H521" s="1" t="s">
        <v>27</v>
      </c>
      <c r="I521" s="1" t="s">
        <v>53</v>
      </c>
      <c r="J521" s="1" t="s">
        <v>28</v>
      </c>
      <c r="K521" s="1" t="s">
        <v>29</v>
      </c>
      <c r="L521" s="1" t="s">
        <v>30</v>
      </c>
      <c r="M521" s="1" t="s">
        <v>221</v>
      </c>
      <c r="N521" s="1" t="s">
        <v>222</v>
      </c>
      <c r="O521" s="1" t="s">
        <v>61</v>
      </c>
      <c r="P521" s="3">
        <v>1</v>
      </c>
      <c r="Q521" s="3">
        <v>17.353000000000002</v>
      </c>
      <c r="R521" s="1" t="s">
        <v>34</v>
      </c>
      <c r="S521" s="1" t="s">
        <v>35</v>
      </c>
      <c r="T521" s="1" t="s">
        <v>36</v>
      </c>
      <c r="U521" s="1" t="s">
        <v>37</v>
      </c>
      <c r="V521" s="1" t="s">
        <v>69</v>
      </c>
      <c r="W521" s="1" t="s">
        <v>39</v>
      </c>
      <c r="X521" s="8" t="str">
        <f>+IFERROR(VLOOKUP(N521,[1]Hoja1!$B$2:$F$52,4,0)*P521,"")</f>
        <v/>
      </c>
      <c r="Y521" s="8" t="e">
        <f>+VLOOKUP(M521,[1]SKU!$B$3:$E$81,4,0)</f>
        <v>#N/A</v>
      </c>
      <c r="Z521" s="8" t="str">
        <f t="shared" si="8"/>
        <v>BEES</v>
      </c>
      <c r="AA521" s="8" t="str">
        <f>+VLOOKUP(I521,[1]SKU!$H$2:$I$97,2,0)</f>
        <v>PE07010</v>
      </c>
    </row>
    <row r="522" spans="1:27">
      <c r="A522" s="1" t="s">
        <v>51</v>
      </c>
      <c r="B522" s="2">
        <v>46295</v>
      </c>
      <c r="C522" s="1" t="s">
        <v>312</v>
      </c>
      <c r="D522" s="1" t="s">
        <v>52</v>
      </c>
      <c r="E522" s="1" t="s">
        <v>313</v>
      </c>
      <c r="F522" s="1" t="s">
        <v>314</v>
      </c>
      <c r="G522" s="1" t="s">
        <v>26</v>
      </c>
      <c r="H522" s="1" t="s">
        <v>27</v>
      </c>
      <c r="I522" s="1" t="s">
        <v>238</v>
      </c>
      <c r="J522" s="1" t="s">
        <v>28</v>
      </c>
      <c r="K522" s="1" t="s">
        <v>29</v>
      </c>
      <c r="L522" s="1" t="s">
        <v>30</v>
      </c>
      <c r="M522" s="1" t="s">
        <v>221</v>
      </c>
      <c r="N522" s="1" t="s">
        <v>222</v>
      </c>
      <c r="O522" s="1" t="s">
        <v>61</v>
      </c>
      <c r="P522" s="3">
        <v>1</v>
      </c>
      <c r="Q522" s="3">
        <v>17.353000000000002</v>
      </c>
      <c r="R522" s="1" t="s">
        <v>34</v>
      </c>
      <c r="S522" s="1" t="s">
        <v>35</v>
      </c>
      <c r="T522" s="1" t="s">
        <v>36</v>
      </c>
      <c r="U522" s="1" t="s">
        <v>37</v>
      </c>
      <c r="V522" s="1" t="s">
        <v>69</v>
      </c>
      <c r="W522" s="1" t="s">
        <v>39</v>
      </c>
      <c r="X522" s="8" t="str">
        <f>+IFERROR(VLOOKUP(N522,[1]Hoja1!$B$2:$F$52,4,0)*P522,"")</f>
        <v/>
      </c>
      <c r="Y522" s="8" t="e">
        <f>+VLOOKUP(M522,[1]SKU!$B$3:$E$81,4,0)</f>
        <v>#N/A</v>
      </c>
      <c r="Z522" s="8" t="str">
        <f t="shared" si="8"/>
        <v>BEES</v>
      </c>
      <c r="AA522" s="8" t="str">
        <f>+VLOOKUP(I522,[1]SKU!$H$2:$I$97,2,0)</f>
        <v>PE07011</v>
      </c>
    </row>
    <row r="523" spans="1:27">
      <c r="A523" s="1" t="s">
        <v>42</v>
      </c>
      <c r="B523" s="2">
        <v>46295</v>
      </c>
      <c r="C523" s="1" t="s">
        <v>352</v>
      </c>
      <c r="D523" s="1" t="s">
        <v>43</v>
      </c>
      <c r="E523" s="1" t="s">
        <v>353</v>
      </c>
      <c r="F523" s="1" t="s">
        <v>354</v>
      </c>
      <c r="G523" s="1" t="s">
        <v>26</v>
      </c>
      <c r="H523" s="1" t="s">
        <v>27</v>
      </c>
      <c r="I523" s="1" t="s">
        <v>180</v>
      </c>
      <c r="J523" s="1" t="s">
        <v>28</v>
      </c>
      <c r="K523" s="1" t="s">
        <v>29</v>
      </c>
      <c r="L523" s="1" t="s">
        <v>30</v>
      </c>
      <c r="M523" s="1" t="s">
        <v>219</v>
      </c>
      <c r="N523" s="1" t="s">
        <v>220</v>
      </c>
      <c r="O523" s="1" t="s">
        <v>61</v>
      </c>
      <c r="P523" s="3">
        <v>1</v>
      </c>
      <c r="Q523" s="3">
        <v>22.420268</v>
      </c>
      <c r="R523" s="1" t="s">
        <v>34</v>
      </c>
      <c r="S523" s="1" t="s">
        <v>35</v>
      </c>
      <c r="T523" s="1" t="s">
        <v>36</v>
      </c>
      <c r="U523" s="1" t="s">
        <v>37</v>
      </c>
      <c r="V523" s="1" t="s">
        <v>38</v>
      </c>
      <c r="W523" s="1" t="s">
        <v>39</v>
      </c>
      <c r="X523" s="8" t="str">
        <f>+IFERROR(VLOOKUP(N523,[1]Hoja1!$B$2:$F$52,4,0)*P523,"")</f>
        <v/>
      </c>
      <c r="Y523" s="8" t="e">
        <f>+VLOOKUP(M523,[1]SKU!$B$3:$E$81,4,0)</f>
        <v>#N/A</v>
      </c>
      <c r="Z523" s="8" t="str">
        <f t="shared" si="8"/>
        <v>BEES</v>
      </c>
      <c r="AA523" s="8" t="str">
        <f>+VLOOKUP(I523,[1]SKU!$H$2:$I$97,2,0)</f>
        <v>PE07002</v>
      </c>
    </row>
    <row r="524" spans="1:27">
      <c r="A524" s="1" t="s">
        <v>42</v>
      </c>
      <c r="B524" s="2">
        <v>46295</v>
      </c>
      <c r="C524" s="1" t="s">
        <v>540</v>
      </c>
      <c r="D524" s="1" t="s">
        <v>43</v>
      </c>
      <c r="E524" s="1" t="s">
        <v>541</v>
      </c>
      <c r="F524" s="1" t="s">
        <v>542</v>
      </c>
      <c r="G524" s="1" t="s">
        <v>26</v>
      </c>
      <c r="H524" s="1" t="s">
        <v>27</v>
      </c>
      <c r="I524" s="1" t="s">
        <v>180</v>
      </c>
      <c r="J524" s="1" t="s">
        <v>28</v>
      </c>
      <c r="K524" s="1" t="s">
        <v>29</v>
      </c>
      <c r="L524" s="1" t="s">
        <v>30</v>
      </c>
      <c r="M524" s="1" t="s">
        <v>219</v>
      </c>
      <c r="N524" s="1" t="s">
        <v>220</v>
      </c>
      <c r="O524" s="1" t="s">
        <v>61</v>
      </c>
      <c r="P524" s="3">
        <v>1</v>
      </c>
      <c r="Q524" s="3">
        <v>24.02</v>
      </c>
      <c r="R524" s="1" t="s">
        <v>34</v>
      </c>
      <c r="S524" s="1" t="s">
        <v>35</v>
      </c>
      <c r="T524" s="1" t="s">
        <v>36</v>
      </c>
      <c r="U524" s="1" t="s">
        <v>37</v>
      </c>
      <c r="V524" s="1" t="s">
        <v>38</v>
      </c>
      <c r="W524" s="1" t="s">
        <v>39</v>
      </c>
      <c r="X524" s="8" t="str">
        <f>+IFERROR(VLOOKUP(N524,[1]Hoja1!$B$2:$F$52,4,0)*P524,"")</f>
        <v/>
      </c>
      <c r="Y524" s="8" t="e">
        <f>+VLOOKUP(M524,[1]SKU!$B$3:$E$81,4,0)</f>
        <v>#N/A</v>
      </c>
      <c r="Z524" s="8" t="str">
        <f t="shared" si="8"/>
        <v>BEES</v>
      </c>
      <c r="AA524" s="8" t="str">
        <f>+VLOOKUP(I524,[1]SKU!$H$2:$I$97,2,0)</f>
        <v>PE07002</v>
      </c>
    </row>
    <row r="525" spans="1:27">
      <c r="A525" s="1" t="s">
        <v>51</v>
      </c>
      <c r="B525" s="2">
        <v>46295</v>
      </c>
      <c r="C525" s="1" t="s">
        <v>437</v>
      </c>
      <c r="D525" s="1" t="s">
        <v>52</v>
      </c>
      <c r="E525" s="1" t="s">
        <v>438</v>
      </c>
      <c r="F525" s="1" t="s">
        <v>439</v>
      </c>
      <c r="G525" s="1" t="s">
        <v>26</v>
      </c>
      <c r="H525" s="1" t="s">
        <v>27</v>
      </c>
      <c r="I525" s="1" t="s">
        <v>238</v>
      </c>
      <c r="J525" s="1" t="s">
        <v>28</v>
      </c>
      <c r="K525" s="1" t="s">
        <v>29</v>
      </c>
      <c r="L525" s="1" t="s">
        <v>30</v>
      </c>
      <c r="M525" s="1" t="s">
        <v>637</v>
      </c>
      <c r="N525" s="1" t="s">
        <v>638</v>
      </c>
      <c r="O525" s="1" t="s">
        <v>155</v>
      </c>
      <c r="P525" s="3">
        <v>3</v>
      </c>
      <c r="Q525" s="3">
        <v>67.380534999999995</v>
      </c>
      <c r="R525" s="1" t="s">
        <v>34</v>
      </c>
      <c r="S525" s="1" t="s">
        <v>35</v>
      </c>
      <c r="T525" s="1" t="s">
        <v>36</v>
      </c>
      <c r="U525" s="1" t="s">
        <v>37</v>
      </c>
      <c r="V525" s="1" t="s">
        <v>85</v>
      </c>
      <c r="W525" s="1" t="s">
        <v>39</v>
      </c>
      <c r="X525" s="8" t="str">
        <f>+IFERROR(VLOOKUP(N525,[1]Hoja1!$B$2:$F$52,4,0)*P525,"")</f>
        <v/>
      </c>
      <c r="Y525" s="8" t="e">
        <f>+VLOOKUP(M525,[1]SKU!$B$3:$E$81,4,0)</f>
        <v>#N/A</v>
      </c>
      <c r="Z525" s="8" t="str">
        <f t="shared" si="8"/>
        <v>BEES</v>
      </c>
      <c r="AA525" s="8" t="str">
        <f>+VLOOKUP(I525,[1]SKU!$H$2:$I$97,2,0)</f>
        <v>PE07011</v>
      </c>
    </row>
    <row r="526" spans="1:27">
      <c r="A526" s="1" t="s">
        <v>51</v>
      </c>
      <c r="B526" s="2">
        <v>46295</v>
      </c>
      <c r="C526" s="1" t="s">
        <v>639</v>
      </c>
      <c r="D526" s="1" t="s">
        <v>52</v>
      </c>
      <c r="E526" s="1" t="s">
        <v>640</v>
      </c>
      <c r="F526" s="1" t="s">
        <v>641</v>
      </c>
      <c r="G526" s="1" t="s">
        <v>26</v>
      </c>
      <c r="H526" s="1" t="s">
        <v>27</v>
      </c>
      <c r="I526" s="1" t="s">
        <v>238</v>
      </c>
      <c r="J526" s="1" t="s">
        <v>28</v>
      </c>
      <c r="K526" s="1" t="s">
        <v>29</v>
      </c>
      <c r="L526" s="1" t="s">
        <v>30</v>
      </c>
      <c r="M526" s="1" t="s">
        <v>183</v>
      </c>
      <c r="N526" s="1" t="s">
        <v>184</v>
      </c>
      <c r="O526" s="1" t="s">
        <v>155</v>
      </c>
      <c r="P526" s="3">
        <v>3</v>
      </c>
      <c r="Q526" s="3">
        <v>72.33</v>
      </c>
      <c r="R526" s="1" t="s">
        <v>34</v>
      </c>
      <c r="S526" s="1" t="s">
        <v>35</v>
      </c>
      <c r="T526" s="1" t="s">
        <v>36</v>
      </c>
      <c r="U526" s="1" t="s">
        <v>37</v>
      </c>
      <c r="V526" s="1" t="s">
        <v>85</v>
      </c>
      <c r="W526" s="1" t="s">
        <v>39</v>
      </c>
      <c r="X526" s="8" t="str">
        <f>+IFERROR(VLOOKUP(N526,[1]Hoja1!$B$2:$F$52,4,0)*P526,"")</f>
        <v/>
      </c>
      <c r="Y526" s="8" t="e">
        <f>+VLOOKUP(M526,[1]SKU!$B$3:$E$81,4,0)</f>
        <v>#N/A</v>
      </c>
      <c r="Z526" s="8" t="str">
        <f t="shared" si="8"/>
        <v>BEES</v>
      </c>
      <c r="AA526" s="8" t="str">
        <f>+VLOOKUP(I526,[1]SKU!$H$2:$I$97,2,0)</f>
        <v>PE07011</v>
      </c>
    </row>
    <row r="527" spans="1:27">
      <c r="A527" s="1" t="s">
        <v>42</v>
      </c>
      <c r="B527" s="2">
        <v>46295</v>
      </c>
      <c r="C527" s="1" t="s">
        <v>505</v>
      </c>
      <c r="D527" s="1" t="s">
        <v>43</v>
      </c>
      <c r="E527" s="1" t="s">
        <v>506</v>
      </c>
      <c r="F527" s="1" t="s">
        <v>507</v>
      </c>
      <c r="G527" s="1" t="s">
        <v>26</v>
      </c>
      <c r="H527" s="1" t="s">
        <v>27</v>
      </c>
      <c r="I527" s="1" t="s">
        <v>65</v>
      </c>
      <c r="J527" s="1" t="s">
        <v>28</v>
      </c>
      <c r="K527" s="1" t="s">
        <v>29</v>
      </c>
      <c r="L527" s="1" t="s">
        <v>30</v>
      </c>
      <c r="M527" s="1" t="s">
        <v>183</v>
      </c>
      <c r="N527" s="1" t="s">
        <v>184</v>
      </c>
      <c r="O527" s="1" t="s">
        <v>155</v>
      </c>
      <c r="P527" s="3">
        <v>12</v>
      </c>
      <c r="Q527" s="3">
        <v>289.32</v>
      </c>
      <c r="R527" s="1" t="s">
        <v>34</v>
      </c>
      <c r="S527" s="1" t="s">
        <v>35</v>
      </c>
      <c r="T527" s="1" t="s">
        <v>36</v>
      </c>
      <c r="U527" s="1" t="s">
        <v>37</v>
      </c>
      <c r="V527" s="1" t="s">
        <v>85</v>
      </c>
      <c r="W527" s="1" t="s">
        <v>39</v>
      </c>
      <c r="X527" s="8" t="str">
        <f>+IFERROR(VLOOKUP(N527,[1]Hoja1!$B$2:$F$52,4,0)*P527,"")</f>
        <v/>
      </c>
      <c r="Y527" s="8" t="e">
        <f>+VLOOKUP(M527,[1]SKU!$B$3:$E$81,4,0)</f>
        <v>#N/A</v>
      </c>
      <c r="Z527" s="8" t="str">
        <f t="shared" si="8"/>
        <v>BEES</v>
      </c>
      <c r="AA527" s="8" t="str">
        <f>+VLOOKUP(I527,[1]SKU!$H$2:$I$97,2,0)</f>
        <v>PE07003</v>
      </c>
    </row>
    <row r="528" spans="1:27">
      <c r="A528" s="1" t="s">
        <v>51</v>
      </c>
      <c r="B528" s="2">
        <v>46295</v>
      </c>
      <c r="C528" s="1" t="s">
        <v>600</v>
      </c>
      <c r="D528" s="1" t="s">
        <v>52</v>
      </c>
      <c r="E528" s="1" t="s">
        <v>601</v>
      </c>
      <c r="F528" s="1" t="s">
        <v>602</v>
      </c>
      <c r="G528" s="1" t="s">
        <v>26</v>
      </c>
      <c r="H528" s="1" t="s">
        <v>27</v>
      </c>
      <c r="I528" s="1" t="s">
        <v>238</v>
      </c>
      <c r="J528" s="1" t="s">
        <v>28</v>
      </c>
      <c r="K528" s="1" t="s">
        <v>29</v>
      </c>
      <c r="L528" s="1" t="s">
        <v>30</v>
      </c>
      <c r="M528" s="1" t="s">
        <v>183</v>
      </c>
      <c r="N528" s="1" t="s">
        <v>184</v>
      </c>
      <c r="O528" s="1" t="s">
        <v>155</v>
      </c>
      <c r="P528" s="3">
        <v>1</v>
      </c>
      <c r="Q528" s="3">
        <v>24.11</v>
      </c>
      <c r="R528" s="1" t="s">
        <v>34</v>
      </c>
      <c r="S528" s="1" t="s">
        <v>35</v>
      </c>
      <c r="T528" s="1" t="s">
        <v>36</v>
      </c>
      <c r="U528" s="1" t="s">
        <v>37</v>
      </c>
      <c r="V528" s="1" t="s">
        <v>85</v>
      </c>
      <c r="W528" s="1" t="s">
        <v>39</v>
      </c>
      <c r="X528" s="8" t="str">
        <f>+IFERROR(VLOOKUP(N528,[1]Hoja1!$B$2:$F$52,4,0)*P528,"")</f>
        <v/>
      </c>
      <c r="Y528" s="8" t="e">
        <f>+VLOOKUP(M528,[1]SKU!$B$3:$E$81,4,0)</f>
        <v>#N/A</v>
      </c>
      <c r="Z528" s="8" t="str">
        <f t="shared" si="8"/>
        <v>BEES</v>
      </c>
      <c r="AA528" s="8" t="str">
        <f>+VLOOKUP(I528,[1]SKU!$H$2:$I$97,2,0)</f>
        <v>PE07011</v>
      </c>
    </row>
    <row r="529" spans="1:27">
      <c r="A529" s="1" t="s">
        <v>40</v>
      </c>
      <c r="B529" s="2">
        <v>46295</v>
      </c>
      <c r="C529" s="1" t="s">
        <v>446</v>
      </c>
      <c r="D529" s="1" t="s">
        <v>41</v>
      </c>
      <c r="E529" s="1" t="s">
        <v>447</v>
      </c>
      <c r="F529" s="1" t="s">
        <v>448</v>
      </c>
      <c r="G529" s="1" t="s">
        <v>26</v>
      </c>
      <c r="H529" s="1" t="s">
        <v>27</v>
      </c>
      <c r="I529" s="1" t="s">
        <v>422</v>
      </c>
      <c r="J529" s="1" t="s">
        <v>28</v>
      </c>
      <c r="K529" s="1" t="s">
        <v>29</v>
      </c>
      <c r="L529" s="1" t="s">
        <v>30</v>
      </c>
      <c r="M529" s="1" t="s">
        <v>82</v>
      </c>
      <c r="N529" s="1" t="s">
        <v>83</v>
      </c>
      <c r="O529" s="1" t="s">
        <v>84</v>
      </c>
      <c r="P529" s="3">
        <v>1</v>
      </c>
      <c r="Q529" s="3">
        <v>9.0299999999999994</v>
      </c>
      <c r="R529" s="1" t="s">
        <v>34</v>
      </c>
      <c r="S529" s="1" t="s">
        <v>35</v>
      </c>
      <c r="T529" s="1" t="s">
        <v>36</v>
      </c>
      <c r="U529" s="1" t="s">
        <v>37</v>
      </c>
      <c r="V529" s="1" t="s">
        <v>85</v>
      </c>
      <c r="W529" s="1" t="s">
        <v>39</v>
      </c>
      <c r="X529" s="8" t="str">
        <f>+IFERROR(VLOOKUP(N529,[1]Hoja1!$B$2:$F$52,4,0)*P529,"")</f>
        <v/>
      </c>
      <c r="Y529" s="8" t="e">
        <f>+VLOOKUP(M529,[1]SKU!$B$3:$E$81,4,0)</f>
        <v>#N/A</v>
      </c>
      <c r="Z529" s="8" t="str">
        <f t="shared" si="8"/>
        <v>BEES</v>
      </c>
      <c r="AA529" s="8" t="str">
        <f>+VLOOKUP(I529,[1]SKU!$H$2:$I$97,2,0)</f>
        <v>PE07009</v>
      </c>
    </row>
    <row r="530" spans="1:27">
      <c r="A530" s="1" t="s">
        <v>42</v>
      </c>
      <c r="B530" s="2">
        <v>46295</v>
      </c>
      <c r="C530" s="1" t="s">
        <v>493</v>
      </c>
      <c r="D530" s="1" t="s">
        <v>43</v>
      </c>
      <c r="E530" s="1" t="s">
        <v>494</v>
      </c>
      <c r="F530" s="1" t="s">
        <v>495</v>
      </c>
      <c r="G530" s="1" t="s">
        <v>26</v>
      </c>
      <c r="H530" s="1" t="s">
        <v>27</v>
      </c>
      <c r="I530" s="1" t="s">
        <v>65</v>
      </c>
      <c r="J530" s="1" t="s">
        <v>28</v>
      </c>
      <c r="K530" s="1" t="s">
        <v>29</v>
      </c>
      <c r="L530" s="1" t="s">
        <v>30</v>
      </c>
      <c r="M530" s="1" t="s">
        <v>80</v>
      </c>
      <c r="N530" s="1" t="s">
        <v>81</v>
      </c>
      <c r="O530" s="1" t="s">
        <v>33</v>
      </c>
      <c r="P530" s="3">
        <v>2</v>
      </c>
      <c r="Q530" s="3">
        <v>151.95689899999999</v>
      </c>
      <c r="R530" s="1" t="s">
        <v>34</v>
      </c>
      <c r="S530" s="1" t="s">
        <v>35</v>
      </c>
      <c r="T530" s="1" t="s">
        <v>36</v>
      </c>
      <c r="U530" s="1" t="s">
        <v>37</v>
      </c>
      <c r="V530" s="1" t="s">
        <v>38</v>
      </c>
      <c r="W530" s="1" t="s">
        <v>39</v>
      </c>
      <c r="X530" s="8">
        <f>+IFERROR(VLOOKUP(N530,[1]Hoja1!$B$2:$F$52,4,0)*P530,"")</f>
        <v>2</v>
      </c>
      <c r="Y530" s="8" t="str">
        <f>+VLOOKUP(M530,[1]SKU!$B$3:$E$81,4,0)</f>
        <v>REGULAR</v>
      </c>
      <c r="Z530" s="8" t="str">
        <f t="shared" si="8"/>
        <v>BEES</v>
      </c>
      <c r="AA530" s="8" t="str">
        <f>+VLOOKUP(I530,[1]SKU!$H$2:$I$97,2,0)</f>
        <v>PE07003</v>
      </c>
    </row>
    <row r="531" spans="1:27">
      <c r="A531" s="1" t="s">
        <v>51</v>
      </c>
      <c r="B531" s="2">
        <v>46295</v>
      </c>
      <c r="C531" s="1" t="s">
        <v>383</v>
      </c>
      <c r="D531" s="1" t="s">
        <v>52</v>
      </c>
      <c r="E531" s="1" t="s">
        <v>384</v>
      </c>
      <c r="F531" s="1" t="s">
        <v>385</v>
      </c>
      <c r="G531" s="1" t="s">
        <v>26</v>
      </c>
      <c r="H531" s="1" t="s">
        <v>27</v>
      </c>
      <c r="I531" s="1" t="s">
        <v>238</v>
      </c>
      <c r="J531" s="1" t="s">
        <v>28</v>
      </c>
      <c r="K531" s="1" t="s">
        <v>29</v>
      </c>
      <c r="L531" s="1" t="s">
        <v>30</v>
      </c>
      <c r="M531" s="1" t="s">
        <v>80</v>
      </c>
      <c r="N531" s="1" t="s">
        <v>81</v>
      </c>
      <c r="O531" s="1" t="s">
        <v>33</v>
      </c>
      <c r="P531" s="3">
        <v>1</v>
      </c>
      <c r="Q531" s="3">
        <v>76.210800000000006</v>
      </c>
      <c r="R531" s="1" t="s">
        <v>34</v>
      </c>
      <c r="S531" s="1" t="s">
        <v>35</v>
      </c>
      <c r="T531" s="1" t="s">
        <v>36</v>
      </c>
      <c r="U531" s="1" t="s">
        <v>37</v>
      </c>
      <c r="V531" s="1" t="s">
        <v>38</v>
      </c>
      <c r="W531" s="1" t="s">
        <v>39</v>
      </c>
      <c r="X531" s="8">
        <f>+IFERROR(VLOOKUP(N531,[1]Hoja1!$B$2:$F$52,4,0)*P531,"")</f>
        <v>1</v>
      </c>
      <c r="Y531" s="8" t="str">
        <f>+VLOOKUP(M531,[1]SKU!$B$3:$E$81,4,0)</f>
        <v>REGULAR</v>
      </c>
      <c r="Z531" s="8" t="str">
        <f t="shared" si="8"/>
        <v>BEES</v>
      </c>
      <c r="AA531" s="8" t="str">
        <f>+VLOOKUP(I531,[1]SKU!$H$2:$I$97,2,0)</f>
        <v>PE07011</v>
      </c>
    </row>
    <row r="532" spans="1:27">
      <c r="A532" s="1" t="s">
        <v>42</v>
      </c>
      <c r="B532" s="2">
        <v>46295</v>
      </c>
      <c r="C532" s="1" t="s">
        <v>502</v>
      </c>
      <c r="D532" s="1" t="s">
        <v>43</v>
      </c>
      <c r="E532" s="1" t="s">
        <v>503</v>
      </c>
      <c r="F532" s="1" t="s">
        <v>504</v>
      </c>
      <c r="G532" s="1" t="s">
        <v>26</v>
      </c>
      <c r="H532" s="1" t="s">
        <v>27</v>
      </c>
      <c r="I532" s="1" t="s">
        <v>72</v>
      </c>
      <c r="J532" s="1" t="s">
        <v>28</v>
      </c>
      <c r="K532" s="1" t="s">
        <v>29</v>
      </c>
      <c r="L532" s="1" t="s">
        <v>30</v>
      </c>
      <c r="M532" s="1" t="s">
        <v>80</v>
      </c>
      <c r="N532" s="1" t="s">
        <v>81</v>
      </c>
      <c r="O532" s="1" t="s">
        <v>33</v>
      </c>
      <c r="P532" s="3">
        <v>1</v>
      </c>
      <c r="Q532" s="3">
        <v>74.323530000000005</v>
      </c>
      <c r="R532" s="1" t="s">
        <v>34</v>
      </c>
      <c r="S532" s="1" t="s">
        <v>35</v>
      </c>
      <c r="T532" s="1" t="s">
        <v>36</v>
      </c>
      <c r="U532" s="1" t="s">
        <v>37</v>
      </c>
      <c r="V532" s="1" t="s">
        <v>38</v>
      </c>
      <c r="W532" s="1" t="s">
        <v>39</v>
      </c>
      <c r="X532" s="8">
        <f>+IFERROR(VLOOKUP(N532,[1]Hoja1!$B$2:$F$52,4,0)*P532,"")</f>
        <v>1</v>
      </c>
      <c r="Y532" s="8" t="str">
        <f>+VLOOKUP(M532,[1]SKU!$B$3:$E$81,4,0)</f>
        <v>REGULAR</v>
      </c>
      <c r="Z532" s="8" t="str">
        <f t="shared" si="8"/>
        <v>BEES</v>
      </c>
      <c r="AA532" s="8" t="str">
        <f>+VLOOKUP(I532,[1]SKU!$H$2:$I$97,2,0)</f>
        <v>PE07001</v>
      </c>
    </row>
    <row r="533" spans="1:27">
      <c r="A533" s="1" t="s">
        <v>24</v>
      </c>
      <c r="B533" s="2">
        <v>46295</v>
      </c>
      <c r="C533" s="1" t="s">
        <v>596</v>
      </c>
      <c r="D533" s="1" t="s">
        <v>25</v>
      </c>
      <c r="E533" s="1" t="s">
        <v>62</v>
      </c>
      <c r="F533" s="1" t="s">
        <v>63</v>
      </c>
      <c r="G533" s="1" t="s">
        <v>26</v>
      </c>
      <c r="H533" s="1" t="s">
        <v>27</v>
      </c>
      <c r="I533" s="1" t="s">
        <v>64</v>
      </c>
      <c r="J533" s="1" t="s">
        <v>28</v>
      </c>
      <c r="K533" s="1" t="s">
        <v>29</v>
      </c>
      <c r="L533" s="1" t="s">
        <v>30</v>
      </c>
      <c r="M533" s="1" t="s">
        <v>200</v>
      </c>
      <c r="N533" s="1" t="s">
        <v>201</v>
      </c>
      <c r="O533" s="1" t="s">
        <v>61</v>
      </c>
      <c r="P533" s="3">
        <v>2</v>
      </c>
      <c r="Q533" s="3">
        <v>45.88</v>
      </c>
      <c r="R533" s="1" t="s">
        <v>34</v>
      </c>
      <c r="S533" s="1" t="s">
        <v>35</v>
      </c>
      <c r="T533" s="1" t="s">
        <v>36</v>
      </c>
      <c r="U533" s="1" t="s">
        <v>37</v>
      </c>
      <c r="V533" s="1" t="s">
        <v>38</v>
      </c>
      <c r="W533" s="1" t="s">
        <v>39</v>
      </c>
      <c r="X533" s="8">
        <f>+IFERROR(VLOOKUP(N533,[1]Hoja1!$B$2:$F$52,4,0)*P533,"")</f>
        <v>0.5</v>
      </c>
      <c r="Y533" s="8" t="str">
        <f>+VLOOKUP(M533,[1]SKU!$B$3:$E$81,4,0)</f>
        <v>REGULAR</v>
      </c>
      <c r="Z533" s="8" t="str">
        <f t="shared" si="8"/>
        <v>BEES</v>
      </c>
      <c r="AA533" s="8" t="str">
        <f>+VLOOKUP(I533,[1]SKU!$H$2:$I$97,2,0)</f>
        <v>PE07012</v>
      </c>
    </row>
    <row r="534" spans="1:27">
      <c r="A534" s="1" t="s">
        <v>40</v>
      </c>
      <c r="B534" s="2">
        <v>46295</v>
      </c>
      <c r="C534" s="1" t="s">
        <v>364</v>
      </c>
      <c r="D534" s="1" t="s">
        <v>41</v>
      </c>
      <c r="E534" s="1" t="s">
        <v>365</v>
      </c>
      <c r="F534" s="1" t="s">
        <v>366</v>
      </c>
      <c r="G534" s="1" t="s">
        <v>26</v>
      </c>
      <c r="H534" s="1" t="s">
        <v>27</v>
      </c>
      <c r="I534" s="1" t="s">
        <v>132</v>
      </c>
      <c r="J534" s="1" t="s">
        <v>28</v>
      </c>
      <c r="K534" s="1" t="s">
        <v>29</v>
      </c>
      <c r="L534" s="1" t="s">
        <v>30</v>
      </c>
      <c r="M534" s="1" t="s">
        <v>200</v>
      </c>
      <c r="N534" s="1" t="s">
        <v>201</v>
      </c>
      <c r="O534" s="1" t="s">
        <v>61</v>
      </c>
      <c r="P534" s="3">
        <v>1</v>
      </c>
      <c r="Q534" s="3">
        <v>22.941177</v>
      </c>
      <c r="R534" s="1" t="s">
        <v>34</v>
      </c>
      <c r="S534" s="1" t="s">
        <v>35</v>
      </c>
      <c r="T534" s="1" t="s">
        <v>36</v>
      </c>
      <c r="U534" s="1" t="s">
        <v>37</v>
      </c>
      <c r="V534" s="1" t="s">
        <v>38</v>
      </c>
      <c r="W534" s="1" t="s">
        <v>39</v>
      </c>
      <c r="X534" s="8">
        <f>+IFERROR(VLOOKUP(N534,[1]Hoja1!$B$2:$F$52,4,0)*P534,"")</f>
        <v>0.25</v>
      </c>
      <c r="Y534" s="8" t="str">
        <f>+VLOOKUP(M534,[1]SKU!$B$3:$E$81,4,0)</f>
        <v>REGULAR</v>
      </c>
      <c r="Z534" s="8" t="str">
        <f t="shared" si="8"/>
        <v>BEES</v>
      </c>
      <c r="AA534" s="8" t="str">
        <f>+VLOOKUP(I534,[1]SKU!$H$2:$I$97,2,0)</f>
        <v>PE07009</v>
      </c>
    </row>
    <row r="535" spans="1:27">
      <c r="A535" s="1" t="s">
        <v>40</v>
      </c>
      <c r="B535" s="2">
        <v>46295</v>
      </c>
      <c r="C535" s="1" t="s">
        <v>298</v>
      </c>
      <c r="D535" s="1" t="s">
        <v>41</v>
      </c>
      <c r="E535" s="1" t="s">
        <v>299</v>
      </c>
      <c r="F535" s="1" t="s">
        <v>300</v>
      </c>
      <c r="G535" s="1" t="s">
        <v>26</v>
      </c>
      <c r="H535" s="1" t="s">
        <v>27</v>
      </c>
      <c r="I535" s="1" t="s">
        <v>132</v>
      </c>
      <c r="J535" s="1" t="s">
        <v>28</v>
      </c>
      <c r="K535" s="1" t="s">
        <v>29</v>
      </c>
      <c r="L535" s="1" t="s">
        <v>30</v>
      </c>
      <c r="M535" s="1" t="s">
        <v>200</v>
      </c>
      <c r="N535" s="1" t="s">
        <v>201</v>
      </c>
      <c r="O535" s="1" t="s">
        <v>61</v>
      </c>
      <c r="P535" s="3">
        <v>1</v>
      </c>
      <c r="Q535" s="3">
        <v>22.941177</v>
      </c>
      <c r="R535" s="1" t="s">
        <v>34</v>
      </c>
      <c r="S535" s="1" t="s">
        <v>35</v>
      </c>
      <c r="T535" s="1" t="s">
        <v>36</v>
      </c>
      <c r="U535" s="1" t="s">
        <v>37</v>
      </c>
      <c r="V535" s="1" t="s">
        <v>38</v>
      </c>
      <c r="W535" s="1" t="s">
        <v>39</v>
      </c>
      <c r="X535" s="8">
        <f>+IFERROR(VLOOKUP(N535,[1]Hoja1!$B$2:$F$52,4,0)*P535,"")</f>
        <v>0.25</v>
      </c>
      <c r="Y535" s="8" t="str">
        <f>+VLOOKUP(M535,[1]SKU!$B$3:$E$81,4,0)</f>
        <v>REGULAR</v>
      </c>
      <c r="Z535" s="8" t="str">
        <f t="shared" si="8"/>
        <v>BEES</v>
      </c>
      <c r="AA535" s="8" t="str">
        <f>+VLOOKUP(I535,[1]SKU!$H$2:$I$97,2,0)</f>
        <v>PE07009</v>
      </c>
    </row>
    <row r="536" spans="1:27">
      <c r="A536" s="1" t="s">
        <v>42</v>
      </c>
      <c r="B536" s="2">
        <v>46295</v>
      </c>
      <c r="C536" s="1" t="s">
        <v>477</v>
      </c>
      <c r="D536" s="1" t="s">
        <v>43</v>
      </c>
      <c r="E536" s="1" t="s">
        <v>478</v>
      </c>
      <c r="F536" s="1" t="s">
        <v>479</v>
      </c>
      <c r="G536" s="1" t="s">
        <v>26</v>
      </c>
      <c r="H536" s="1" t="s">
        <v>27</v>
      </c>
      <c r="I536" s="1" t="s">
        <v>180</v>
      </c>
      <c r="J536" s="1" t="s">
        <v>28</v>
      </c>
      <c r="K536" s="1" t="s">
        <v>29</v>
      </c>
      <c r="L536" s="1" t="s">
        <v>30</v>
      </c>
      <c r="M536" s="1" t="s">
        <v>160</v>
      </c>
      <c r="N536" s="1" t="s">
        <v>161</v>
      </c>
      <c r="O536" s="1" t="s">
        <v>84</v>
      </c>
      <c r="P536" s="3">
        <v>1</v>
      </c>
      <c r="Q536" s="3">
        <v>14.156143999999999</v>
      </c>
      <c r="R536" s="1" t="s">
        <v>34</v>
      </c>
      <c r="S536" s="1" t="s">
        <v>35</v>
      </c>
      <c r="T536" s="1" t="s">
        <v>36</v>
      </c>
      <c r="U536" s="1" t="s">
        <v>37</v>
      </c>
      <c r="V536" s="1" t="s">
        <v>85</v>
      </c>
      <c r="W536" s="1" t="s">
        <v>39</v>
      </c>
      <c r="X536" s="8" t="str">
        <f>+IFERROR(VLOOKUP(N536,[1]Hoja1!$B$2:$F$52,4,0)*P536,"")</f>
        <v/>
      </c>
      <c r="Y536" s="8" t="e">
        <f>+VLOOKUP(M536,[1]SKU!$B$3:$E$81,4,0)</f>
        <v>#N/A</v>
      </c>
      <c r="Z536" s="8" t="str">
        <f t="shared" si="8"/>
        <v>BEES</v>
      </c>
      <c r="AA536" s="8" t="str">
        <f>+VLOOKUP(I536,[1]SKU!$H$2:$I$97,2,0)</f>
        <v>PE07002</v>
      </c>
    </row>
    <row r="537" spans="1:27">
      <c r="A537" s="1" t="s">
        <v>51</v>
      </c>
      <c r="B537" s="2">
        <v>46295</v>
      </c>
      <c r="C537" s="1" t="s">
        <v>291</v>
      </c>
      <c r="D537" s="1" t="s">
        <v>52</v>
      </c>
      <c r="E537" s="1" t="s">
        <v>292</v>
      </c>
      <c r="F537" s="1" t="s">
        <v>293</v>
      </c>
      <c r="G537" s="1" t="s">
        <v>26</v>
      </c>
      <c r="H537" s="1" t="s">
        <v>27</v>
      </c>
      <c r="I537" s="1" t="s">
        <v>238</v>
      </c>
      <c r="J537" s="1" t="s">
        <v>28</v>
      </c>
      <c r="K537" s="1" t="s">
        <v>29</v>
      </c>
      <c r="L537" s="1" t="s">
        <v>30</v>
      </c>
      <c r="M537" s="1" t="s">
        <v>109</v>
      </c>
      <c r="N537" s="1" t="s">
        <v>110</v>
      </c>
      <c r="O537" s="1" t="s">
        <v>61</v>
      </c>
      <c r="P537" s="3">
        <v>1</v>
      </c>
      <c r="Q537" s="3">
        <v>29.181362</v>
      </c>
      <c r="R537" s="1" t="s">
        <v>34</v>
      </c>
      <c r="S537" s="1" t="s">
        <v>35</v>
      </c>
      <c r="T537" s="1" t="s">
        <v>36</v>
      </c>
      <c r="U537" s="1" t="s">
        <v>37</v>
      </c>
      <c r="V537" s="1" t="s">
        <v>38</v>
      </c>
      <c r="W537" s="1" t="s">
        <v>39</v>
      </c>
      <c r="X537" s="8" t="str">
        <f>+IFERROR(VLOOKUP(N537,[1]Hoja1!$B$2:$F$52,4,0)*P537,"")</f>
        <v/>
      </c>
      <c r="Y537" s="8" t="e">
        <f>+VLOOKUP(M537,[1]SKU!$B$3:$E$81,4,0)</f>
        <v>#N/A</v>
      </c>
      <c r="Z537" s="8" t="str">
        <f t="shared" si="8"/>
        <v>BEES</v>
      </c>
      <c r="AA537" s="8" t="str">
        <f>+VLOOKUP(I537,[1]SKU!$H$2:$I$97,2,0)</f>
        <v>PE07011</v>
      </c>
    </row>
    <row r="538" spans="1:27">
      <c r="A538" s="1" t="s">
        <v>40</v>
      </c>
      <c r="B538" s="2">
        <v>46295</v>
      </c>
      <c r="C538" s="1" t="s">
        <v>301</v>
      </c>
      <c r="D538" s="1" t="s">
        <v>41</v>
      </c>
      <c r="E538" s="1" t="s">
        <v>302</v>
      </c>
      <c r="F538" s="1" t="s">
        <v>303</v>
      </c>
      <c r="G538" s="1" t="s">
        <v>26</v>
      </c>
      <c r="H538" s="1" t="s">
        <v>27</v>
      </c>
      <c r="I538" s="1" t="s">
        <v>132</v>
      </c>
      <c r="J538" s="1" t="s">
        <v>28</v>
      </c>
      <c r="K538" s="1" t="s">
        <v>29</v>
      </c>
      <c r="L538" s="1" t="s">
        <v>30</v>
      </c>
      <c r="M538" s="1" t="s">
        <v>109</v>
      </c>
      <c r="N538" s="1" t="s">
        <v>110</v>
      </c>
      <c r="O538" s="1" t="s">
        <v>61</v>
      </c>
      <c r="P538" s="3">
        <v>1</v>
      </c>
      <c r="Q538" s="3">
        <v>27.186274999999998</v>
      </c>
      <c r="R538" s="1" t="s">
        <v>34</v>
      </c>
      <c r="S538" s="1" t="s">
        <v>35</v>
      </c>
      <c r="T538" s="1" t="s">
        <v>36</v>
      </c>
      <c r="U538" s="1" t="s">
        <v>37</v>
      </c>
      <c r="V538" s="1" t="s">
        <v>38</v>
      </c>
      <c r="W538" s="1" t="s">
        <v>39</v>
      </c>
      <c r="X538" s="8" t="str">
        <f>+IFERROR(VLOOKUP(N538,[1]Hoja1!$B$2:$F$52,4,0)*P538,"")</f>
        <v/>
      </c>
      <c r="Y538" s="8" t="e">
        <f>+VLOOKUP(M538,[1]SKU!$B$3:$E$81,4,0)</f>
        <v>#N/A</v>
      </c>
      <c r="Z538" s="8" t="str">
        <f t="shared" si="8"/>
        <v>BEES</v>
      </c>
      <c r="AA538" s="8" t="str">
        <f>+VLOOKUP(I538,[1]SKU!$H$2:$I$97,2,0)</f>
        <v>PE07009</v>
      </c>
    </row>
    <row r="539" spans="1:27">
      <c r="A539" s="1" t="s">
        <v>24</v>
      </c>
      <c r="B539" s="2">
        <v>46295</v>
      </c>
      <c r="C539" s="1" t="s">
        <v>551</v>
      </c>
      <c r="D539" s="1" t="s">
        <v>25</v>
      </c>
      <c r="E539" s="1" t="s">
        <v>552</v>
      </c>
      <c r="F539" s="1" t="s">
        <v>553</v>
      </c>
      <c r="G539" s="1" t="s">
        <v>26</v>
      </c>
      <c r="H539" s="1" t="s">
        <v>27</v>
      </c>
      <c r="I539" s="1" t="s">
        <v>53</v>
      </c>
      <c r="J539" s="1" t="s">
        <v>28</v>
      </c>
      <c r="K539" s="1" t="s">
        <v>29</v>
      </c>
      <c r="L539" s="1" t="s">
        <v>30</v>
      </c>
      <c r="M539" s="1" t="s">
        <v>109</v>
      </c>
      <c r="N539" s="1" t="s">
        <v>110</v>
      </c>
      <c r="O539" s="1" t="s">
        <v>61</v>
      </c>
      <c r="P539" s="3">
        <v>1</v>
      </c>
      <c r="Q539" s="3">
        <v>29.181362</v>
      </c>
      <c r="R539" s="1" t="s">
        <v>34</v>
      </c>
      <c r="S539" s="1" t="s">
        <v>35</v>
      </c>
      <c r="T539" s="1" t="s">
        <v>36</v>
      </c>
      <c r="U539" s="1" t="s">
        <v>37</v>
      </c>
      <c r="V539" s="1" t="s">
        <v>38</v>
      </c>
      <c r="W539" s="1" t="s">
        <v>39</v>
      </c>
      <c r="X539" s="8" t="str">
        <f>+IFERROR(VLOOKUP(N539,[1]Hoja1!$B$2:$F$52,4,0)*P539,"")</f>
        <v/>
      </c>
      <c r="Y539" s="8" t="e">
        <f>+VLOOKUP(M539,[1]SKU!$B$3:$E$81,4,0)</f>
        <v>#N/A</v>
      </c>
      <c r="Z539" s="8" t="str">
        <f t="shared" si="8"/>
        <v>BEES</v>
      </c>
      <c r="AA539" s="8" t="str">
        <f>+VLOOKUP(I539,[1]SKU!$H$2:$I$97,2,0)</f>
        <v>PE07010</v>
      </c>
    </row>
    <row r="540" spans="1:27">
      <c r="A540" s="1" t="s">
        <v>24</v>
      </c>
      <c r="B540" s="2">
        <v>46295</v>
      </c>
      <c r="C540" s="1" t="s">
        <v>248</v>
      </c>
      <c r="D540" s="1" t="s">
        <v>25</v>
      </c>
      <c r="E540" s="1" t="s">
        <v>249</v>
      </c>
      <c r="F540" s="1" t="s">
        <v>250</v>
      </c>
      <c r="G540" s="1" t="s">
        <v>26</v>
      </c>
      <c r="H540" s="1" t="s">
        <v>27</v>
      </c>
      <c r="I540" s="1" t="s">
        <v>53</v>
      </c>
      <c r="J540" s="1" t="s">
        <v>28</v>
      </c>
      <c r="K540" s="1" t="s">
        <v>29</v>
      </c>
      <c r="L540" s="1" t="s">
        <v>30</v>
      </c>
      <c r="M540" s="1" t="s">
        <v>109</v>
      </c>
      <c r="N540" s="1" t="s">
        <v>110</v>
      </c>
      <c r="O540" s="1" t="s">
        <v>61</v>
      </c>
      <c r="P540" s="3">
        <v>1</v>
      </c>
      <c r="Q540" s="3">
        <v>29.181362</v>
      </c>
      <c r="R540" s="1" t="s">
        <v>34</v>
      </c>
      <c r="S540" s="1" t="s">
        <v>35</v>
      </c>
      <c r="T540" s="1" t="s">
        <v>36</v>
      </c>
      <c r="U540" s="1" t="s">
        <v>37</v>
      </c>
      <c r="V540" s="1" t="s">
        <v>38</v>
      </c>
      <c r="W540" s="1" t="s">
        <v>39</v>
      </c>
      <c r="X540" s="8" t="str">
        <f>+IFERROR(VLOOKUP(N540,[1]Hoja1!$B$2:$F$52,4,0)*P540,"")</f>
        <v/>
      </c>
      <c r="Y540" s="8" t="e">
        <f>+VLOOKUP(M540,[1]SKU!$B$3:$E$81,4,0)</f>
        <v>#N/A</v>
      </c>
      <c r="Z540" s="8" t="str">
        <f t="shared" si="8"/>
        <v>BEES</v>
      </c>
      <c r="AA540" s="8" t="str">
        <f>+VLOOKUP(I540,[1]SKU!$H$2:$I$97,2,0)</f>
        <v>PE07010</v>
      </c>
    </row>
    <row r="541" spans="1:27">
      <c r="A541" s="1" t="s">
        <v>51</v>
      </c>
      <c r="B541" s="2">
        <v>46295</v>
      </c>
      <c r="C541" s="1" t="s">
        <v>581</v>
      </c>
      <c r="D541" s="1" t="s">
        <v>52</v>
      </c>
      <c r="E541" s="1" t="s">
        <v>582</v>
      </c>
      <c r="F541" s="1" t="s">
        <v>583</v>
      </c>
      <c r="G541" s="1" t="s">
        <v>26</v>
      </c>
      <c r="H541" s="1" t="s">
        <v>27</v>
      </c>
      <c r="I541" s="1" t="s">
        <v>238</v>
      </c>
      <c r="J541" s="1" t="s">
        <v>28</v>
      </c>
      <c r="K541" s="1" t="s">
        <v>29</v>
      </c>
      <c r="L541" s="1" t="s">
        <v>30</v>
      </c>
      <c r="M541" s="1" t="s">
        <v>109</v>
      </c>
      <c r="N541" s="1" t="s">
        <v>110</v>
      </c>
      <c r="O541" s="1" t="s">
        <v>61</v>
      </c>
      <c r="P541" s="3">
        <v>1</v>
      </c>
      <c r="Q541" s="3">
        <v>29.181362</v>
      </c>
      <c r="R541" s="1" t="s">
        <v>34</v>
      </c>
      <c r="S541" s="1" t="s">
        <v>35</v>
      </c>
      <c r="T541" s="1" t="s">
        <v>36</v>
      </c>
      <c r="U541" s="1" t="s">
        <v>37</v>
      </c>
      <c r="V541" s="1" t="s">
        <v>38</v>
      </c>
      <c r="W541" s="1" t="s">
        <v>39</v>
      </c>
      <c r="X541" s="8" t="str">
        <f>+IFERROR(VLOOKUP(N541,[1]Hoja1!$B$2:$F$52,4,0)*P541,"")</f>
        <v/>
      </c>
      <c r="Y541" s="8" t="e">
        <f>+VLOOKUP(M541,[1]SKU!$B$3:$E$81,4,0)</f>
        <v>#N/A</v>
      </c>
      <c r="Z541" s="8" t="str">
        <f t="shared" si="8"/>
        <v>BEES</v>
      </c>
      <c r="AA541" s="8" t="str">
        <f>+VLOOKUP(I541,[1]SKU!$H$2:$I$97,2,0)</f>
        <v>PE07011</v>
      </c>
    </row>
    <row r="542" spans="1:27">
      <c r="A542" s="1" t="s">
        <v>40</v>
      </c>
      <c r="B542" s="2">
        <v>46295</v>
      </c>
      <c r="C542" s="1" t="s">
        <v>642</v>
      </c>
      <c r="D542" s="1" t="s">
        <v>41</v>
      </c>
      <c r="E542" s="1" t="s">
        <v>469</v>
      </c>
      <c r="F542" s="1" t="s">
        <v>470</v>
      </c>
      <c r="G542" s="1" t="s">
        <v>26</v>
      </c>
      <c r="H542" s="1" t="s">
        <v>27</v>
      </c>
      <c r="I542" s="1" t="s">
        <v>132</v>
      </c>
      <c r="J542" s="1" t="s">
        <v>28</v>
      </c>
      <c r="K542" s="1" t="s">
        <v>29</v>
      </c>
      <c r="L542" s="1" t="s">
        <v>30</v>
      </c>
      <c r="M542" s="1" t="s">
        <v>109</v>
      </c>
      <c r="N542" s="1" t="s">
        <v>110</v>
      </c>
      <c r="O542" s="1" t="s">
        <v>61</v>
      </c>
      <c r="P542" s="3">
        <v>10</v>
      </c>
      <c r="Q542" s="3">
        <v>281.80484000000001</v>
      </c>
      <c r="R542" s="1" t="s">
        <v>34</v>
      </c>
      <c r="S542" s="1" t="s">
        <v>35</v>
      </c>
      <c r="T542" s="1" t="s">
        <v>36</v>
      </c>
      <c r="U542" s="1" t="s">
        <v>37</v>
      </c>
      <c r="V542" s="1" t="s">
        <v>38</v>
      </c>
      <c r="W542" s="1" t="s">
        <v>39</v>
      </c>
      <c r="X542" s="8" t="str">
        <f>+IFERROR(VLOOKUP(N542,[1]Hoja1!$B$2:$F$52,4,0)*P542,"")</f>
        <v/>
      </c>
      <c r="Y542" s="8" t="e">
        <f>+VLOOKUP(M542,[1]SKU!$B$3:$E$81,4,0)</f>
        <v>#N/A</v>
      </c>
      <c r="Z542" s="8" t="str">
        <f t="shared" si="8"/>
        <v>BEES</v>
      </c>
      <c r="AA542" s="8" t="str">
        <f>+VLOOKUP(I542,[1]SKU!$H$2:$I$97,2,0)</f>
        <v>PE07009</v>
      </c>
    </row>
    <row r="543" spans="1:27">
      <c r="A543" s="1" t="s">
        <v>24</v>
      </c>
      <c r="B543" s="2">
        <v>46295</v>
      </c>
      <c r="C543" s="1" t="s">
        <v>618</v>
      </c>
      <c r="D543" s="1" t="s">
        <v>25</v>
      </c>
      <c r="E543" s="1" t="s">
        <v>619</v>
      </c>
      <c r="F543" s="1" t="s">
        <v>620</v>
      </c>
      <c r="G543" s="1" t="s">
        <v>26</v>
      </c>
      <c r="H543" s="1" t="s">
        <v>27</v>
      </c>
      <c r="I543" s="1" t="s">
        <v>53</v>
      </c>
      <c r="J543" s="1" t="s">
        <v>28</v>
      </c>
      <c r="K543" s="1" t="s">
        <v>29</v>
      </c>
      <c r="L543" s="1" t="s">
        <v>30</v>
      </c>
      <c r="M543" s="1" t="s">
        <v>109</v>
      </c>
      <c r="N543" s="1" t="s">
        <v>110</v>
      </c>
      <c r="O543" s="1" t="s">
        <v>61</v>
      </c>
      <c r="P543" s="3">
        <v>1</v>
      </c>
      <c r="Q543" s="3">
        <v>29.181362</v>
      </c>
      <c r="R543" s="1" t="s">
        <v>34</v>
      </c>
      <c r="S543" s="1" t="s">
        <v>35</v>
      </c>
      <c r="T543" s="1" t="s">
        <v>36</v>
      </c>
      <c r="U543" s="1" t="s">
        <v>37</v>
      </c>
      <c r="V543" s="1" t="s">
        <v>38</v>
      </c>
      <c r="W543" s="1" t="s">
        <v>39</v>
      </c>
      <c r="X543" s="8" t="str">
        <f>+IFERROR(VLOOKUP(N543,[1]Hoja1!$B$2:$F$52,4,0)*P543,"")</f>
        <v/>
      </c>
      <c r="Y543" s="8" t="e">
        <f>+VLOOKUP(M543,[1]SKU!$B$3:$E$81,4,0)</f>
        <v>#N/A</v>
      </c>
      <c r="Z543" s="8" t="str">
        <f t="shared" si="8"/>
        <v>BEES</v>
      </c>
      <c r="AA543" s="8" t="str">
        <f>+VLOOKUP(I543,[1]SKU!$H$2:$I$97,2,0)</f>
        <v>PE07010</v>
      </c>
    </row>
    <row r="544" spans="1:27">
      <c r="A544" s="1" t="s">
        <v>42</v>
      </c>
      <c r="B544" s="2">
        <v>46295</v>
      </c>
      <c r="C544" s="1" t="s">
        <v>398</v>
      </c>
      <c r="D544" s="1" t="s">
        <v>43</v>
      </c>
      <c r="E544" s="1" t="s">
        <v>399</v>
      </c>
      <c r="F544" s="1" t="s">
        <v>400</v>
      </c>
      <c r="G544" s="1" t="s">
        <v>26</v>
      </c>
      <c r="H544" s="1" t="s">
        <v>27</v>
      </c>
      <c r="I544" s="1" t="s">
        <v>65</v>
      </c>
      <c r="J544" s="1" t="s">
        <v>28</v>
      </c>
      <c r="K544" s="1" t="s">
        <v>29</v>
      </c>
      <c r="L544" s="1" t="s">
        <v>30</v>
      </c>
      <c r="M544" s="1" t="s">
        <v>209</v>
      </c>
      <c r="N544" s="1" t="s">
        <v>210</v>
      </c>
      <c r="O544" s="1" t="s">
        <v>61</v>
      </c>
      <c r="P544" s="3">
        <v>1</v>
      </c>
      <c r="Q544" s="3">
        <v>25.98</v>
      </c>
      <c r="R544" s="1" t="s">
        <v>34</v>
      </c>
      <c r="S544" s="1" t="s">
        <v>35</v>
      </c>
      <c r="T544" s="1" t="s">
        <v>36</v>
      </c>
      <c r="U544" s="1" t="s">
        <v>37</v>
      </c>
      <c r="V544" s="1" t="s">
        <v>38</v>
      </c>
      <c r="W544" s="1" t="s">
        <v>39</v>
      </c>
      <c r="X544" s="8">
        <f>+IFERROR(VLOOKUP(N544,[1]Hoja1!$B$2:$F$52,4,0)*P544,"")</f>
        <v>0.38145161290322577</v>
      </c>
      <c r="Y544" s="8" t="str">
        <f>+VLOOKUP(M544,[1]SKU!$B$3:$E$81,4,0)</f>
        <v>LATAS</v>
      </c>
      <c r="Z544" s="8" t="str">
        <f t="shared" si="8"/>
        <v>BEES</v>
      </c>
      <c r="AA544" s="8" t="str">
        <f>+VLOOKUP(I544,[1]SKU!$H$2:$I$97,2,0)</f>
        <v>PE07003</v>
      </c>
    </row>
    <row r="545" spans="1:27">
      <c r="A545" s="1" t="s">
        <v>42</v>
      </c>
      <c r="B545" s="2">
        <v>46295</v>
      </c>
      <c r="C545" s="1" t="s">
        <v>276</v>
      </c>
      <c r="D545" s="1" t="s">
        <v>43</v>
      </c>
      <c r="E545" s="1" t="s">
        <v>277</v>
      </c>
      <c r="F545" s="1" t="s">
        <v>278</v>
      </c>
      <c r="G545" s="1" t="s">
        <v>26</v>
      </c>
      <c r="H545" s="1" t="s">
        <v>27</v>
      </c>
      <c r="I545" s="1" t="s">
        <v>180</v>
      </c>
      <c r="J545" s="1" t="s">
        <v>28</v>
      </c>
      <c r="K545" s="1" t="s">
        <v>29</v>
      </c>
      <c r="L545" s="1" t="s">
        <v>30</v>
      </c>
      <c r="M545" s="1" t="s">
        <v>209</v>
      </c>
      <c r="N545" s="1" t="s">
        <v>210</v>
      </c>
      <c r="O545" s="1" t="s">
        <v>61</v>
      </c>
      <c r="P545" s="3">
        <v>1</v>
      </c>
      <c r="Q545" s="3">
        <v>25.98</v>
      </c>
      <c r="R545" s="1" t="s">
        <v>34</v>
      </c>
      <c r="S545" s="1" t="s">
        <v>35</v>
      </c>
      <c r="T545" s="1" t="s">
        <v>36</v>
      </c>
      <c r="U545" s="1" t="s">
        <v>37</v>
      </c>
      <c r="V545" s="1" t="s">
        <v>38</v>
      </c>
      <c r="W545" s="1" t="s">
        <v>39</v>
      </c>
      <c r="X545" s="8">
        <f>+IFERROR(VLOOKUP(N545,[1]Hoja1!$B$2:$F$52,4,0)*P545,"")</f>
        <v>0.38145161290322577</v>
      </c>
      <c r="Y545" s="8" t="str">
        <f>+VLOOKUP(M545,[1]SKU!$B$3:$E$81,4,0)</f>
        <v>LATAS</v>
      </c>
      <c r="Z545" s="8" t="str">
        <f t="shared" si="8"/>
        <v>BEES</v>
      </c>
      <c r="AA545" s="8" t="str">
        <f>+VLOOKUP(I545,[1]SKU!$H$2:$I$97,2,0)</f>
        <v>PE07002</v>
      </c>
    </row>
    <row r="546" spans="1:27">
      <c r="A546" s="1" t="s">
        <v>42</v>
      </c>
      <c r="B546" s="2">
        <v>46295</v>
      </c>
      <c r="C546" s="1" t="s">
        <v>543</v>
      </c>
      <c r="D546" s="1" t="s">
        <v>43</v>
      </c>
      <c r="E546" s="1" t="s">
        <v>544</v>
      </c>
      <c r="F546" s="1" t="s">
        <v>545</v>
      </c>
      <c r="G546" s="1" t="s">
        <v>26</v>
      </c>
      <c r="H546" s="1" t="s">
        <v>27</v>
      </c>
      <c r="I546" s="1" t="s">
        <v>65</v>
      </c>
      <c r="J546" s="1" t="s">
        <v>28</v>
      </c>
      <c r="K546" s="1" t="s">
        <v>29</v>
      </c>
      <c r="L546" s="1" t="s">
        <v>30</v>
      </c>
      <c r="M546" s="1" t="s">
        <v>209</v>
      </c>
      <c r="N546" s="1" t="s">
        <v>210</v>
      </c>
      <c r="O546" s="1" t="s">
        <v>61</v>
      </c>
      <c r="P546" s="3">
        <v>2</v>
      </c>
      <c r="Q546" s="3">
        <v>51.076680000000003</v>
      </c>
      <c r="R546" s="1" t="s">
        <v>34</v>
      </c>
      <c r="S546" s="1" t="s">
        <v>35</v>
      </c>
      <c r="T546" s="1" t="s">
        <v>36</v>
      </c>
      <c r="U546" s="1" t="s">
        <v>37</v>
      </c>
      <c r="V546" s="1" t="s">
        <v>38</v>
      </c>
      <c r="W546" s="1" t="s">
        <v>39</v>
      </c>
      <c r="X546" s="8">
        <f>+IFERROR(VLOOKUP(N546,[1]Hoja1!$B$2:$F$52,4,0)*P546,"")</f>
        <v>0.76290322580645153</v>
      </c>
      <c r="Y546" s="8" t="str">
        <f>+VLOOKUP(M546,[1]SKU!$B$3:$E$81,4,0)</f>
        <v>LATAS</v>
      </c>
      <c r="Z546" s="8" t="str">
        <f t="shared" si="8"/>
        <v>BEES</v>
      </c>
      <c r="AA546" s="8" t="str">
        <f>+VLOOKUP(I546,[1]SKU!$H$2:$I$97,2,0)</f>
        <v>PE07003</v>
      </c>
    </row>
    <row r="547" spans="1:27">
      <c r="A547" s="1" t="s">
        <v>44</v>
      </c>
      <c r="B547" s="2">
        <v>46295</v>
      </c>
      <c r="C547" s="1" t="s">
        <v>355</v>
      </c>
      <c r="D547" s="1" t="s">
        <v>58</v>
      </c>
      <c r="E547" s="1" t="s">
        <v>356</v>
      </c>
      <c r="F547" s="1" t="s">
        <v>357</v>
      </c>
      <c r="G547" s="1" t="s">
        <v>26</v>
      </c>
      <c r="H547" s="1" t="s">
        <v>27</v>
      </c>
      <c r="I547" s="1" t="s">
        <v>297</v>
      </c>
      <c r="J547" s="1" t="s">
        <v>28</v>
      </c>
      <c r="K547" s="1" t="s">
        <v>29</v>
      </c>
      <c r="L547" s="1" t="s">
        <v>30</v>
      </c>
      <c r="M547" s="1" t="s">
        <v>209</v>
      </c>
      <c r="N547" s="1" t="s">
        <v>210</v>
      </c>
      <c r="O547" s="1" t="s">
        <v>61</v>
      </c>
      <c r="P547" s="3">
        <v>1</v>
      </c>
      <c r="Q547" s="3">
        <v>25.538340000000002</v>
      </c>
      <c r="R547" s="1" t="s">
        <v>34</v>
      </c>
      <c r="S547" s="1" t="s">
        <v>35</v>
      </c>
      <c r="T547" s="1" t="s">
        <v>36</v>
      </c>
      <c r="U547" s="1" t="s">
        <v>37</v>
      </c>
      <c r="V547" s="1" t="s">
        <v>38</v>
      </c>
      <c r="W547" s="1" t="s">
        <v>39</v>
      </c>
      <c r="X547" s="8">
        <f>+IFERROR(VLOOKUP(N547,[1]Hoja1!$B$2:$F$52,4,0)*P547,"")</f>
        <v>0.38145161290322577</v>
      </c>
      <c r="Y547" s="8" t="str">
        <f>+VLOOKUP(M547,[1]SKU!$B$3:$E$81,4,0)</f>
        <v>LATAS</v>
      </c>
      <c r="Z547" s="8" t="str">
        <f t="shared" si="8"/>
        <v>BEES</v>
      </c>
      <c r="AA547" s="8" t="str">
        <f>+VLOOKUP(I547,[1]SKU!$H$2:$I$97,2,0)</f>
        <v>PE07004</v>
      </c>
    </row>
    <row r="548" spans="1:27">
      <c r="A548" s="1" t="s">
        <v>42</v>
      </c>
      <c r="B548" s="2">
        <v>46295</v>
      </c>
      <c r="C548" s="1" t="s">
        <v>547</v>
      </c>
      <c r="D548" s="1" t="s">
        <v>43</v>
      </c>
      <c r="E548" s="1" t="s">
        <v>548</v>
      </c>
      <c r="F548" s="1" t="s">
        <v>549</v>
      </c>
      <c r="G548" s="1" t="s">
        <v>26</v>
      </c>
      <c r="H548" s="1" t="s">
        <v>27</v>
      </c>
      <c r="I548" s="1" t="s">
        <v>180</v>
      </c>
      <c r="J548" s="1" t="s">
        <v>28</v>
      </c>
      <c r="K548" s="1" t="s">
        <v>29</v>
      </c>
      <c r="L548" s="1" t="s">
        <v>30</v>
      </c>
      <c r="M548" s="1" t="s">
        <v>156</v>
      </c>
      <c r="N548" s="1" t="s">
        <v>157</v>
      </c>
      <c r="O548" s="1" t="s">
        <v>33</v>
      </c>
      <c r="P548" s="3">
        <v>2</v>
      </c>
      <c r="Q548" s="3">
        <v>194</v>
      </c>
      <c r="R548" s="1" t="s">
        <v>34</v>
      </c>
      <c r="S548" s="1" t="s">
        <v>35</v>
      </c>
      <c r="T548" s="1" t="s">
        <v>36</v>
      </c>
      <c r="U548" s="1" t="s">
        <v>37</v>
      </c>
      <c r="V548" s="1" t="s">
        <v>38</v>
      </c>
      <c r="W548" s="1" t="s">
        <v>39</v>
      </c>
      <c r="X548" s="8">
        <f>+IFERROR(VLOOKUP(N548,[1]Hoja1!$B$2:$F$52,4,0)*P548,"")</f>
        <v>3.2258064516129035</v>
      </c>
      <c r="Y548" s="8" t="str">
        <f>+VLOOKUP(M548,[1]SKU!$B$3:$E$81,4,0)</f>
        <v>REGULAR</v>
      </c>
      <c r="Z548" s="8" t="str">
        <f t="shared" si="8"/>
        <v>BEES</v>
      </c>
      <c r="AA548" s="8" t="str">
        <f>+VLOOKUP(I548,[1]SKU!$H$2:$I$97,2,0)</f>
        <v>PE07002</v>
      </c>
    </row>
    <row r="549" spans="1:27">
      <c r="A549" s="1" t="s">
        <v>24</v>
      </c>
      <c r="B549" s="2">
        <v>46295</v>
      </c>
      <c r="C549" s="1" t="s">
        <v>248</v>
      </c>
      <c r="D549" s="1" t="s">
        <v>25</v>
      </c>
      <c r="E549" s="1" t="s">
        <v>249</v>
      </c>
      <c r="F549" s="1" t="s">
        <v>250</v>
      </c>
      <c r="G549" s="1" t="s">
        <v>26</v>
      </c>
      <c r="H549" s="1" t="s">
        <v>27</v>
      </c>
      <c r="I549" s="1" t="s">
        <v>53</v>
      </c>
      <c r="J549" s="1" t="s">
        <v>28</v>
      </c>
      <c r="K549" s="1" t="s">
        <v>29</v>
      </c>
      <c r="L549" s="1" t="s">
        <v>30</v>
      </c>
      <c r="M549" s="1" t="s">
        <v>153</v>
      </c>
      <c r="N549" s="1" t="s">
        <v>154</v>
      </c>
      <c r="O549" s="1" t="s">
        <v>155</v>
      </c>
      <c r="P549" s="3">
        <v>6</v>
      </c>
      <c r="Q549" s="3">
        <v>69.757439000000005</v>
      </c>
      <c r="R549" s="1" t="s">
        <v>34</v>
      </c>
      <c r="S549" s="1" t="s">
        <v>35</v>
      </c>
      <c r="T549" s="1" t="s">
        <v>36</v>
      </c>
      <c r="U549" s="1" t="s">
        <v>37</v>
      </c>
      <c r="V549" s="1" t="s">
        <v>85</v>
      </c>
      <c r="W549" s="1" t="s">
        <v>39</v>
      </c>
      <c r="X549" s="8" t="str">
        <f>+IFERROR(VLOOKUP(N549,[1]Hoja1!$B$2:$F$52,4,0)*P549,"")</f>
        <v/>
      </c>
      <c r="Y549" s="8" t="e">
        <f>+VLOOKUP(M549,[1]SKU!$B$3:$E$81,4,0)</f>
        <v>#N/A</v>
      </c>
      <c r="Z549" s="8" t="str">
        <f t="shared" si="8"/>
        <v>BEES</v>
      </c>
      <c r="AA549" s="8" t="str">
        <f>+VLOOKUP(I549,[1]SKU!$H$2:$I$97,2,0)</f>
        <v>PE07010</v>
      </c>
    </row>
    <row r="550" spans="1:27">
      <c r="A550" s="1" t="s">
        <v>24</v>
      </c>
      <c r="B550" s="2">
        <v>46295</v>
      </c>
      <c r="C550" s="1" t="s">
        <v>416</v>
      </c>
      <c r="D550" s="1" t="s">
        <v>25</v>
      </c>
      <c r="E550" s="1" t="s">
        <v>417</v>
      </c>
      <c r="F550" s="1" t="s">
        <v>418</v>
      </c>
      <c r="G550" s="1" t="s">
        <v>26</v>
      </c>
      <c r="H550" s="1" t="s">
        <v>27</v>
      </c>
      <c r="I550" s="1" t="s">
        <v>53</v>
      </c>
      <c r="J550" s="1" t="s">
        <v>28</v>
      </c>
      <c r="K550" s="1" t="s">
        <v>29</v>
      </c>
      <c r="L550" s="1" t="s">
        <v>30</v>
      </c>
      <c r="M550" s="1" t="s">
        <v>153</v>
      </c>
      <c r="N550" s="1" t="s">
        <v>154</v>
      </c>
      <c r="O550" s="1" t="s">
        <v>155</v>
      </c>
      <c r="P550" s="3">
        <v>6</v>
      </c>
      <c r="Q550" s="3">
        <v>69.757439000000005</v>
      </c>
      <c r="R550" s="1" t="s">
        <v>34</v>
      </c>
      <c r="S550" s="1" t="s">
        <v>35</v>
      </c>
      <c r="T550" s="1" t="s">
        <v>36</v>
      </c>
      <c r="U550" s="1" t="s">
        <v>37</v>
      </c>
      <c r="V550" s="1" t="s">
        <v>85</v>
      </c>
      <c r="W550" s="1" t="s">
        <v>39</v>
      </c>
      <c r="X550" s="8" t="str">
        <f>+IFERROR(VLOOKUP(N550,[1]Hoja1!$B$2:$F$52,4,0)*P550,"")</f>
        <v/>
      </c>
      <c r="Y550" s="8" t="e">
        <f>+VLOOKUP(M550,[1]SKU!$B$3:$E$81,4,0)</f>
        <v>#N/A</v>
      </c>
      <c r="Z550" s="8" t="str">
        <f t="shared" si="8"/>
        <v>BEES</v>
      </c>
      <c r="AA550" s="8" t="str">
        <f>+VLOOKUP(I550,[1]SKU!$H$2:$I$97,2,0)</f>
        <v>PE07010</v>
      </c>
    </row>
    <row r="551" spans="1:27">
      <c r="A551" s="1" t="s">
        <v>42</v>
      </c>
      <c r="B551" s="2">
        <v>46295</v>
      </c>
      <c r="C551" s="1" t="s">
        <v>496</v>
      </c>
      <c r="D551" s="1" t="s">
        <v>43</v>
      </c>
      <c r="E551" s="1" t="s">
        <v>497</v>
      </c>
      <c r="F551" s="1" t="s">
        <v>498</v>
      </c>
      <c r="G551" s="1" t="s">
        <v>26</v>
      </c>
      <c r="H551" s="1" t="s">
        <v>27</v>
      </c>
      <c r="I551" s="1" t="s">
        <v>180</v>
      </c>
      <c r="J551" s="1" t="s">
        <v>28</v>
      </c>
      <c r="K551" s="1" t="s">
        <v>29</v>
      </c>
      <c r="L551" s="1" t="s">
        <v>30</v>
      </c>
      <c r="M551" s="1" t="s">
        <v>156</v>
      </c>
      <c r="N551" s="1" t="s">
        <v>157</v>
      </c>
      <c r="O551" s="1" t="s">
        <v>33</v>
      </c>
      <c r="P551" s="3">
        <v>5</v>
      </c>
      <c r="Q551" s="3">
        <v>485</v>
      </c>
      <c r="R551" s="1" t="s">
        <v>34</v>
      </c>
      <c r="S551" s="1" t="s">
        <v>35</v>
      </c>
      <c r="T551" s="1" t="s">
        <v>36</v>
      </c>
      <c r="U551" s="1" t="s">
        <v>37</v>
      </c>
      <c r="V551" s="1" t="s">
        <v>38</v>
      </c>
      <c r="W551" s="1" t="s">
        <v>39</v>
      </c>
      <c r="X551" s="8">
        <f>+IFERROR(VLOOKUP(N551,[1]Hoja1!$B$2:$F$52,4,0)*P551,"")</f>
        <v>8.064516129032258</v>
      </c>
      <c r="Y551" s="8" t="str">
        <f>+VLOOKUP(M551,[1]SKU!$B$3:$E$81,4,0)</f>
        <v>REGULAR</v>
      </c>
      <c r="Z551" s="8" t="str">
        <f t="shared" si="8"/>
        <v>BEES</v>
      </c>
      <c r="AA551" s="8" t="str">
        <f>+VLOOKUP(I551,[1]SKU!$H$2:$I$97,2,0)</f>
        <v>PE07002</v>
      </c>
    </row>
    <row r="552" spans="1:27">
      <c r="A552" s="1" t="s">
        <v>42</v>
      </c>
      <c r="B552" s="2">
        <v>46295</v>
      </c>
      <c r="C552" s="1" t="s">
        <v>276</v>
      </c>
      <c r="D552" s="1" t="s">
        <v>43</v>
      </c>
      <c r="E552" s="1" t="s">
        <v>277</v>
      </c>
      <c r="F552" s="1" t="s">
        <v>278</v>
      </c>
      <c r="G552" s="1" t="s">
        <v>26</v>
      </c>
      <c r="H552" s="1" t="s">
        <v>27</v>
      </c>
      <c r="I552" s="1" t="s">
        <v>180</v>
      </c>
      <c r="J552" s="1" t="s">
        <v>28</v>
      </c>
      <c r="K552" s="1" t="s">
        <v>29</v>
      </c>
      <c r="L552" s="1" t="s">
        <v>30</v>
      </c>
      <c r="M552" s="1" t="s">
        <v>156</v>
      </c>
      <c r="N552" s="1" t="s">
        <v>157</v>
      </c>
      <c r="O552" s="1" t="s">
        <v>33</v>
      </c>
      <c r="P552" s="3">
        <v>6</v>
      </c>
      <c r="Q552" s="3">
        <v>582</v>
      </c>
      <c r="R552" s="1" t="s">
        <v>34</v>
      </c>
      <c r="S552" s="1" t="s">
        <v>35</v>
      </c>
      <c r="T552" s="1" t="s">
        <v>36</v>
      </c>
      <c r="U552" s="1" t="s">
        <v>37</v>
      </c>
      <c r="V552" s="1" t="s">
        <v>38</v>
      </c>
      <c r="W552" s="1" t="s">
        <v>39</v>
      </c>
      <c r="X552" s="8">
        <f>+IFERROR(VLOOKUP(N552,[1]Hoja1!$B$2:$F$52,4,0)*P552,"")</f>
        <v>9.67741935483871</v>
      </c>
      <c r="Y552" s="8" t="str">
        <f>+VLOOKUP(M552,[1]SKU!$B$3:$E$81,4,0)</f>
        <v>REGULAR</v>
      </c>
      <c r="Z552" s="8" t="str">
        <f t="shared" si="8"/>
        <v>BEES</v>
      </c>
      <c r="AA552" s="8" t="str">
        <f>+VLOOKUP(I552,[1]SKU!$H$2:$I$97,2,0)</f>
        <v>PE07002</v>
      </c>
    </row>
    <row r="553" spans="1:27">
      <c r="A553" s="1" t="s">
        <v>24</v>
      </c>
      <c r="B553" s="2">
        <v>46295</v>
      </c>
      <c r="C553" s="1" t="s">
        <v>596</v>
      </c>
      <c r="D553" s="1" t="s">
        <v>25</v>
      </c>
      <c r="E553" s="1" t="s">
        <v>62</v>
      </c>
      <c r="F553" s="1" t="s">
        <v>63</v>
      </c>
      <c r="G553" s="1" t="s">
        <v>26</v>
      </c>
      <c r="H553" s="1" t="s">
        <v>27</v>
      </c>
      <c r="I553" s="1" t="s">
        <v>64</v>
      </c>
      <c r="J553" s="1" t="s">
        <v>28</v>
      </c>
      <c r="K553" s="1" t="s">
        <v>29</v>
      </c>
      <c r="L553" s="1" t="s">
        <v>30</v>
      </c>
      <c r="M553" s="1" t="s">
        <v>153</v>
      </c>
      <c r="N553" s="1" t="s">
        <v>154</v>
      </c>
      <c r="O553" s="1" t="s">
        <v>155</v>
      </c>
      <c r="P553" s="3">
        <v>2</v>
      </c>
      <c r="Q553" s="3">
        <v>23.252479000000001</v>
      </c>
      <c r="R553" s="1" t="s">
        <v>34</v>
      </c>
      <c r="S553" s="1" t="s">
        <v>35</v>
      </c>
      <c r="T553" s="1" t="s">
        <v>36</v>
      </c>
      <c r="U553" s="1" t="s">
        <v>37</v>
      </c>
      <c r="V553" s="1" t="s">
        <v>85</v>
      </c>
      <c r="W553" s="1" t="s">
        <v>39</v>
      </c>
      <c r="X553" s="8" t="str">
        <f>+IFERROR(VLOOKUP(N553,[1]Hoja1!$B$2:$F$52,4,0)*P553,"")</f>
        <v/>
      </c>
      <c r="Y553" s="8" t="e">
        <f>+VLOOKUP(M553,[1]SKU!$B$3:$E$81,4,0)</f>
        <v>#N/A</v>
      </c>
      <c r="Z553" s="8" t="str">
        <f t="shared" si="8"/>
        <v>BEES</v>
      </c>
      <c r="AA553" s="8" t="str">
        <f>+VLOOKUP(I553,[1]SKU!$H$2:$I$97,2,0)</f>
        <v>PE07012</v>
      </c>
    </row>
    <row r="554" spans="1:27">
      <c r="A554" s="1" t="s">
        <v>42</v>
      </c>
      <c r="B554" s="2">
        <v>46295</v>
      </c>
      <c r="C554" s="1" t="s">
        <v>578</v>
      </c>
      <c r="D554" s="1" t="s">
        <v>43</v>
      </c>
      <c r="E554" s="1" t="s">
        <v>579</v>
      </c>
      <c r="F554" s="1" t="s">
        <v>580</v>
      </c>
      <c r="G554" s="1" t="s">
        <v>26</v>
      </c>
      <c r="H554" s="1" t="s">
        <v>27</v>
      </c>
      <c r="I554" s="1" t="s">
        <v>65</v>
      </c>
      <c r="J554" s="1" t="s">
        <v>28</v>
      </c>
      <c r="K554" s="1" t="s">
        <v>29</v>
      </c>
      <c r="L554" s="1" t="s">
        <v>30</v>
      </c>
      <c r="M554" s="1" t="s">
        <v>227</v>
      </c>
      <c r="N554" s="1" t="s">
        <v>228</v>
      </c>
      <c r="O554" s="1" t="s">
        <v>61</v>
      </c>
      <c r="P554" s="3">
        <v>1</v>
      </c>
      <c r="Q554" s="3">
        <v>21.998850000000001</v>
      </c>
      <c r="R554" s="1" t="s">
        <v>34</v>
      </c>
      <c r="S554" s="1" t="s">
        <v>35</v>
      </c>
      <c r="T554" s="1" t="s">
        <v>36</v>
      </c>
      <c r="U554" s="1" t="s">
        <v>37</v>
      </c>
      <c r="V554" s="1" t="s">
        <v>38</v>
      </c>
      <c r="W554" s="1" t="s">
        <v>39</v>
      </c>
      <c r="X554" s="8" t="str">
        <f>+IFERROR(VLOOKUP(N554,[1]Hoja1!$B$2:$F$52,4,0)*P554,"")</f>
        <v/>
      </c>
      <c r="Y554" s="8" t="e">
        <f>+VLOOKUP(M554,[1]SKU!$B$3:$E$81,4,0)</f>
        <v>#N/A</v>
      </c>
      <c r="Z554" s="8" t="str">
        <f t="shared" si="8"/>
        <v>BEES</v>
      </c>
      <c r="AA554" s="8" t="str">
        <f>+VLOOKUP(I554,[1]SKU!$H$2:$I$97,2,0)</f>
        <v>PE07003</v>
      </c>
    </row>
    <row r="555" spans="1:27">
      <c r="A555" s="1" t="s">
        <v>42</v>
      </c>
      <c r="B555" s="2">
        <v>46295</v>
      </c>
      <c r="C555" s="1" t="s">
        <v>529</v>
      </c>
      <c r="D555" s="1" t="s">
        <v>43</v>
      </c>
      <c r="E555" s="1" t="s">
        <v>124</v>
      </c>
      <c r="F555" s="1" t="s">
        <v>125</v>
      </c>
      <c r="G555" s="1" t="s">
        <v>26</v>
      </c>
      <c r="H555" s="1" t="s">
        <v>27</v>
      </c>
      <c r="I555" s="1" t="s">
        <v>72</v>
      </c>
      <c r="J555" s="1" t="s">
        <v>28</v>
      </c>
      <c r="K555" s="1" t="s">
        <v>29</v>
      </c>
      <c r="L555" s="1" t="s">
        <v>30</v>
      </c>
      <c r="M555" s="1" t="s">
        <v>227</v>
      </c>
      <c r="N555" s="1" t="s">
        <v>228</v>
      </c>
      <c r="O555" s="1" t="s">
        <v>61</v>
      </c>
      <c r="P555" s="3">
        <v>1</v>
      </c>
      <c r="Q555" s="3">
        <v>0</v>
      </c>
      <c r="R555" s="1" t="s">
        <v>77</v>
      </c>
      <c r="S555" s="1" t="s">
        <v>35</v>
      </c>
      <c r="T555" s="1" t="s">
        <v>36</v>
      </c>
      <c r="U555" s="1" t="s">
        <v>37</v>
      </c>
      <c r="V555" s="1" t="s">
        <v>38</v>
      </c>
      <c r="W555" s="1" t="s">
        <v>39</v>
      </c>
      <c r="X555" s="8" t="str">
        <f>+IFERROR(VLOOKUP(N555,[1]Hoja1!$B$2:$F$52,4,0)*P555,"")</f>
        <v/>
      </c>
      <c r="Y555" s="8" t="e">
        <f>+VLOOKUP(M555,[1]SKU!$B$3:$E$81,4,0)</f>
        <v>#N/A</v>
      </c>
      <c r="Z555" s="8" t="str">
        <f t="shared" si="8"/>
        <v>BEES</v>
      </c>
      <c r="AA555" s="8" t="str">
        <f>+VLOOKUP(I555,[1]SKU!$H$2:$I$97,2,0)</f>
        <v>PE07001</v>
      </c>
    </row>
    <row r="556" spans="1:27">
      <c r="A556" s="1" t="s">
        <v>42</v>
      </c>
      <c r="B556" s="2">
        <v>46295</v>
      </c>
      <c r="C556" s="1" t="s">
        <v>376</v>
      </c>
      <c r="D556" s="1" t="s">
        <v>43</v>
      </c>
      <c r="E556" s="1" t="s">
        <v>88</v>
      </c>
      <c r="F556" s="1" t="s">
        <v>89</v>
      </c>
      <c r="G556" s="1" t="s">
        <v>26</v>
      </c>
      <c r="H556" s="1" t="s">
        <v>27</v>
      </c>
      <c r="I556" s="1" t="s">
        <v>65</v>
      </c>
      <c r="J556" s="1" t="s">
        <v>28</v>
      </c>
      <c r="K556" s="1" t="s">
        <v>29</v>
      </c>
      <c r="L556" s="1" t="s">
        <v>30</v>
      </c>
      <c r="M556" s="1" t="s">
        <v>172</v>
      </c>
      <c r="N556" s="1" t="s">
        <v>173</v>
      </c>
      <c r="O556" s="1" t="s">
        <v>61</v>
      </c>
      <c r="P556" s="3">
        <v>1</v>
      </c>
      <c r="Q556" s="3">
        <v>26.762526000000001</v>
      </c>
      <c r="R556" s="1" t="s">
        <v>34</v>
      </c>
      <c r="S556" s="1" t="s">
        <v>35</v>
      </c>
      <c r="T556" s="1" t="s">
        <v>36</v>
      </c>
      <c r="U556" s="1" t="s">
        <v>37</v>
      </c>
      <c r="V556" s="1" t="s">
        <v>69</v>
      </c>
      <c r="W556" s="1" t="s">
        <v>39</v>
      </c>
      <c r="X556" s="8">
        <f>+IFERROR(VLOOKUP(N556,[1]Hoja1!$B$2:$F$52,4,0)*P556,"")</f>
        <v>1.6129032258064517</v>
      </c>
      <c r="Y556" s="8" t="str">
        <f>+VLOOKUP(M556,[1]SKU!$B$3:$E$81,4,0)</f>
        <v>REGULAR</v>
      </c>
      <c r="Z556" s="8" t="str">
        <f t="shared" si="8"/>
        <v>BEES</v>
      </c>
      <c r="AA556" s="8" t="str">
        <f>+VLOOKUP(I556,[1]SKU!$H$2:$I$97,2,0)</f>
        <v>PE07003</v>
      </c>
    </row>
    <row r="557" spans="1:27">
      <c r="A557" s="1" t="s">
        <v>42</v>
      </c>
      <c r="B557" s="2">
        <v>46295</v>
      </c>
      <c r="C557" s="1" t="s">
        <v>275</v>
      </c>
      <c r="D557" s="1" t="s">
        <v>43</v>
      </c>
      <c r="E557" s="1" t="s">
        <v>178</v>
      </c>
      <c r="F557" s="1" t="s">
        <v>179</v>
      </c>
      <c r="G557" s="1" t="s">
        <v>26</v>
      </c>
      <c r="H557" s="1" t="s">
        <v>27</v>
      </c>
      <c r="I557" s="1" t="s">
        <v>180</v>
      </c>
      <c r="J557" s="1" t="s">
        <v>28</v>
      </c>
      <c r="K557" s="1" t="s">
        <v>29</v>
      </c>
      <c r="L557" s="1" t="s">
        <v>30</v>
      </c>
      <c r="M557" s="1" t="s">
        <v>172</v>
      </c>
      <c r="N557" s="1" t="s">
        <v>173</v>
      </c>
      <c r="O557" s="1" t="s">
        <v>61</v>
      </c>
      <c r="P557" s="3">
        <v>1</v>
      </c>
      <c r="Q557" s="3">
        <v>26.762526000000001</v>
      </c>
      <c r="R557" s="1" t="s">
        <v>34</v>
      </c>
      <c r="S557" s="1" t="s">
        <v>35</v>
      </c>
      <c r="T557" s="1" t="s">
        <v>36</v>
      </c>
      <c r="U557" s="1" t="s">
        <v>37</v>
      </c>
      <c r="V557" s="1" t="s">
        <v>69</v>
      </c>
      <c r="W557" s="1" t="s">
        <v>39</v>
      </c>
      <c r="X557" s="8">
        <f>+IFERROR(VLOOKUP(N557,[1]Hoja1!$B$2:$F$52,4,0)*P557,"")</f>
        <v>1.6129032258064517</v>
      </c>
      <c r="Y557" s="8" t="str">
        <f>+VLOOKUP(M557,[1]SKU!$B$3:$E$81,4,0)</f>
        <v>REGULAR</v>
      </c>
      <c r="Z557" s="8" t="str">
        <f t="shared" si="8"/>
        <v>BEES</v>
      </c>
      <c r="AA557" s="8" t="str">
        <f>+VLOOKUP(I557,[1]SKU!$H$2:$I$97,2,0)</f>
        <v>PE07002</v>
      </c>
    </row>
    <row r="558" spans="1:27">
      <c r="A558" s="1" t="s">
        <v>24</v>
      </c>
      <c r="B558" s="2">
        <v>46295</v>
      </c>
      <c r="C558" s="1" t="s">
        <v>401</v>
      </c>
      <c r="D558" s="1" t="s">
        <v>25</v>
      </c>
      <c r="E558" s="1" t="s">
        <v>402</v>
      </c>
      <c r="F558" s="1" t="s">
        <v>403</v>
      </c>
      <c r="G558" s="1" t="s">
        <v>26</v>
      </c>
      <c r="H558" s="1" t="s">
        <v>27</v>
      </c>
      <c r="I558" s="1" t="s">
        <v>53</v>
      </c>
      <c r="J558" s="1" t="s">
        <v>28</v>
      </c>
      <c r="K558" s="1" t="s">
        <v>29</v>
      </c>
      <c r="L558" s="1" t="s">
        <v>30</v>
      </c>
      <c r="M558" s="1" t="s">
        <v>643</v>
      </c>
      <c r="N558" s="1" t="s">
        <v>644</v>
      </c>
      <c r="O558" s="1" t="s">
        <v>155</v>
      </c>
      <c r="P558" s="3">
        <v>2</v>
      </c>
      <c r="Q558" s="3">
        <v>29.415959999999998</v>
      </c>
      <c r="R558" s="1" t="s">
        <v>34</v>
      </c>
      <c r="S558" s="1" t="s">
        <v>35</v>
      </c>
      <c r="T558" s="1" t="s">
        <v>36</v>
      </c>
      <c r="U558" s="1" t="s">
        <v>37</v>
      </c>
      <c r="V558" s="1" t="s">
        <v>85</v>
      </c>
      <c r="W558" s="1" t="s">
        <v>39</v>
      </c>
      <c r="X558" s="8" t="str">
        <f>+IFERROR(VLOOKUP(N558,[1]Hoja1!$B$2:$F$52,4,0)*P558,"")</f>
        <v/>
      </c>
      <c r="Y558" s="8" t="e">
        <f>+VLOOKUP(M558,[1]SKU!$B$3:$E$81,4,0)</f>
        <v>#N/A</v>
      </c>
      <c r="Z558" s="8" t="str">
        <f t="shared" si="8"/>
        <v>BEES</v>
      </c>
      <c r="AA558" s="8" t="str">
        <f>+VLOOKUP(I558,[1]SKU!$H$2:$I$97,2,0)</f>
        <v>PE07010</v>
      </c>
    </row>
    <row r="559" spans="1:27">
      <c r="A559" s="1" t="s">
        <v>24</v>
      </c>
      <c r="B559" s="2">
        <v>46295</v>
      </c>
      <c r="C559" s="1" t="s">
        <v>416</v>
      </c>
      <c r="D559" s="1" t="s">
        <v>25</v>
      </c>
      <c r="E559" s="1" t="s">
        <v>417</v>
      </c>
      <c r="F559" s="1" t="s">
        <v>418</v>
      </c>
      <c r="G559" s="1" t="s">
        <v>26</v>
      </c>
      <c r="H559" s="1" t="s">
        <v>27</v>
      </c>
      <c r="I559" s="1" t="s">
        <v>53</v>
      </c>
      <c r="J559" s="1" t="s">
        <v>28</v>
      </c>
      <c r="K559" s="1" t="s">
        <v>29</v>
      </c>
      <c r="L559" s="1" t="s">
        <v>30</v>
      </c>
      <c r="M559" s="1" t="s">
        <v>172</v>
      </c>
      <c r="N559" s="1" t="s">
        <v>173</v>
      </c>
      <c r="O559" s="1" t="s">
        <v>61</v>
      </c>
      <c r="P559" s="3">
        <v>1</v>
      </c>
      <c r="Q559" s="3">
        <v>26.762526000000001</v>
      </c>
      <c r="R559" s="1" t="s">
        <v>34</v>
      </c>
      <c r="S559" s="1" t="s">
        <v>35</v>
      </c>
      <c r="T559" s="1" t="s">
        <v>36</v>
      </c>
      <c r="U559" s="1" t="s">
        <v>37</v>
      </c>
      <c r="V559" s="1" t="s">
        <v>69</v>
      </c>
      <c r="W559" s="1" t="s">
        <v>39</v>
      </c>
      <c r="X559" s="8">
        <f>+IFERROR(VLOOKUP(N559,[1]Hoja1!$B$2:$F$52,4,0)*P559,"")</f>
        <v>1.6129032258064517</v>
      </c>
      <c r="Y559" s="8" t="str">
        <f>+VLOOKUP(M559,[1]SKU!$B$3:$E$81,4,0)</f>
        <v>REGULAR</v>
      </c>
      <c r="Z559" s="8" t="str">
        <f t="shared" si="8"/>
        <v>BEES</v>
      </c>
      <c r="AA559" s="8" t="str">
        <f>+VLOOKUP(I559,[1]SKU!$H$2:$I$97,2,0)</f>
        <v>PE07010</v>
      </c>
    </row>
    <row r="560" spans="1:27">
      <c r="A560" s="1" t="s">
        <v>42</v>
      </c>
      <c r="B560" s="2">
        <v>46295</v>
      </c>
      <c r="C560" s="1" t="s">
        <v>348</v>
      </c>
      <c r="D560" s="1" t="s">
        <v>43</v>
      </c>
      <c r="E560" s="1" t="s">
        <v>349</v>
      </c>
      <c r="F560" s="1" t="s">
        <v>350</v>
      </c>
      <c r="G560" s="1" t="s">
        <v>26</v>
      </c>
      <c r="H560" s="1" t="s">
        <v>27</v>
      </c>
      <c r="I560" s="1" t="s">
        <v>351</v>
      </c>
      <c r="J560" s="1" t="s">
        <v>28</v>
      </c>
      <c r="K560" s="1" t="s">
        <v>29</v>
      </c>
      <c r="L560" s="1" t="s">
        <v>30</v>
      </c>
      <c r="M560" s="1" t="s">
        <v>172</v>
      </c>
      <c r="N560" s="1" t="s">
        <v>173</v>
      </c>
      <c r="O560" s="1" t="s">
        <v>61</v>
      </c>
      <c r="P560" s="3">
        <v>2</v>
      </c>
      <c r="Q560" s="3">
        <v>53.525050999999998</v>
      </c>
      <c r="R560" s="1" t="s">
        <v>34</v>
      </c>
      <c r="S560" s="1" t="s">
        <v>35</v>
      </c>
      <c r="T560" s="1" t="s">
        <v>36</v>
      </c>
      <c r="U560" s="1" t="s">
        <v>37</v>
      </c>
      <c r="V560" s="1" t="s">
        <v>69</v>
      </c>
      <c r="W560" s="1" t="s">
        <v>39</v>
      </c>
      <c r="X560" s="8">
        <f>+IFERROR(VLOOKUP(N560,[1]Hoja1!$B$2:$F$52,4,0)*P560,"")</f>
        <v>3.2258064516129035</v>
      </c>
      <c r="Y560" s="8" t="str">
        <f>+VLOOKUP(M560,[1]SKU!$B$3:$E$81,4,0)</f>
        <v>REGULAR</v>
      </c>
      <c r="Z560" s="8" t="str">
        <f t="shared" si="8"/>
        <v>BEES</v>
      </c>
      <c r="AA560" s="8" t="str">
        <f>+VLOOKUP(I560,[1]SKU!$H$2:$I$97,2,0)</f>
        <v>PE07003</v>
      </c>
    </row>
    <row r="561" spans="1:27">
      <c r="A561" s="1" t="s">
        <v>51</v>
      </c>
      <c r="B561" s="2">
        <v>46295</v>
      </c>
      <c r="C561" s="1" t="s">
        <v>437</v>
      </c>
      <c r="D561" s="1" t="s">
        <v>52</v>
      </c>
      <c r="E561" s="1" t="s">
        <v>438</v>
      </c>
      <c r="F561" s="1" t="s">
        <v>439</v>
      </c>
      <c r="G561" s="1" t="s">
        <v>26</v>
      </c>
      <c r="H561" s="1" t="s">
        <v>27</v>
      </c>
      <c r="I561" s="1" t="s">
        <v>238</v>
      </c>
      <c r="J561" s="1" t="s">
        <v>28</v>
      </c>
      <c r="K561" s="1" t="s">
        <v>29</v>
      </c>
      <c r="L561" s="1" t="s">
        <v>30</v>
      </c>
      <c r="M561" s="1" t="s">
        <v>172</v>
      </c>
      <c r="N561" s="1" t="s">
        <v>173</v>
      </c>
      <c r="O561" s="1" t="s">
        <v>61</v>
      </c>
      <c r="P561" s="3">
        <v>1</v>
      </c>
      <c r="Q561" s="3">
        <v>26.762526000000001</v>
      </c>
      <c r="R561" s="1" t="s">
        <v>34</v>
      </c>
      <c r="S561" s="1" t="s">
        <v>35</v>
      </c>
      <c r="T561" s="1" t="s">
        <v>36</v>
      </c>
      <c r="U561" s="1" t="s">
        <v>37</v>
      </c>
      <c r="V561" s="1" t="s">
        <v>69</v>
      </c>
      <c r="W561" s="1" t="s">
        <v>39</v>
      </c>
      <c r="X561" s="8">
        <f>+IFERROR(VLOOKUP(N561,[1]Hoja1!$B$2:$F$52,4,0)*P561,"")</f>
        <v>1.6129032258064517</v>
      </c>
      <c r="Y561" s="8" t="str">
        <f>+VLOOKUP(M561,[1]SKU!$B$3:$E$81,4,0)</f>
        <v>REGULAR</v>
      </c>
      <c r="Z561" s="8" t="str">
        <f t="shared" si="8"/>
        <v>BEES</v>
      </c>
      <c r="AA561" s="8" t="str">
        <f>+VLOOKUP(I561,[1]SKU!$H$2:$I$97,2,0)</f>
        <v>PE07011</v>
      </c>
    </row>
    <row r="562" spans="1:27">
      <c r="A562" s="1" t="s">
        <v>42</v>
      </c>
      <c r="B562" s="2">
        <v>46295</v>
      </c>
      <c r="C562" s="1" t="s">
        <v>489</v>
      </c>
      <c r="D562" s="1" t="s">
        <v>43</v>
      </c>
      <c r="E562" s="1" t="s">
        <v>490</v>
      </c>
      <c r="F562" s="1" t="s">
        <v>491</v>
      </c>
      <c r="G562" s="1" t="s">
        <v>26</v>
      </c>
      <c r="H562" s="1" t="s">
        <v>27</v>
      </c>
      <c r="I562" s="1" t="s">
        <v>267</v>
      </c>
      <c r="J562" s="1" t="s">
        <v>28</v>
      </c>
      <c r="K562" s="1" t="s">
        <v>29</v>
      </c>
      <c r="L562" s="1" t="s">
        <v>30</v>
      </c>
      <c r="M562" s="1" t="s">
        <v>126</v>
      </c>
      <c r="N562" s="1" t="s">
        <v>127</v>
      </c>
      <c r="O562" s="1" t="s">
        <v>61</v>
      </c>
      <c r="P562" s="3">
        <v>1</v>
      </c>
      <c r="Q562" s="3">
        <v>32.822879999999998</v>
      </c>
      <c r="R562" s="1" t="s">
        <v>34</v>
      </c>
      <c r="S562" s="1" t="s">
        <v>35</v>
      </c>
      <c r="T562" s="1" t="s">
        <v>36</v>
      </c>
      <c r="U562" s="1" t="s">
        <v>37</v>
      </c>
      <c r="V562" s="1" t="s">
        <v>38</v>
      </c>
      <c r="W562" s="1" t="s">
        <v>39</v>
      </c>
      <c r="X562" s="8" t="str">
        <f>+IFERROR(VLOOKUP(N562,[1]Hoja1!$B$2:$F$52,4,0)*P562,"")</f>
        <v/>
      </c>
      <c r="Y562" s="8" t="e">
        <f>+VLOOKUP(M562,[1]SKU!$B$3:$E$81,4,0)</f>
        <v>#N/A</v>
      </c>
      <c r="Z562" s="8" t="str">
        <f t="shared" si="8"/>
        <v>BEES</v>
      </c>
      <c r="AA562" s="8" t="str">
        <f>+VLOOKUP(I562,[1]SKU!$H$2:$I$97,2,0)</f>
        <v>PE07006</v>
      </c>
    </row>
    <row r="563" spans="1:27">
      <c r="A563" s="1" t="s">
        <v>24</v>
      </c>
      <c r="B563" s="2">
        <v>46295</v>
      </c>
      <c r="C563" s="1" t="s">
        <v>401</v>
      </c>
      <c r="D563" s="1" t="s">
        <v>25</v>
      </c>
      <c r="E563" s="1" t="s">
        <v>402</v>
      </c>
      <c r="F563" s="1" t="s">
        <v>403</v>
      </c>
      <c r="G563" s="1" t="s">
        <v>26</v>
      </c>
      <c r="H563" s="1" t="s">
        <v>27</v>
      </c>
      <c r="I563" s="1" t="s">
        <v>53</v>
      </c>
      <c r="J563" s="1" t="s">
        <v>28</v>
      </c>
      <c r="K563" s="1" t="s">
        <v>29</v>
      </c>
      <c r="L563" s="1" t="s">
        <v>30</v>
      </c>
      <c r="M563" s="1" t="s">
        <v>126</v>
      </c>
      <c r="N563" s="1" t="s">
        <v>127</v>
      </c>
      <c r="O563" s="1" t="s">
        <v>61</v>
      </c>
      <c r="P563" s="3">
        <v>2</v>
      </c>
      <c r="Q563" s="3">
        <v>65.242199999999997</v>
      </c>
      <c r="R563" s="1" t="s">
        <v>34</v>
      </c>
      <c r="S563" s="1" t="s">
        <v>35</v>
      </c>
      <c r="T563" s="1" t="s">
        <v>36</v>
      </c>
      <c r="U563" s="1" t="s">
        <v>37</v>
      </c>
      <c r="V563" s="1" t="s">
        <v>38</v>
      </c>
      <c r="W563" s="1" t="s">
        <v>39</v>
      </c>
      <c r="X563" s="8" t="str">
        <f>+IFERROR(VLOOKUP(N563,[1]Hoja1!$B$2:$F$52,4,0)*P563,"")</f>
        <v/>
      </c>
      <c r="Y563" s="8" t="e">
        <f>+VLOOKUP(M563,[1]SKU!$B$3:$E$81,4,0)</f>
        <v>#N/A</v>
      </c>
      <c r="Z563" s="8" t="str">
        <f t="shared" si="8"/>
        <v>BEES</v>
      </c>
      <c r="AA563" s="8" t="str">
        <f>+VLOOKUP(I563,[1]SKU!$H$2:$I$97,2,0)</f>
        <v>PE07010</v>
      </c>
    </row>
    <row r="564" spans="1:27">
      <c r="A564" s="1" t="s">
        <v>42</v>
      </c>
      <c r="B564" s="2">
        <v>46295</v>
      </c>
      <c r="C564" s="1" t="s">
        <v>440</v>
      </c>
      <c r="D564" s="1" t="s">
        <v>43</v>
      </c>
      <c r="E564" s="1" t="s">
        <v>441</v>
      </c>
      <c r="F564" s="1" t="s">
        <v>442</v>
      </c>
      <c r="G564" s="1" t="s">
        <v>26</v>
      </c>
      <c r="H564" s="1" t="s">
        <v>27</v>
      </c>
      <c r="I564" s="1" t="s">
        <v>72</v>
      </c>
      <c r="J564" s="1" t="s">
        <v>28</v>
      </c>
      <c r="K564" s="1" t="s">
        <v>29</v>
      </c>
      <c r="L564" s="1" t="s">
        <v>30</v>
      </c>
      <c r="M564" s="1" t="s">
        <v>126</v>
      </c>
      <c r="N564" s="1" t="s">
        <v>127</v>
      </c>
      <c r="O564" s="1" t="s">
        <v>61</v>
      </c>
      <c r="P564" s="3">
        <v>2</v>
      </c>
      <c r="Q564" s="3">
        <v>65.242199999999997</v>
      </c>
      <c r="R564" s="1" t="s">
        <v>34</v>
      </c>
      <c r="S564" s="1" t="s">
        <v>35</v>
      </c>
      <c r="T564" s="1" t="s">
        <v>36</v>
      </c>
      <c r="U564" s="1" t="s">
        <v>37</v>
      </c>
      <c r="V564" s="1" t="s">
        <v>38</v>
      </c>
      <c r="W564" s="1" t="s">
        <v>39</v>
      </c>
      <c r="X564" s="8" t="str">
        <f>+IFERROR(VLOOKUP(N564,[1]Hoja1!$B$2:$F$52,4,0)*P564,"")</f>
        <v/>
      </c>
      <c r="Y564" s="8" t="e">
        <f>+VLOOKUP(M564,[1]SKU!$B$3:$E$81,4,0)</f>
        <v>#N/A</v>
      </c>
      <c r="Z564" s="8" t="str">
        <f t="shared" si="8"/>
        <v>BEES</v>
      </c>
      <c r="AA564" s="8" t="str">
        <f>+VLOOKUP(I564,[1]SKU!$H$2:$I$97,2,0)</f>
        <v>PE07001</v>
      </c>
    </row>
    <row r="565" spans="1:27">
      <c r="A565" s="1" t="s">
        <v>42</v>
      </c>
      <c r="B565" s="2">
        <v>46295</v>
      </c>
      <c r="C565" s="1" t="s">
        <v>264</v>
      </c>
      <c r="D565" s="1" t="s">
        <v>43</v>
      </c>
      <c r="E565" s="1" t="s">
        <v>265</v>
      </c>
      <c r="F565" s="1" t="s">
        <v>266</v>
      </c>
      <c r="G565" s="1" t="s">
        <v>26</v>
      </c>
      <c r="H565" s="1" t="s">
        <v>27</v>
      </c>
      <c r="I565" s="1" t="s">
        <v>267</v>
      </c>
      <c r="J565" s="1" t="s">
        <v>28</v>
      </c>
      <c r="K565" s="1" t="s">
        <v>29</v>
      </c>
      <c r="L565" s="1" t="s">
        <v>30</v>
      </c>
      <c r="M565" s="1" t="s">
        <v>126</v>
      </c>
      <c r="N565" s="1" t="s">
        <v>127</v>
      </c>
      <c r="O565" s="1" t="s">
        <v>61</v>
      </c>
      <c r="P565" s="3">
        <v>1</v>
      </c>
      <c r="Q565" s="3">
        <v>32.822879999999998</v>
      </c>
      <c r="R565" s="1" t="s">
        <v>34</v>
      </c>
      <c r="S565" s="1" t="s">
        <v>35</v>
      </c>
      <c r="T565" s="1" t="s">
        <v>36</v>
      </c>
      <c r="U565" s="1" t="s">
        <v>37</v>
      </c>
      <c r="V565" s="1" t="s">
        <v>38</v>
      </c>
      <c r="W565" s="1" t="s">
        <v>39</v>
      </c>
      <c r="X565" s="8" t="str">
        <f>+IFERROR(VLOOKUP(N565,[1]Hoja1!$B$2:$F$52,4,0)*P565,"")</f>
        <v/>
      </c>
      <c r="Y565" s="8" t="e">
        <f>+VLOOKUP(M565,[1]SKU!$B$3:$E$81,4,0)</f>
        <v>#N/A</v>
      </c>
      <c r="Z565" s="8" t="str">
        <f t="shared" si="8"/>
        <v>BEES</v>
      </c>
      <c r="AA565" s="8" t="str">
        <f>+VLOOKUP(I565,[1]SKU!$H$2:$I$97,2,0)</f>
        <v>PE07006</v>
      </c>
    </row>
    <row r="566" spans="1:27">
      <c r="A566" s="1" t="s">
        <v>42</v>
      </c>
      <c r="B566" s="2">
        <v>46295</v>
      </c>
      <c r="C566" s="1" t="s">
        <v>323</v>
      </c>
      <c r="D566" s="1" t="s">
        <v>43</v>
      </c>
      <c r="E566" s="1" t="s">
        <v>324</v>
      </c>
      <c r="F566" s="1" t="s">
        <v>325</v>
      </c>
      <c r="G566" s="1" t="s">
        <v>26</v>
      </c>
      <c r="H566" s="1" t="s">
        <v>27</v>
      </c>
      <c r="I566" s="1" t="s">
        <v>72</v>
      </c>
      <c r="J566" s="1" t="s">
        <v>28</v>
      </c>
      <c r="K566" s="1" t="s">
        <v>29</v>
      </c>
      <c r="L566" s="1" t="s">
        <v>30</v>
      </c>
      <c r="M566" s="1" t="s">
        <v>126</v>
      </c>
      <c r="N566" s="1" t="s">
        <v>127</v>
      </c>
      <c r="O566" s="1" t="s">
        <v>61</v>
      </c>
      <c r="P566" s="3">
        <v>1</v>
      </c>
      <c r="Q566" s="3">
        <v>32.822879999999998</v>
      </c>
      <c r="R566" s="1" t="s">
        <v>34</v>
      </c>
      <c r="S566" s="1" t="s">
        <v>35</v>
      </c>
      <c r="T566" s="1" t="s">
        <v>36</v>
      </c>
      <c r="U566" s="1" t="s">
        <v>37</v>
      </c>
      <c r="V566" s="1" t="s">
        <v>38</v>
      </c>
      <c r="W566" s="1" t="s">
        <v>39</v>
      </c>
      <c r="X566" s="8" t="str">
        <f>+IFERROR(VLOOKUP(N566,[1]Hoja1!$B$2:$F$52,4,0)*P566,"")</f>
        <v/>
      </c>
      <c r="Y566" s="8" t="e">
        <f>+VLOOKUP(M566,[1]SKU!$B$3:$E$81,4,0)</f>
        <v>#N/A</v>
      </c>
      <c r="Z566" s="8" t="str">
        <f t="shared" si="8"/>
        <v>BEES</v>
      </c>
      <c r="AA566" s="8" t="str">
        <f>+VLOOKUP(I566,[1]SKU!$H$2:$I$97,2,0)</f>
        <v>PE07001</v>
      </c>
    </row>
    <row r="567" spans="1:27">
      <c r="A567" s="1" t="s">
        <v>51</v>
      </c>
      <c r="B567" s="2">
        <v>46295</v>
      </c>
      <c r="C567" s="1" t="s">
        <v>235</v>
      </c>
      <c r="D567" s="1" t="s">
        <v>52</v>
      </c>
      <c r="E567" s="1" t="s">
        <v>236</v>
      </c>
      <c r="F567" s="1" t="s">
        <v>237</v>
      </c>
      <c r="G567" s="1" t="s">
        <v>26</v>
      </c>
      <c r="H567" s="1" t="s">
        <v>27</v>
      </c>
      <c r="I567" s="1" t="s">
        <v>238</v>
      </c>
      <c r="J567" s="1" t="s">
        <v>28</v>
      </c>
      <c r="K567" s="1" t="s">
        <v>29</v>
      </c>
      <c r="L567" s="1" t="s">
        <v>30</v>
      </c>
      <c r="M567" s="1" t="s">
        <v>170</v>
      </c>
      <c r="N567" s="1" t="s">
        <v>171</v>
      </c>
      <c r="O567" s="1" t="s">
        <v>61</v>
      </c>
      <c r="P567" s="3">
        <v>1</v>
      </c>
      <c r="Q567" s="3">
        <v>26.5</v>
      </c>
      <c r="R567" s="1" t="s">
        <v>34</v>
      </c>
      <c r="S567" s="1" t="s">
        <v>35</v>
      </c>
      <c r="T567" s="1" t="s">
        <v>36</v>
      </c>
      <c r="U567" s="1" t="s">
        <v>37</v>
      </c>
      <c r="V567" s="1" t="s">
        <v>38</v>
      </c>
      <c r="W567" s="1" t="s">
        <v>39</v>
      </c>
      <c r="X567" s="8">
        <f>+IFERROR(VLOOKUP(N567,[1]Hoja1!$B$2:$F$52,4,0)*P567,"")</f>
        <v>0.28629032258064518</v>
      </c>
      <c r="Y567" s="8" t="e">
        <f>+VLOOKUP(M567,[1]SKU!$B$3:$E$81,4,0)</f>
        <v>#N/A</v>
      </c>
      <c r="Z567" s="8" t="str">
        <f t="shared" si="8"/>
        <v>BEES</v>
      </c>
      <c r="AA567" s="8" t="str">
        <f>+VLOOKUP(I567,[1]SKU!$H$2:$I$97,2,0)</f>
        <v>PE07011</v>
      </c>
    </row>
    <row r="568" spans="1:27">
      <c r="A568" s="1" t="s">
        <v>42</v>
      </c>
      <c r="B568" s="2">
        <v>46295</v>
      </c>
      <c r="C568" s="1" t="s">
        <v>430</v>
      </c>
      <c r="D568" s="1" t="s">
        <v>43</v>
      </c>
      <c r="E568" s="1" t="s">
        <v>431</v>
      </c>
      <c r="F568" s="1" t="s">
        <v>432</v>
      </c>
      <c r="G568" s="1" t="s">
        <v>26</v>
      </c>
      <c r="H568" s="1" t="s">
        <v>27</v>
      </c>
      <c r="I568" s="1" t="s">
        <v>180</v>
      </c>
      <c r="J568" s="1" t="s">
        <v>28</v>
      </c>
      <c r="K568" s="1" t="s">
        <v>29</v>
      </c>
      <c r="L568" s="1" t="s">
        <v>30</v>
      </c>
      <c r="M568" s="1" t="s">
        <v>170</v>
      </c>
      <c r="N568" s="1" t="s">
        <v>171</v>
      </c>
      <c r="O568" s="1" t="s">
        <v>61</v>
      </c>
      <c r="P568" s="3">
        <v>2</v>
      </c>
      <c r="Q568" s="3">
        <v>54.021500000000003</v>
      </c>
      <c r="R568" s="1" t="s">
        <v>34</v>
      </c>
      <c r="S568" s="1" t="s">
        <v>35</v>
      </c>
      <c r="T568" s="1" t="s">
        <v>36</v>
      </c>
      <c r="U568" s="1" t="s">
        <v>37</v>
      </c>
      <c r="V568" s="1" t="s">
        <v>38</v>
      </c>
      <c r="W568" s="1" t="s">
        <v>39</v>
      </c>
      <c r="X568" s="8">
        <f>+IFERROR(VLOOKUP(N568,[1]Hoja1!$B$2:$F$52,4,0)*P568,"")</f>
        <v>0.57258064516129037</v>
      </c>
      <c r="Y568" s="8" t="e">
        <f>+VLOOKUP(M568,[1]SKU!$B$3:$E$81,4,0)</f>
        <v>#N/A</v>
      </c>
      <c r="Z568" s="8" t="str">
        <f t="shared" si="8"/>
        <v>BEES</v>
      </c>
      <c r="AA568" s="8" t="str">
        <f>+VLOOKUP(I568,[1]SKU!$H$2:$I$97,2,0)</f>
        <v>PE07002</v>
      </c>
    </row>
    <row r="569" spans="1:27">
      <c r="A569" s="1" t="s">
        <v>42</v>
      </c>
      <c r="B569" s="2">
        <v>46295</v>
      </c>
      <c r="C569" s="1" t="s">
        <v>563</v>
      </c>
      <c r="D569" s="1" t="s">
        <v>43</v>
      </c>
      <c r="E569" s="1" t="s">
        <v>564</v>
      </c>
      <c r="F569" s="1" t="s">
        <v>565</v>
      </c>
      <c r="G569" s="1" t="s">
        <v>26</v>
      </c>
      <c r="H569" s="1" t="s">
        <v>27</v>
      </c>
      <c r="I569" s="1" t="s">
        <v>180</v>
      </c>
      <c r="J569" s="1" t="s">
        <v>28</v>
      </c>
      <c r="K569" s="1" t="s">
        <v>29</v>
      </c>
      <c r="L569" s="1" t="s">
        <v>30</v>
      </c>
      <c r="M569" s="1" t="s">
        <v>170</v>
      </c>
      <c r="N569" s="1" t="s">
        <v>171</v>
      </c>
      <c r="O569" s="1" t="s">
        <v>61</v>
      </c>
      <c r="P569" s="3">
        <v>2</v>
      </c>
      <c r="Q569" s="3">
        <v>50</v>
      </c>
      <c r="R569" s="1" t="s">
        <v>34</v>
      </c>
      <c r="S569" s="1" t="s">
        <v>35</v>
      </c>
      <c r="T569" s="1" t="s">
        <v>36</v>
      </c>
      <c r="U569" s="1" t="s">
        <v>37</v>
      </c>
      <c r="V569" s="1" t="s">
        <v>38</v>
      </c>
      <c r="W569" s="1" t="s">
        <v>39</v>
      </c>
      <c r="X569" s="8">
        <f>+IFERROR(VLOOKUP(N569,[1]Hoja1!$B$2:$F$52,4,0)*P569,"")</f>
        <v>0.57258064516129037</v>
      </c>
      <c r="Y569" s="8" t="e">
        <f>+VLOOKUP(M569,[1]SKU!$B$3:$E$81,4,0)</f>
        <v>#N/A</v>
      </c>
      <c r="Z569" s="8" t="str">
        <f t="shared" si="8"/>
        <v>BEES</v>
      </c>
      <c r="AA569" s="8" t="str">
        <f>+VLOOKUP(I569,[1]SKU!$H$2:$I$97,2,0)</f>
        <v>PE07002</v>
      </c>
    </row>
    <row r="570" spans="1:27">
      <c r="A570" s="1" t="s">
        <v>42</v>
      </c>
      <c r="B570" s="2">
        <v>46295</v>
      </c>
      <c r="C570" s="1" t="s">
        <v>566</v>
      </c>
      <c r="D570" s="1" t="s">
        <v>43</v>
      </c>
      <c r="E570" s="1" t="s">
        <v>567</v>
      </c>
      <c r="F570" s="1" t="s">
        <v>568</v>
      </c>
      <c r="G570" s="1" t="s">
        <v>26</v>
      </c>
      <c r="H570" s="1" t="s">
        <v>27</v>
      </c>
      <c r="I570" s="1" t="s">
        <v>65</v>
      </c>
      <c r="J570" s="1" t="s">
        <v>28</v>
      </c>
      <c r="K570" s="1" t="s">
        <v>29</v>
      </c>
      <c r="L570" s="1" t="s">
        <v>30</v>
      </c>
      <c r="M570" s="1" t="s">
        <v>170</v>
      </c>
      <c r="N570" s="1" t="s">
        <v>171</v>
      </c>
      <c r="O570" s="1" t="s">
        <v>61</v>
      </c>
      <c r="P570" s="3">
        <v>1</v>
      </c>
      <c r="Q570" s="3">
        <v>26.5</v>
      </c>
      <c r="R570" s="1" t="s">
        <v>34</v>
      </c>
      <c r="S570" s="1" t="s">
        <v>35</v>
      </c>
      <c r="T570" s="1" t="s">
        <v>36</v>
      </c>
      <c r="U570" s="1" t="s">
        <v>37</v>
      </c>
      <c r="V570" s="1" t="s">
        <v>38</v>
      </c>
      <c r="W570" s="1" t="s">
        <v>39</v>
      </c>
      <c r="X570" s="8">
        <f>+IFERROR(VLOOKUP(N570,[1]Hoja1!$B$2:$F$52,4,0)*P570,"")</f>
        <v>0.28629032258064518</v>
      </c>
      <c r="Y570" s="8" t="e">
        <f>+VLOOKUP(M570,[1]SKU!$B$3:$E$81,4,0)</f>
        <v>#N/A</v>
      </c>
      <c r="Z570" s="8" t="str">
        <f t="shared" si="8"/>
        <v>BEES</v>
      </c>
      <c r="AA570" s="8" t="str">
        <f>+VLOOKUP(I570,[1]SKU!$H$2:$I$97,2,0)</f>
        <v>PE07003</v>
      </c>
    </row>
    <row r="571" spans="1:27">
      <c r="A571" s="1" t="s">
        <v>42</v>
      </c>
      <c r="B571" s="2">
        <v>46295</v>
      </c>
      <c r="C571" s="1" t="s">
        <v>566</v>
      </c>
      <c r="D571" s="1" t="s">
        <v>43</v>
      </c>
      <c r="E571" s="1" t="s">
        <v>567</v>
      </c>
      <c r="F571" s="1" t="s">
        <v>568</v>
      </c>
      <c r="G571" s="1" t="s">
        <v>26</v>
      </c>
      <c r="H571" s="1" t="s">
        <v>27</v>
      </c>
      <c r="I571" s="1" t="s">
        <v>65</v>
      </c>
      <c r="J571" s="1" t="s">
        <v>28</v>
      </c>
      <c r="K571" s="1" t="s">
        <v>29</v>
      </c>
      <c r="L571" s="1" t="s">
        <v>30</v>
      </c>
      <c r="M571" s="1" t="s">
        <v>170</v>
      </c>
      <c r="N571" s="1" t="s">
        <v>171</v>
      </c>
      <c r="O571" s="1" t="s">
        <v>61</v>
      </c>
      <c r="P571" s="3">
        <v>1</v>
      </c>
      <c r="Q571" s="3">
        <v>26.5</v>
      </c>
      <c r="R571" s="1" t="s">
        <v>34</v>
      </c>
      <c r="S571" s="1" t="s">
        <v>35</v>
      </c>
      <c r="T571" s="1" t="s">
        <v>36</v>
      </c>
      <c r="U571" s="1" t="s">
        <v>37</v>
      </c>
      <c r="V571" s="1" t="s">
        <v>38</v>
      </c>
      <c r="W571" s="1" t="s">
        <v>39</v>
      </c>
      <c r="X571" s="8">
        <f>+IFERROR(VLOOKUP(N571,[1]Hoja1!$B$2:$F$52,4,0)*P571,"")</f>
        <v>0.28629032258064518</v>
      </c>
      <c r="Y571" s="8" t="e">
        <f>+VLOOKUP(M571,[1]SKU!$B$3:$E$81,4,0)</f>
        <v>#N/A</v>
      </c>
      <c r="Z571" s="8" t="str">
        <f t="shared" si="8"/>
        <v>BEES</v>
      </c>
      <c r="AA571" s="8" t="str">
        <f>+VLOOKUP(I571,[1]SKU!$H$2:$I$97,2,0)</f>
        <v>PE07003</v>
      </c>
    </row>
    <row r="572" spans="1:27">
      <c r="A572" s="1" t="s">
        <v>42</v>
      </c>
      <c r="B572" s="2">
        <v>46295</v>
      </c>
      <c r="C572" s="1" t="s">
        <v>361</v>
      </c>
      <c r="D572" s="1" t="s">
        <v>43</v>
      </c>
      <c r="E572" s="1" t="s">
        <v>362</v>
      </c>
      <c r="F572" s="1" t="s">
        <v>363</v>
      </c>
      <c r="G572" s="1" t="s">
        <v>26</v>
      </c>
      <c r="H572" s="1" t="s">
        <v>27</v>
      </c>
      <c r="I572" s="1" t="s">
        <v>180</v>
      </c>
      <c r="J572" s="1" t="s">
        <v>28</v>
      </c>
      <c r="K572" s="1" t="s">
        <v>29</v>
      </c>
      <c r="L572" s="1" t="s">
        <v>30</v>
      </c>
      <c r="M572" s="1" t="s">
        <v>170</v>
      </c>
      <c r="N572" s="1" t="s">
        <v>171</v>
      </c>
      <c r="O572" s="1" t="s">
        <v>61</v>
      </c>
      <c r="P572" s="3">
        <v>1</v>
      </c>
      <c r="Q572" s="3">
        <v>25</v>
      </c>
      <c r="R572" s="1" t="s">
        <v>34</v>
      </c>
      <c r="S572" s="1" t="s">
        <v>35</v>
      </c>
      <c r="T572" s="1" t="s">
        <v>36</v>
      </c>
      <c r="U572" s="1" t="s">
        <v>37</v>
      </c>
      <c r="V572" s="1" t="s">
        <v>38</v>
      </c>
      <c r="W572" s="1" t="s">
        <v>39</v>
      </c>
      <c r="X572" s="8">
        <f>+IFERROR(VLOOKUP(N572,[1]Hoja1!$B$2:$F$52,4,0)*P572,"")</f>
        <v>0.28629032258064518</v>
      </c>
      <c r="Y572" s="8" t="e">
        <f>+VLOOKUP(M572,[1]SKU!$B$3:$E$81,4,0)</f>
        <v>#N/A</v>
      </c>
      <c r="Z572" s="8" t="str">
        <f t="shared" si="8"/>
        <v>BEES</v>
      </c>
      <c r="AA572" s="8" t="str">
        <f>+VLOOKUP(I572,[1]SKU!$H$2:$I$97,2,0)</f>
        <v>PE07002</v>
      </c>
    </row>
    <row r="573" spans="1:27">
      <c r="A573" s="1" t="s">
        <v>51</v>
      </c>
      <c r="B573" s="2">
        <v>46295</v>
      </c>
      <c r="C573" s="1" t="s">
        <v>312</v>
      </c>
      <c r="D573" s="1" t="s">
        <v>52</v>
      </c>
      <c r="E573" s="1" t="s">
        <v>313</v>
      </c>
      <c r="F573" s="1" t="s">
        <v>314</v>
      </c>
      <c r="G573" s="1" t="s">
        <v>26</v>
      </c>
      <c r="H573" s="1" t="s">
        <v>27</v>
      </c>
      <c r="I573" s="1" t="s">
        <v>238</v>
      </c>
      <c r="J573" s="1" t="s">
        <v>28</v>
      </c>
      <c r="K573" s="1" t="s">
        <v>29</v>
      </c>
      <c r="L573" s="1" t="s">
        <v>30</v>
      </c>
      <c r="M573" s="1" t="s">
        <v>170</v>
      </c>
      <c r="N573" s="1" t="s">
        <v>171</v>
      </c>
      <c r="O573" s="1" t="s">
        <v>61</v>
      </c>
      <c r="P573" s="3">
        <v>2</v>
      </c>
      <c r="Q573" s="3">
        <v>65</v>
      </c>
      <c r="R573" s="1" t="s">
        <v>34</v>
      </c>
      <c r="S573" s="1" t="s">
        <v>35</v>
      </c>
      <c r="T573" s="1" t="s">
        <v>36</v>
      </c>
      <c r="U573" s="1" t="s">
        <v>37</v>
      </c>
      <c r="V573" s="1" t="s">
        <v>38</v>
      </c>
      <c r="W573" s="1" t="s">
        <v>39</v>
      </c>
      <c r="X573" s="8">
        <f>+IFERROR(VLOOKUP(N573,[1]Hoja1!$B$2:$F$52,4,0)*P573,"")</f>
        <v>0.57258064516129037</v>
      </c>
      <c r="Y573" s="8" t="e">
        <f>+VLOOKUP(M573,[1]SKU!$B$3:$E$81,4,0)</f>
        <v>#N/A</v>
      </c>
      <c r="Z573" s="8" t="str">
        <f t="shared" si="8"/>
        <v>BEES</v>
      </c>
      <c r="AA573" s="8" t="str">
        <f>+VLOOKUP(I573,[1]SKU!$H$2:$I$97,2,0)</f>
        <v>PE07011</v>
      </c>
    </row>
    <row r="574" spans="1:27">
      <c r="A574" s="1" t="s">
        <v>42</v>
      </c>
      <c r="B574" s="2">
        <v>46295</v>
      </c>
      <c r="C574" s="1" t="s">
        <v>563</v>
      </c>
      <c r="D574" s="1" t="s">
        <v>43</v>
      </c>
      <c r="E574" s="1" t="s">
        <v>564</v>
      </c>
      <c r="F574" s="1" t="s">
        <v>565</v>
      </c>
      <c r="G574" s="1" t="s">
        <v>26</v>
      </c>
      <c r="H574" s="1" t="s">
        <v>27</v>
      </c>
      <c r="I574" s="1" t="s">
        <v>180</v>
      </c>
      <c r="J574" s="1" t="s">
        <v>28</v>
      </c>
      <c r="K574" s="1" t="s">
        <v>29</v>
      </c>
      <c r="L574" s="1" t="s">
        <v>30</v>
      </c>
      <c r="M574" s="1" t="s">
        <v>170</v>
      </c>
      <c r="N574" s="1" t="s">
        <v>171</v>
      </c>
      <c r="O574" s="1" t="s">
        <v>61</v>
      </c>
      <c r="P574" s="3">
        <v>2</v>
      </c>
      <c r="Q574" s="3">
        <v>53.01</v>
      </c>
      <c r="R574" s="1" t="s">
        <v>34</v>
      </c>
      <c r="S574" s="1" t="s">
        <v>35</v>
      </c>
      <c r="T574" s="1" t="s">
        <v>36</v>
      </c>
      <c r="U574" s="1" t="s">
        <v>37</v>
      </c>
      <c r="V574" s="1" t="s">
        <v>38</v>
      </c>
      <c r="W574" s="1" t="s">
        <v>39</v>
      </c>
      <c r="X574" s="8">
        <f>+IFERROR(VLOOKUP(N574,[1]Hoja1!$B$2:$F$52,4,0)*P574,"")</f>
        <v>0.57258064516129037</v>
      </c>
      <c r="Y574" s="8" t="e">
        <f>+VLOOKUP(M574,[1]SKU!$B$3:$E$81,4,0)</f>
        <v>#N/A</v>
      </c>
      <c r="Z574" s="8" t="str">
        <f t="shared" si="8"/>
        <v>BEES</v>
      </c>
      <c r="AA574" s="8" t="str">
        <f>+VLOOKUP(I574,[1]SKU!$H$2:$I$97,2,0)</f>
        <v>PE07002</v>
      </c>
    </row>
    <row r="575" spans="1:27">
      <c r="A575" s="1" t="s">
        <v>24</v>
      </c>
      <c r="B575" s="2">
        <v>46295</v>
      </c>
      <c r="C575" s="1" t="s">
        <v>386</v>
      </c>
      <c r="D575" s="1" t="s">
        <v>25</v>
      </c>
      <c r="E575" s="1" t="s">
        <v>387</v>
      </c>
      <c r="F575" s="1" t="s">
        <v>388</v>
      </c>
      <c r="G575" s="1" t="s">
        <v>26</v>
      </c>
      <c r="H575" s="1" t="s">
        <v>27</v>
      </c>
      <c r="I575" s="1" t="s">
        <v>53</v>
      </c>
      <c r="J575" s="1" t="s">
        <v>28</v>
      </c>
      <c r="K575" s="1" t="s">
        <v>29</v>
      </c>
      <c r="L575" s="1" t="s">
        <v>30</v>
      </c>
      <c r="M575" s="1" t="s">
        <v>170</v>
      </c>
      <c r="N575" s="1" t="s">
        <v>171</v>
      </c>
      <c r="O575" s="1" t="s">
        <v>61</v>
      </c>
      <c r="P575" s="3">
        <v>1</v>
      </c>
      <c r="Q575" s="3">
        <v>25</v>
      </c>
      <c r="R575" s="1" t="s">
        <v>34</v>
      </c>
      <c r="S575" s="1" t="s">
        <v>35</v>
      </c>
      <c r="T575" s="1" t="s">
        <v>36</v>
      </c>
      <c r="U575" s="1" t="s">
        <v>37</v>
      </c>
      <c r="V575" s="1" t="s">
        <v>38</v>
      </c>
      <c r="W575" s="1" t="s">
        <v>39</v>
      </c>
      <c r="X575" s="8">
        <f>+IFERROR(VLOOKUP(N575,[1]Hoja1!$B$2:$F$52,4,0)*P575,"")</f>
        <v>0.28629032258064518</v>
      </c>
      <c r="Y575" s="8" t="e">
        <f>+VLOOKUP(M575,[1]SKU!$B$3:$E$81,4,0)</f>
        <v>#N/A</v>
      </c>
      <c r="Z575" s="8" t="str">
        <f t="shared" si="8"/>
        <v>BEES</v>
      </c>
      <c r="AA575" s="8" t="str">
        <f>+VLOOKUP(I575,[1]SKU!$H$2:$I$97,2,0)</f>
        <v>PE07010</v>
      </c>
    </row>
    <row r="576" spans="1:27">
      <c r="A576" s="1" t="s">
        <v>44</v>
      </c>
      <c r="B576" s="2">
        <v>46295</v>
      </c>
      <c r="C576" s="1" t="s">
        <v>355</v>
      </c>
      <c r="D576" s="1" t="s">
        <v>58</v>
      </c>
      <c r="E576" s="1" t="s">
        <v>356</v>
      </c>
      <c r="F576" s="1" t="s">
        <v>357</v>
      </c>
      <c r="G576" s="1" t="s">
        <v>26</v>
      </c>
      <c r="H576" s="1" t="s">
        <v>27</v>
      </c>
      <c r="I576" s="1" t="s">
        <v>297</v>
      </c>
      <c r="J576" s="1" t="s">
        <v>28</v>
      </c>
      <c r="K576" s="1" t="s">
        <v>29</v>
      </c>
      <c r="L576" s="1" t="s">
        <v>30</v>
      </c>
      <c r="M576" s="1" t="s">
        <v>170</v>
      </c>
      <c r="N576" s="1" t="s">
        <v>171</v>
      </c>
      <c r="O576" s="1" t="s">
        <v>61</v>
      </c>
      <c r="P576" s="3">
        <v>1</v>
      </c>
      <c r="Q576" s="3">
        <v>27.521000000000001</v>
      </c>
      <c r="R576" s="1" t="s">
        <v>34</v>
      </c>
      <c r="S576" s="1" t="s">
        <v>35</v>
      </c>
      <c r="T576" s="1" t="s">
        <v>36</v>
      </c>
      <c r="U576" s="1" t="s">
        <v>37</v>
      </c>
      <c r="V576" s="1" t="s">
        <v>38</v>
      </c>
      <c r="W576" s="1" t="s">
        <v>39</v>
      </c>
      <c r="X576" s="8">
        <f>+IFERROR(VLOOKUP(N576,[1]Hoja1!$B$2:$F$52,4,0)*P576,"")</f>
        <v>0.28629032258064518</v>
      </c>
      <c r="Y576" s="8" t="e">
        <f>+VLOOKUP(M576,[1]SKU!$B$3:$E$81,4,0)</f>
        <v>#N/A</v>
      </c>
      <c r="Z576" s="8" t="str">
        <f t="shared" si="8"/>
        <v>BEES</v>
      </c>
      <c r="AA576" s="8" t="str">
        <f>+VLOOKUP(I576,[1]SKU!$H$2:$I$97,2,0)</f>
        <v>PE07004</v>
      </c>
    </row>
    <row r="577" spans="1:27">
      <c r="A577" s="1" t="s">
        <v>24</v>
      </c>
      <c r="B577" s="2">
        <v>46295</v>
      </c>
      <c r="C577" s="1" t="s">
        <v>597</v>
      </c>
      <c r="D577" s="1" t="s">
        <v>25</v>
      </c>
      <c r="E577" s="1" t="s">
        <v>56</v>
      </c>
      <c r="F577" s="1" t="s">
        <v>57</v>
      </c>
      <c r="G577" s="1" t="s">
        <v>26</v>
      </c>
      <c r="H577" s="1" t="s">
        <v>27</v>
      </c>
      <c r="I577" s="1" t="s">
        <v>53</v>
      </c>
      <c r="J577" s="1" t="s">
        <v>28</v>
      </c>
      <c r="K577" s="1" t="s">
        <v>29</v>
      </c>
      <c r="L577" s="1" t="s">
        <v>30</v>
      </c>
      <c r="M577" s="1" t="s">
        <v>170</v>
      </c>
      <c r="N577" s="1" t="s">
        <v>171</v>
      </c>
      <c r="O577" s="1" t="s">
        <v>61</v>
      </c>
      <c r="P577" s="3">
        <v>1</v>
      </c>
      <c r="Q577" s="3">
        <v>25</v>
      </c>
      <c r="R577" s="1" t="s">
        <v>34</v>
      </c>
      <c r="S577" s="1" t="s">
        <v>35</v>
      </c>
      <c r="T577" s="1" t="s">
        <v>36</v>
      </c>
      <c r="U577" s="1" t="s">
        <v>37</v>
      </c>
      <c r="V577" s="1" t="s">
        <v>38</v>
      </c>
      <c r="W577" s="1" t="s">
        <v>39</v>
      </c>
      <c r="X577" s="8">
        <f>+IFERROR(VLOOKUP(N577,[1]Hoja1!$B$2:$F$52,4,0)*P577,"")</f>
        <v>0.28629032258064518</v>
      </c>
      <c r="Y577" s="8" t="e">
        <f>+VLOOKUP(M577,[1]SKU!$B$3:$E$81,4,0)</f>
        <v>#N/A</v>
      </c>
      <c r="Z577" s="8" t="str">
        <f t="shared" si="8"/>
        <v>BEES</v>
      </c>
      <c r="AA577" s="8" t="str">
        <f>+VLOOKUP(I577,[1]SKU!$H$2:$I$97,2,0)</f>
        <v>PE07010</v>
      </c>
    </row>
    <row r="578" spans="1:27">
      <c r="X578" s="8" t="str">
        <f>+IFERROR(VLOOKUP(N578,[1]Hoja1!$B$2:$F$52,4,0)*P578,"")</f>
        <v/>
      </c>
      <c r="Y578" s="8" t="e">
        <f>+VLOOKUP(M578,[1]SKU!$B$3:$E$81,4,0)</f>
        <v>#N/A</v>
      </c>
      <c r="Z578" s="8" t="str">
        <f t="shared" si="8"/>
        <v>FLEX</v>
      </c>
      <c r="AA578" s="8" t="e">
        <f>+VLOOKUP(I578,[1]SKU!$H$2:$I$97,2,0)</f>
        <v>#N/A</v>
      </c>
    </row>
    <row r="579" spans="1:27">
      <c r="X579" s="8" t="str">
        <f>+IFERROR(VLOOKUP(N579,[1]Hoja1!$B$2:$F$52,4,0)*P579,"")</f>
        <v/>
      </c>
      <c r="Y579" s="8" t="e">
        <f>+VLOOKUP(M579,[1]SKU!$B$3:$E$81,4,0)</f>
        <v>#N/A</v>
      </c>
      <c r="Z579" s="8" t="str">
        <f t="shared" ref="Z579:Z642" si="9">+IF(J579="VB01                          ","BEES","FLEX")</f>
        <v>FLEX</v>
      </c>
      <c r="AA579" s="8" t="e">
        <f>+VLOOKUP(I579,[1]SKU!$H$2:$I$97,2,0)</f>
        <v>#N/A</v>
      </c>
    </row>
    <row r="580" spans="1:27">
      <c r="X580" s="8" t="str">
        <f>+IFERROR(VLOOKUP(N580,[1]Hoja1!$B$2:$F$52,4,0)*P580,"")</f>
        <v/>
      </c>
      <c r="Y580" s="8" t="e">
        <f>+VLOOKUP(M580,[1]SKU!$B$3:$E$81,4,0)</f>
        <v>#N/A</v>
      </c>
      <c r="Z580" s="8" t="str">
        <f t="shared" si="9"/>
        <v>FLEX</v>
      </c>
      <c r="AA580" s="8" t="e">
        <f>+VLOOKUP(I580,[1]SKU!$H$2:$I$97,2,0)</f>
        <v>#N/A</v>
      </c>
    </row>
    <row r="581" spans="1:27">
      <c r="X581" s="8" t="str">
        <f>+IFERROR(VLOOKUP(N581,[1]Hoja1!$B$2:$F$52,4,0)*P581,"")</f>
        <v/>
      </c>
      <c r="Y581" s="8" t="e">
        <f>+VLOOKUP(M581,[1]SKU!$B$3:$E$81,4,0)</f>
        <v>#N/A</v>
      </c>
      <c r="Z581" s="8" t="str">
        <f t="shared" si="9"/>
        <v>FLEX</v>
      </c>
      <c r="AA581" s="8" t="e">
        <f>+VLOOKUP(I581,[1]SKU!$H$2:$I$97,2,0)</f>
        <v>#N/A</v>
      </c>
    </row>
    <row r="582" spans="1:27">
      <c r="X582" s="8" t="str">
        <f>+IFERROR(VLOOKUP(N582,[1]Hoja1!$B$2:$F$52,4,0)*P582,"")</f>
        <v/>
      </c>
      <c r="Y582" s="8" t="e">
        <f>+VLOOKUP(M582,[1]SKU!$B$3:$E$81,4,0)</f>
        <v>#N/A</v>
      </c>
      <c r="Z582" s="8" t="str">
        <f t="shared" si="9"/>
        <v>FLEX</v>
      </c>
      <c r="AA582" s="8" t="e">
        <f>+VLOOKUP(I582,[1]SKU!$H$2:$I$97,2,0)</f>
        <v>#N/A</v>
      </c>
    </row>
    <row r="583" spans="1:27">
      <c r="X583" s="8" t="str">
        <f>+IFERROR(VLOOKUP(N583,[1]Hoja1!$B$2:$F$52,4,0)*P583,"")</f>
        <v/>
      </c>
      <c r="Y583" s="8" t="e">
        <f>+VLOOKUP(M583,[1]SKU!$B$3:$E$81,4,0)</f>
        <v>#N/A</v>
      </c>
      <c r="Z583" s="8" t="str">
        <f t="shared" si="9"/>
        <v>FLEX</v>
      </c>
      <c r="AA583" s="8" t="e">
        <f>+VLOOKUP(I583,[1]SKU!$H$2:$I$97,2,0)</f>
        <v>#N/A</v>
      </c>
    </row>
    <row r="584" spans="1:27">
      <c r="X584" s="8" t="str">
        <f>+IFERROR(VLOOKUP(N584,[1]Hoja1!$B$2:$F$52,4,0)*P584,"")</f>
        <v/>
      </c>
      <c r="Y584" s="8" t="e">
        <f>+VLOOKUP(M584,[1]SKU!$B$3:$E$81,4,0)</f>
        <v>#N/A</v>
      </c>
      <c r="Z584" s="8" t="str">
        <f t="shared" si="9"/>
        <v>FLEX</v>
      </c>
      <c r="AA584" s="8" t="e">
        <f>+VLOOKUP(I584,[1]SKU!$H$2:$I$97,2,0)</f>
        <v>#N/A</v>
      </c>
    </row>
    <row r="585" spans="1:27">
      <c r="X585" s="8" t="str">
        <f>+IFERROR(VLOOKUP(N585,[1]Hoja1!$B$2:$F$52,4,0)*P585,"")</f>
        <v/>
      </c>
      <c r="Y585" s="8" t="e">
        <f>+VLOOKUP(M585,[1]SKU!$B$3:$E$81,4,0)</f>
        <v>#N/A</v>
      </c>
      <c r="Z585" s="8" t="str">
        <f t="shared" si="9"/>
        <v>FLEX</v>
      </c>
      <c r="AA585" s="8" t="e">
        <f>+VLOOKUP(I585,[1]SKU!$H$2:$I$97,2,0)</f>
        <v>#N/A</v>
      </c>
    </row>
    <row r="586" spans="1:27">
      <c r="X586" s="8" t="str">
        <f>+IFERROR(VLOOKUP(N586,[1]Hoja1!$B$2:$F$52,4,0)*P586,"")</f>
        <v/>
      </c>
      <c r="Y586" s="8" t="e">
        <f>+VLOOKUP(M586,[1]SKU!$B$3:$E$81,4,0)</f>
        <v>#N/A</v>
      </c>
      <c r="Z586" s="8" t="str">
        <f t="shared" si="9"/>
        <v>FLEX</v>
      </c>
      <c r="AA586" s="8" t="e">
        <f>+VLOOKUP(I586,[1]SKU!$H$2:$I$97,2,0)</f>
        <v>#N/A</v>
      </c>
    </row>
    <row r="587" spans="1:27">
      <c r="X587" s="8" t="str">
        <f>+IFERROR(VLOOKUP(N587,[1]Hoja1!$B$2:$F$52,4,0)*P587,"")</f>
        <v/>
      </c>
      <c r="Y587" s="8" t="e">
        <f>+VLOOKUP(M587,[1]SKU!$B$3:$E$81,4,0)</f>
        <v>#N/A</v>
      </c>
      <c r="Z587" s="8" t="str">
        <f t="shared" si="9"/>
        <v>FLEX</v>
      </c>
      <c r="AA587" s="8" t="e">
        <f>+VLOOKUP(I587,[1]SKU!$H$2:$I$97,2,0)</f>
        <v>#N/A</v>
      </c>
    </row>
    <row r="588" spans="1:27">
      <c r="X588" s="8" t="str">
        <f>+IFERROR(VLOOKUP(N588,[1]Hoja1!$B$2:$F$52,4,0)*P588,"")</f>
        <v/>
      </c>
      <c r="Y588" s="8" t="e">
        <f>+VLOOKUP(M588,[1]SKU!$B$3:$E$81,4,0)</f>
        <v>#N/A</v>
      </c>
      <c r="Z588" s="8" t="str">
        <f t="shared" si="9"/>
        <v>FLEX</v>
      </c>
      <c r="AA588" s="8" t="e">
        <f>+VLOOKUP(I588,[1]SKU!$H$2:$I$97,2,0)</f>
        <v>#N/A</v>
      </c>
    </row>
    <row r="589" spans="1:27">
      <c r="X589" s="8" t="str">
        <f>+IFERROR(VLOOKUP(N589,[1]Hoja1!$B$2:$F$52,4,0)*P589,"")</f>
        <v/>
      </c>
      <c r="Y589" s="8" t="e">
        <f>+VLOOKUP(M589,[1]SKU!$B$3:$E$81,4,0)</f>
        <v>#N/A</v>
      </c>
      <c r="Z589" s="8" t="str">
        <f t="shared" si="9"/>
        <v>FLEX</v>
      </c>
      <c r="AA589" s="8" t="e">
        <f>+VLOOKUP(I589,[1]SKU!$H$2:$I$97,2,0)</f>
        <v>#N/A</v>
      </c>
    </row>
    <row r="590" spans="1:27">
      <c r="X590" s="8" t="str">
        <f>+IFERROR(VLOOKUP(N590,[1]Hoja1!$B$2:$F$52,4,0)*P590,"")</f>
        <v/>
      </c>
      <c r="Y590" s="8" t="e">
        <f>+VLOOKUP(M590,[1]SKU!$B$3:$E$81,4,0)</f>
        <v>#N/A</v>
      </c>
      <c r="Z590" s="8" t="str">
        <f t="shared" si="9"/>
        <v>FLEX</v>
      </c>
      <c r="AA590" s="8" t="e">
        <f>+VLOOKUP(I590,[1]SKU!$H$2:$I$97,2,0)</f>
        <v>#N/A</v>
      </c>
    </row>
    <row r="591" spans="1:27">
      <c r="X591" s="8" t="str">
        <f>+IFERROR(VLOOKUP(N591,[1]Hoja1!$B$2:$F$52,4,0)*P591,"")</f>
        <v/>
      </c>
      <c r="Y591" s="8" t="e">
        <f>+VLOOKUP(M591,[1]SKU!$B$3:$E$81,4,0)</f>
        <v>#N/A</v>
      </c>
      <c r="Z591" s="8" t="str">
        <f t="shared" si="9"/>
        <v>FLEX</v>
      </c>
      <c r="AA591" s="8" t="e">
        <f>+VLOOKUP(I591,[1]SKU!$H$2:$I$97,2,0)</f>
        <v>#N/A</v>
      </c>
    </row>
    <row r="592" spans="1:27">
      <c r="X592" s="8" t="str">
        <f>+IFERROR(VLOOKUP(N592,[1]Hoja1!$B$2:$F$52,4,0)*P592,"")</f>
        <v/>
      </c>
      <c r="Y592" s="8" t="e">
        <f>+VLOOKUP(M592,[1]SKU!$B$3:$E$81,4,0)</f>
        <v>#N/A</v>
      </c>
      <c r="Z592" s="8" t="str">
        <f t="shared" si="9"/>
        <v>FLEX</v>
      </c>
      <c r="AA592" s="8" t="e">
        <f>+VLOOKUP(I592,[1]SKU!$H$2:$I$97,2,0)</f>
        <v>#N/A</v>
      </c>
    </row>
    <row r="593" spans="24:27">
      <c r="X593" s="8" t="str">
        <f>+IFERROR(VLOOKUP(N593,[1]Hoja1!$B$2:$F$52,4,0)*P593,"")</f>
        <v/>
      </c>
      <c r="Y593" s="8" t="e">
        <f>+VLOOKUP(M593,[1]SKU!$B$3:$E$81,4,0)</f>
        <v>#N/A</v>
      </c>
      <c r="Z593" s="8" t="str">
        <f t="shared" si="9"/>
        <v>FLEX</v>
      </c>
      <c r="AA593" s="8" t="e">
        <f>+VLOOKUP(I593,[1]SKU!$H$2:$I$97,2,0)</f>
        <v>#N/A</v>
      </c>
    </row>
    <row r="594" spans="24:27">
      <c r="X594" s="8" t="str">
        <f>+IFERROR(VLOOKUP(N594,[1]Hoja1!$B$2:$F$52,4,0)*P594,"")</f>
        <v/>
      </c>
      <c r="Y594" s="8" t="e">
        <f>+VLOOKUP(M594,[1]SKU!$B$3:$E$81,4,0)</f>
        <v>#N/A</v>
      </c>
      <c r="Z594" s="8" t="str">
        <f t="shared" si="9"/>
        <v>FLEX</v>
      </c>
      <c r="AA594" s="8" t="e">
        <f>+VLOOKUP(I594,[1]SKU!$H$2:$I$97,2,0)</f>
        <v>#N/A</v>
      </c>
    </row>
    <row r="595" spans="24:27">
      <c r="X595" s="8" t="str">
        <f>+IFERROR(VLOOKUP(N595,[1]Hoja1!$B$2:$F$52,4,0)*P595,"")</f>
        <v/>
      </c>
      <c r="Y595" s="8" t="e">
        <f>+VLOOKUP(M595,[1]SKU!$B$3:$E$81,4,0)</f>
        <v>#N/A</v>
      </c>
      <c r="Z595" s="8" t="str">
        <f t="shared" si="9"/>
        <v>FLEX</v>
      </c>
      <c r="AA595" s="8" t="e">
        <f>+VLOOKUP(I595,[1]SKU!$H$2:$I$97,2,0)</f>
        <v>#N/A</v>
      </c>
    </row>
    <row r="596" spans="24:27">
      <c r="X596" s="8" t="str">
        <f>+IFERROR(VLOOKUP(N596,[1]Hoja1!$B$2:$F$52,4,0)*P596,"")</f>
        <v/>
      </c>
      <c r="Y596" s="8" t="e">
        <f>+VLOOKUP(M596,[1]SKU!$B$3:$E$81,4,0)</f>
        <v>#N/A</v>
      </c>
      <c r="Z596" s="8" t="str">
        <f t="shared" si="9"/>
        <v>FLEX</v>
      </c>
      <c r="AA596" s="8" t="e">
        <f>+VLOOKUP(I596,[1]SKU!$H$2:$I$97,2,0)</f>
        <v>#N/A</v>
      </c>
    </row>
    <row r="597" spans="24:27">
      <c r="X597" s="8" t="str">
        <f>+IFERROR(VLOOKUP(N597,[1]Hoja1!$B$2:$F$52,4,0)*P597,"")</f>
        <v/>
      </c>
      <c r="Y597" s="8" t="e">
        <f>+VLOOKUP(M597,[1]SKU!$B$3:$E$81,4,0)</f>
        <v>#N/A</v>
      </c>
      <c r="Z597" s="8" t="str">
        <f t="shared" si="9"/>
        <v>FLEX</v>
      </c>
      <c r="AA597" s="8" t="e">
        <f>+VLOOKUP(I597,[1]SKU!$H$2:$I$97,2,0)</f>
        <v>#N/A</v>
      </c>
    </row>
    <row r="598" spans="24:27">
      <c r="X598" s="8" t="str">
        <f>+IFERROR(VLOOKUP(N598,[1]Hoja1!$B$2:$F$52,4,0)*P598,"")</f>
        <v/>
      </c>
      <c r="Y598" s="8" t="e">
        <f>+VLOOKUP(M598,[1]SKU!$B$3:$E$81,4,0)</f>
        <v>#N/A</v>
      </c>
      <c r="Z598" s="8" t="str">
        <f t="shared" si="9"/>
        <v>FLEX</v>
      </c>
      <c r="AA598" s="8" t="e">
        <f>+VLOOKUP(I598,[1]SKU!$H$2:$I$97,2,0)</f>
        <v>#N/A</v>
      </c>
    </row>
    <row r="599" spans="24:27">
      <c r="X599" s="8" t="str">
        <f>+IFERROR(VLOOKUP(N599,[1]Hoja1!$B$2:$F$52,4,0)*P599,"")</f>
        <v/>
      </c>
      <c r="Y599" s="8" t="e">
        <f>+VLOOKUP(M599,[1]SKU!$B$3:$E$81,4,0)</f>
        <v>#N/A</v>
      </c>
      <c r="Z599" s="8" t="str">
        <f t="shared" si="9"/>
        <v>FLEX</v>
      </c>
      <c r="AA599" s="8" t="e">
        <f>+VLOOKUP(I599,[1]SKU!$H$2:$I$97,2,0)</f>
        <v>#N/A</v>
      </c>
    </row>
    <row r="600" spans="24:27">
      <c r="X600" s="8" t="str">
        <f>+IFERROR(VLOOKUP(N600,[1]Hoja1!$B$2:$F$52,4,0)*P600,"")</f>
        <v/>
      </c>
      <c r="Y600" s="8" t="e">
        <f>+VLOOKUP(M600,[1]SKU!$B$3:$E$81,4,0)</f>
        <v>#N/A</v>
      </c>
      <c r="Z600" s="8" t="str">
        <f t="shared" si="9"/>
        <v>FLEX</v>
      </c>
      <c r="AA600" s="8" t="e">
        <f>+VLOOKUP(I600,[1]SKU!$H$2:$I$97,2,0)</f>
        <v>#N/A</v>
      </c>
    </row>
    <row r="601" spans="24:27">
      <c r="X601" s="8" t="str">
        <f>+IFERROR(VLOOKUP(N601,[1]Hoja1!$B$2:$F$52,4,0)*P601,"")</f>
        <v/>
      </c>
      <c r="Y601" s="8" t="e">
        <f>+VLOOKUP(M601,[1]SKU!$B$3:$E$81,4,0)</f>
        <v>#N/A</v>
      </c>
      <c r="Z601" s="8" t="str">
        <f t="shared" si="9"/>
        <v>FLEX</v>
      </c>
      <c r="AA601" s="8" t="e">
        <f>+VLOOKUP(I601,[1]SKU!$H$2:$I$97,2,0)</f>
        <v>#N/A</v>
      </c>
    </row>
    <row r="602" spans="24:27">
      <c r="X602" s="8" t="str">
        <f>+IFERROR(VLOOKUP(N602,[1]Hoja1!$B$2:$F$52,4,0)*P602,"")</f>
        <v/>
      </c>
      <c r="Y602" s="8" t="e">
        <f>+VLOOKUP(M602,[1]SKU!$B$3:$E$81,4,0)</f>
        <v>#N/A</v>
      </c>
      <c r="Z602" s="8" t="str">
        <f t="shared" si="9"/>
        <v>FLEX</v>
      </c>
      <c r="AA602" s="8" t="e">
        <f>+VLOOKUP(I602,[1]SKU!$H$2:$I$97,2,0)</f>
        <v>#N/A</v>
      </c>
    </row>
    <row r="603" spans="24:27">
      <c r="X603" s="8" t="str">
        <f>+IFERROR(VLOOKUP(N603,[1]Hoja1!$B$2:$F$52,4,0)*P603,"")</f>
        <v/>
      </c>
      <c r="Y603" s="8" t="e">
        <f>+VLOOKUP(M603,[1]SKU!$B$3:$E$81,4,0)</f>
        <v>#N/A</v>
      </c>
      <c r="Z603" s="8" t="str">
        <f t="shared" si="9"/>
        <v>FLEX</v>
      </c>
      <c r="AA603" s="8" t="e">
        <f>+VLOOKUP(I603,[1]SKU!$H$2:$I$97,2,0)</f>
        <v>#N/A</v>
      </c>
    </row>
    <row r="604" spans="24:27">
      <c r="X604" s="8" t="str">
        <f>+IFERROR(VLOOKUP(N604,[1]Hoja1!$B$2:$F$52,4,0)*P604,"")</f>
        <v/>
      </c>
      <c r="Y604" s="8" t="e">
        <f>+VLOOKUP(M604,[1]SKU!$B$3:$E$81,4,0)</f>
        <v>#N/A</v>
      </c>
      <c r="Z604" s="8" t="str">
        <f t="shared" si="9"/>
        <v>FLEX</v>
      </c>
      <c r="AA604" s="8" t="e">
        <f>+VLOOKUP(I604,[1]SKU!$H$2:$I$97,2,0)</f>
        <v>#N/A</v>
      </c>
    </row>
    <row r="605" spans="24:27">
      <c r="X605" s="8" t="str">
        <f>+IFERROR(VLOOKUP(N605,[1]Hoja1!$B$2:$F$52,4,0)*P605,"")</f>
        <v/>
      </c>
      <c r="Y605" s="8" t="e">
        <f>+VLOOKUP(M605,[1]SKU!$B$3:$E$81,4,0)</f>
        <v>#N/A</v>
      </c>
      <c r="Z605" s="8" t="str">
        <f t="shared" si="9"/>
        <v>FLEX</v>
      </c>
      <c r="AA605" s="8" t="e">
        <f>+VLOOKUP(I605,[1]SKU!$H$2:$I$97,2,0)</f>
        <v>#N/A</v>
      </c>
    </row>
    <row r="606" spans="24:27">
      <c r="X606" s="8" t="str">
        <f>+IFERROR(VLOOKUP(N606,[1]Hoja1!$B$2:$F$52,4,0)*P606,"")</f>
        <v/>
      </c>
      <c r="Y606" s="8" t="e">
        <f>+VLOOKUP(M606,[1]SKU!$B$3:$E$81,4,0)</f>
        <v>#N/A</v>
      </c>
      <c r="Z606" s="8" t="str">
        <f t="shared" si="9"/>
        <v>FLEX</v>
      </c>
      <c r="AA606" s="8" t="e">
        <f>+VLOOKUP(I606,[1]SKU!$H$2:$I$97,2,0)</f>
        <v>#N/A</v>
      </c>
    </row>
    <row r="607" spans="24:27">
      <c r="X607" s="8" t="str">
        <f>+IFERROR(VLOOKUP(N607,[1]Hoja1!$B$2:$F$52,4,0)*P607,"")</f>
        <v/>
      </c>
      <c r="Y607" s="8" t="e">
        <f>+VLOOKUP(M607,[1]SKU!$B$3:$E$81,4,0)</f>
        <v>#N/A</v>
      </c>
      <c r="Z607" s="8" t="str">
        <f t="shared" si="9"/>
        <v>FLEX</v>
      </c>
      <c r="AA607" s="8" t="e">
        <f>+VLOOKUP(I607,[1]SKU!$H$2:$I$97,2,0)</f>
        <v>#N/A</v>
      </c>
    </row>
    <row r="608" spans="24:27">
      <c r="X608" s="8" t="str">
        <f>+IFERROR(VLOOKUP(N608,[1]Hoja1!$B$2:$F$52,4,0)*P608,"")</f>
        <v/>
      </c>
      <c r="Y608" s="8" t="e">
        <f>+VLOOKUP(M608,[1]SKU!$B$3:$E$81,4,0)</f>
        <v>#N/A</v>
      </c>
      <c r="Z608" s="8" t="str">
        <f t="shared" si="9"/>
        <v>FLEX</v>
      </c>
      <c r="AA608" s="8" t="e">
        <f>+VLOOKUP(I608,[1]SKU!$H$2:$I$97,2,0)</f>
        <v>#N/A</v>
      </c>
    </row>
    <row r="609" spans="24:27">
      <c r="X609" s="8" t="str">
        <f>+IFERROR(VLOOKUP(N609,[1]Hoja1!$B$2:$F$52,4,0)*P609,"")</f>
        <v/>
      </c>
      <c r="Y609" s="8" t="e">
        <f>+VLOOKUP(M609,[1]SKU!$B$3:$E$81,4,0)</f>
        <v>#N/A</v>
      </c>
      <c r="Z609" s="8" t="str">
        <f t="shared" si="9"/>
        <v>FLEX</v>
      </c>
      <c r="AA609" s="8" t="e">
        <f>+VLOOKUP(I609,[1]SKU!$H$2:$I$97,2,0)</f>
        <v>#N/A</v>
      </c>
    </row>
    <row r="610" spans="24:27">
      <c r="X610" s="8" t="str">
        <f>+IFERROR(VLOOKUP(N610,[1]Hoja1!$B$2:$F$52,4,0)*P610,"")</f>
        <v/>
      </c>
      <c r="Y610" s="8" t="e">
        <f>+VLOOKUP(M610,[1]SKU!$B$3:$E$81,4,0)</f>
        <v>#N/A</v>
      </c>
      <c r="Z610" s="8" t="str">
        <f t="shared" si="9"/>
        <v>FLEX</v>
      </c>
      <c r="AA610" s="8" t="e">
        <f>+VLOOKUP(I610,[1]SKU!$H$2:$I$97,2,0)</f>
        <v>#N/A</v>
      </c>
    </row>
    <row r="611" spans="24:27">
      <c r="X611" s="8" t="str">
        <f>+IFERROR(VLOOKUP(N611,[1]Hoja1!$B$2:$F$52,4,0)*P611,"")</f>
        <v/>
      </c>
      <c r="Y611" s="8" t="e">
        <f>+VLOOKUP(M611,[1]SKU!$B$3:$E$81,4,0)</f>
        <v>#N/A</v>
      </c>
      <c r="Z611" s="8" t="str">
        <f t="shared" si="9"/>
        <v>FLEX</v>
      </c>
      <c r="AA611" s="8" t="e">
        <f>+VLOOKUP(I611,[1]SKU!$H$2:$I$97,2,0)</f>
        <v>#N/A</v>
      </c>
    </row>
    <row r="612" spans="24:27">
      <c r="X612" s="8" t="str">
        <f>+IFERROR(VLOOKUP(N612,[1]Hoja1!$B$2:$F$52,4,0)*P612,"")</f>
        <v/>
      </c>
      <c r="Y612" s="8" t="e">
        <f>+VLOOKUP(M612,[1]SKU!$B$3:$E$81,4,0)</f>
        <v>#N/A</v>
      </c>
      <c r="Z612" s="8" t="str">
        <f t="shared" si="9"/>
        <v>FLEX</v>
      </c>
      <c r="AA612" s="8" t="e">
        <f>+VLOOKUP(I612,[1]SKU!$H$2:$I$97,2,0)</f>
        <v>#N/A</v>
      </c>
    </row>
    <row r="613" spans="24:27">
      <c r="X613" s="8" t="str">
        <f>+IFERROR(VLOOKUP(N613,[1]Hoja1!$B$2:$F$52,4,0)*P613,"")</f>
        <v/>
      </c>
      <c r="Y613" s="8" t="e">
        <f>+VLOOKUP(M613,[1]SKU!$B$3:$E$81,4,0)</f>
        <v>#N/A</v>
      </c>
      <c r="Z613" s="8" t="str">
        <f t="shared" si="9"/>
        <v>FLEX</v>
      </c>
      <c r="AA613" s="8" t="e">
        <f>+VLOOKUP(I613,[1]SKU!$H$2:$I$97,2,0)</f>
        <v>#N/A</v>
      </c>
    </row>
    <row r="614" spans="24:27">
      <c r="X614" s="8" t="str">
        <f>+IFERROR(VLOOKUP(N614,[1]Hoja1!$B$2:$F$52,4,0)*P614,"")</f>
        <v/>
      </c>
      <c r="Y614" s="8" t="e">
        <f>+VLOOKUP(M614,[1]SKU!$B$3:$E$81,4,0)</f>
        <v>#N/A</v>
      </c>
      <c r="Z614" s="8" t="str">
        <f t="shared" si="9"/>
        <v>FLEX</v>
      </c>
      <c r="AA614" s="8" t="e">
        <f>+VLOOKUP(I614,[1]SKU!$H$2:$I$97,2,0)</f>
        <v>#N/A</v>
      </c>
    </row>
    <row r="615" spans="24:27">
      <c r="X615" s="8" t="str">
        <f>+IFERROR(VLOOKUP(N615,[1]Hoja1!$B$2:$F$52,4,0)*P615,"")</f>
        <v/>
      </c>
      <c r="Y615" s="8" t="e">
        <f>+VLOOKUP(M615,[1]SKU!$B$3:$E$81,4,0)</f>
        <v>#N/A</v>
      </c>
      <c r="Z615" s="8" t="str">
        <f t="shared" si="9"/>
        <v>FLEX</v>
      </c>
      <c r="AA615" s="8" t="e">
        <f>+VLOOKUP(I615,[1]SKU!$H$2:$I$97,2,0)</f>
        <v>#N/A</v>
      </c>
    </row>
    <row r="616" spans="24:27">
      <c r="X616" s="8" t="str">
        <f>+IFERROR(VLOOKUP(N616,[1]Hoja1!$B$2:$F$52,4,0)*P616,"")</f>
        <v/>
      </c>
      <c r="Y616" s="8" t="e">
        <f>+VLOOKUP(M616,[1]SKU!$B$3:$E$81,4,0)</f>
        <v>#N/A</v>
      </c>
      <c r="Z616" s="8" t="str">
        <f t="shared" si="9"/>
        <v>FLEX</v>
      </c>
      <c r="AA616" s="8" t="e">
        <f>+VLOOKUP(I616,[1]SKU!$H$2:$I$97,2,0)</f>
        <v>#N/A</v>
      </c>
    </row>
    <row r="617" spans="24:27">
      <c r="X617" s="8" t="str">
        <f>+IFERROR(VLOOKUP(N617,[1]Hoja1!$B$2:$F$52,4,0)*P617,"")</f>
        <v/>
      </c>
      <c r="Y617" s="8" t="e">
        <f>+VLOOKUP(M617,[1]SKU!$B$3:$E$81,4,0)</f>
        <v>#N/A</v>
      </c>
      <c r="Z617" s="8" t="str">
        <f t="shared" si="9"/>
        <v>FLEX</v>
      </c>
      <c r="AA617" s="8" t="e">
        <f>+VLOOKUP(I617,[1]SKU!$H$2:$I$97,2,0)</f>
        <v>#N/A</v>
      </c>
    </row>
    <row r="618" spans="24:27">
      <c r="X618" s="8" t="str">
        <f>+IFERROR(VLOOKUP(N618,[1]Hoja1!$B$2:$F$52,4,0)*P618,"")</f>
        <v/>
      </c>
      <c r="Y618" s="8" t="e">
        <f>+VLOOKUP(M618,[1]SKU!$B$3:$E$81,4,0)</f>
        <v>#N/A</v>
      </c>
      <c r="Z618" s="8" t="str">
        <f t="shared" si="9"/>
        <v>FLEX</v>
      </c>
      <c r="AA618" s="8" t="e">
        <f>+VLOOKUP(I618,[1]SKU!$H$2:$I$97,2,0)</f>
        <v>#N/A</v>
      </c>
    </row>
    <row r="619" spans="24:27">
      <c r="X619" s="8" t="str">
        <f>+IFERROR(VLOOKUP(N619,[1]Hoja1!$B$2:$F$52,4,0)*P619,"")</f>
        <v/>
      </c>
      <c r="Y619" s="8" t="e">
        <f>+VLOOKUP(M619,[1]SKU!$B$3:$E$81,4,0)</f>
        <v>#N/A</v>
      </c>
      <c r="Z619" s="8" t="str">
        <f t="shared" si="9"/>
        <v>FLEX</v>
      </c>
      <c r="AA619" s="8" t="e">
        <f>+VLOOKUP(I619,[1]SKU!$H$2:$I$97,2,0)</f>
        <v>#N/A</v>
      </c>
    </row>
    <row r="620" spans="24:27">
      <c r="X620" s="8" t="str">
        <f>+IFERROR(VLOOKUP(N620,[1]Hoja1!$B$2:$F$52,4,0)*P620,"")</f>
        <v/>
      </c>
      <c r="Y620" s="8" t="e">
        <f>+VLOOKUP(M620,[1]SKU!$B$3:$E$81,4,0)</f>
        <v>#N/A</v>
      </c>
      <c r="Z620" s="8" t="str">
        <f t="shared" si="9"/>
        <v>FLEX</v>
      </c>
      <c r="AA620" s="8" t="e">
        <f>+VLOOKUP(I620,[1]SKU!$H$2:$I$97,2,0)</f>
        <v>#N/A</v>
      </c>
    </row>
    <row r="621" spans="24:27">
      <c r="X621" s="8" t="str">
        <f>+IFERROR(VLOOKUP(N621,[1]Hoja1!$B$2:$F$52,4,0)*P621,"")</f>
        <v/>
      </c>
      <c r="Y621" s="8" t="e">
        <f>+VLOOKUP(M621,[1]SKU!$B$3:$E$81,4,0)</f>
        <v>#N/A</v>
      </c>
      <c r="Z621" s="8" t="str">
        <f t="shared" si="9"/>
        <v>FLEX</v>
      </c>
      <c r="AA621" s="8" t="e">
        <f>+VLOOKUP(I621,[1]SKU!$H$2:$I$97,2,0)</f>
        <v>#N/A</v>
      </c>
    </row>
    <row r="622" spans="24:27">
      <c r="X622" s="8" t="str">
        <f>+IFERROR(VLOOKUP(N622,[1]Hoja1!$B$2:$F$52,4,0)*P622,"")</f>
        <v/>
      </c>
      <c r="Y622" s="8" t="e">
        <f>+VLOOKUP(M622,[1]SKU!$B$3:$E$81,4,0)</f>
        <v>#N/A</v>
      </c>
      <c r="Z622" s="8" t="str">
        <f t="shared" si="9"/>
        <v>FLEX</v>
      </c>
      <c r="AA622" s="8" t="e">
        <f>+VLOOKUP(I622,[1]SKU!$H$2:$I$97,2,0)</f>
        <v>#N/A</v>
      </c>
    </row>
    <row r="623" spans="24:27">
      <c r="X623" s="8" t="str">
        <f>+IFERROR(VLOOKUP(N623,[1]Hoja1!$B$2:$F$52,4,0)*P623,"")</f>
        <v/>
      </c>
      <c r="Y623" s="8" t="e">
        <f>+VLOOKUP(M623,[1]SKU!$B$3:$E$81,4,0)</f>
        <v>#N/A</v>
      </c>
      <c r="Z623" s="8" t="str">
        <f t="shared" si="9"/>
        <v>FLEX</v>
      </c>
      <c r="AA623" s="8" t="e">
        <f>+VLOOKUP(I623,[1]SKU!$H$2:$I$97,2,0)</f>
        <v>#N/A</v>
      </c>
    </row>
    <row r="624" spans="24:27">
      <c r="X624" s="8" t="str">
        <f>+IFERROR(VLOOKUP(N624,[1]Hoja1!$B$2:$F$52,4,0)*P624,"")</f>
        <v/>
      </c>
      <c r="Y624" s="8" t="e">
        <f>+VLOOKUP(M624,[1]SKU!$B$3:$E$81,4,0)</f>
        <v>#N/A</v>
      </c>
      <c r="Z624" s="8" t="str">
        <f t="shared" si="9"/>
        <v>FLEX</v>
      </c>
      <c r="AA624" s="8" t="e">
        <f>+VLOOKUP(I624,[1]SKU!$H$2:$I$97,2,0)</f>
        <v>#N/A</v>
      </c>
    </row>
    <row r="625" spans="24:27">
      <c r="X625" s="8" t="str">
        <f>+IFERROR(VLOOKUP(N625,[1]Hoja1!$B$2:$F$52,4,0)*P625,"")</f>
        <v/>
      </c>
      <c r="Y625" s="8" t="e">
        <f>+VLOOKUP(M625,[1]SKU!$B$3:$E$81,4,0)</f>
        <v>#N/A</v>
      </c>
      <c r="Z625" s="8" t="str">
        <f t="shared" si="9"/>
        <v>FLEX</v>
      </c>
      <c r="AA625" s="8" t="e">
        <f>+VLOOKUP(I625,[1]SKU!$H$2:$I$97,2,0)</f>
        <v>#N/A</v>
      </c>
    </row>
    <row r="626" spans="24:27">
      <c r="X626" s="8" t="str">
        <f>+IFERROR(VLOOKUP(N626,[1]Hoja1!$B$2:$F$52,4,0)*P626,"")</f>
        <v/>
      </c>
      <c r="Y626" s="8" t="e">
        <f>+VLOOKUP(M626,[1]SKU!$B$3:$E$81,4,0)</f>
        <v>#N/A</v>
      </c>
      <c r="Z626" s="8" t="str">
        <f t="shared" si="9"/>
        <v>FLEX</v>
      </c>
      <c r="AA626" s="8" t="e">
        <f>+VLOOKUP(I626,[1]SKU!$H$2:$I$97,2,0)</f>
        <v>#N/A</v>
      </c>
    </row>
    <row r="627" spans="24:27">
      <c r="X627" s="8" t="str">
        <f>+IFERROR(VLOOKUP(N627,[1]Hoja1!$B$2:$F$52,4,0)*P627,"")</f>
        <v/>
      </c>
      <c r="Y627" s="8" t="e">
        <f>+VLOOKUP(M627,[1]SKU!$B$3:$E$81,4,0)</f>
        <v>#N/A</v>
      </c>
      <c r="Z627" s="8" t="str">
        <f t="shared" si="9"/>
        <v>FLEX</v>
      </c>
      <c r="AA627" s="8" t="e">
        <f>+VLOOKUP(I627,[1]SKU!$H$2:$I$97,2,0)</f>
        <v>#N/A</v>
      </c>
    </row>
    <row r="628" spans="24:27">
      <c r="X628" s="8" t="str">
        <f>+IFERROR(VLOOKUP(N628,[1]Hoja1!$B$2:$F$52,4,0)*P628,"")</f>
        <v/>
      </c>
      <c r="Y628" s="8" t="e">
        <f>+VLOOKUP(M628,[1]SKU!$B$3:$E$81,4,0)</f>
        <v>#N/A</v>
      </c>
      <c r="Z628" s="8" t="str">
        <f t="shared" si="9"/>
        <v>FLEX</v>
      </c>
      <c r="AA628" s="8" t="e">
        <f>+VLOOKUP(I628,[1]SKU!$H$2:$I$97,2,0)</f>
        <v>#N/A</v>
      </c>
    </row>
    <row r="629" spans="24:27">
      <c r="X629" s="8" t="str">
        <f>+IFERROR(VLOOKUP(N629,[1]Hoja1!$B$2:$F$52,4,0)*P629,"")</f>
        <v/>
      </c>
      <c r="Y629" s="8" t="e">
        <f>+VLOOKUP(M629,[1]SKU!$B$3:$E$81,4,0)</f>
        <v>#N/A</v>
      </c>
      <c r="Z629" s="8" t="str">
        <f t="shared" si="9"/>
        <v>FLEX</v>
      </c>
      <c r="AA629" s="8" t="e">
        <f>+VLOOKUP(I629,[1]SKU!$H$2:$I$97,2,0)</f>
        <v>#N/A</v>
      </c>
    </row>
    <row r="630" spans="24:27">
      <c r="X630" s="8" t="str">
        <f>+IFERROR(VLOOKUP(N630,[1]Hoja1!$B$2:$F$52,4,0)*P630,"")</f>
        <v/>
      </c>
      <c r="Y630" s="8" t="e">
        <f>+VLOOKUP(M630,[1]SKU!$B$3:$E$81,4,0)</f>
        <v>#N/A</v>
      </c>
      <c r="Z630" s="8" t="str">
        <f t="shared" si="9"/>
        <v>FLEX</v>
      </c>
      <c r="AA630" s="8" t="e">
        <f>+VLOOKUP(I630,[1]SKU!$H$2:$I$97,2,0)</f>
        <v>#N/A</v>
      </c>
    </row>
    <row r="631" spans="24:27">
      <c r="X631" s="8" t="str">
        <f>+IFERROR(VLOOKUP(N631,[1]Hoja1!$B$2:$F$52,4,0)*P631,"")</f>
        <v/>
      </c>
      <c r="Y631" s="8" t="e">
        <f>+VLOOKUP(M631,[1]SKU!$B$3:$E$81,4,0)</f>
        <v>#N/A</v>
      </c>
      <c r="Z631" s="8" t="str">
        <f t="shared" si="9"/>
        <v>FLEX</v>
      </c>
      <c r="AA631" s="8" t="e">
        <f>+VLOOKUP(I631,[1]SKU!$H$2:$I$97,2,0)</f>
        <v>#N/A</v>
      </c>
    </row>
    <row r="632" spans="24:27">
      <c r="X632" s="8" t="str">
        <f>+IFERROR(VLOOKUP(N632,[1]Hoja1!$B$2:$F$52,4,0)*P632,"")</f>
        <v/>
      </c>
      <c r="Y632" s="8" t="e">
        <f>+VLOOKUP(M632,[1]SKU!$B$3:$E$81,4,0)</f>
        <v>#N/A</v>
      </c>
      <c r="Z632" s="8" t="str">
        <f t="shared" si="9"/>
        <v>FLEX</v>
      </c>
      <c r="AA632" s="8" t="e">
        <f>+VLOOKUP(I632,[1]SKU!$H$2:$I$97,2,0)</f>
        <v>#N/A</v>
      </c>
    </row>
    <row r="633" spans="24:27">
      <c r="X633" s="8" t="str">
        <f>+IFERROR(VLOOKUP(N633,[1]Hoja1!$B$2:$F$52,4,0)*P633,"")</f>
        <v/>
      </c>
      <c r="Y633" s="8" t="e">
        <f>+VLOOKUP(M633,[1]SKU!$B$3:$E$81,4,0)</f>
        <v>#N/A</v>
      </c>
      <c r="Z633" s="8" t="str">
        <f t="shared" si="9"/>
        <v>FLEX</v>
      </c>
      <c r="AA633" s="8" t="e">
        <f>+VLOOKUP(I633,[1]SKU!$H$2:$I$97,2,0)</f>
        <v>#N/A</v>
      </c>
    </row>
    <row r="634" spans="24:27">
      <c r="X634" s="8" t="str">
        <f>+IFERROR(VLOOKUP(N634,[1]Hoja1!$B$2:$F$52,4,0)*P634,"")</f>
        <v/>
      </c>
      <c r="Y634" s="8" t="e">
        <f>+VLOOKUP(M634,[1]SKU!$B$3:$E$81,4,0)</f>
        <v>#N/A</v>
      </c>
      <c r="Z634" s="8" t="str">
        <f t="shared" si="9"/>
        <v>FLEX</v>
      </c>
      <c r="AA634" s="8" t="e">
        <f>+VLOOKUP(I634,[1]SKU!$H$2:$I$97,2,0)</f>
        <v>#N/A</v>
      </c>
    </row>
    <row r="635" spans="24:27">
      <c r="X635" s="8" t="str">
        <f>+IFERROR(VLOOKUP(N635,[1]Hoja1!$B$2:$F$52,4,0)*P635,"")</f>
        <v/>
      </c>
      <c r="Y635" s="8" t="e">
        <f>+VLOOKUP(M635,[1]SKU!$B$3:$E$81,4,0)</f>
        <v>#N/A</v>
      </c>
      <c r="Z635" s="8" t="str">
        <f t="shared" si="9"/>
        <v>FLEX</v>
      </c>
      <c r="AA635" s="8" t="e">
        <f>+VLOOKUP(I635,[1]SKU!$H$2:$I$97,2,0)</f>
        <v>#N/A</v>
      </c>
    </row>
    <row r="636" spans="24:27">
      <c r="X636" s="8" t="str">
        <f>+IFERROR(VLOOKUP(N636,[1]Hoja1!$B$2:$F$52,4,0)*P636,"")</f>
        <v/>
      </c>
      <c r="Y636" s="8" t="e">
        <f>+VLOOKUP(M636,[1]SKU!$B$3:$E$81,4,0)</f>
        <v>#N/A</v>
      </c>
      <c r="Z636" s="8" t="str">
        <f t="shared" si="9"/>
        <v>FLEX</v>
      </c>
      <c r="AA636" s="8" t="e">
        <f>+VLOOKUP(I636,[1]SKU!$H$2:$I$97,2,0)</f>
        <v>#N/A</v>
      </c>
    </row>
    <row r="637" spans="24:27">
      <c r="X637" s="8" t="str">
        <f>+IFERROR(VLOOKUP(N637,[1]Hoja1!$B$2:$F$52,4,0)*P637,"")</f>
        <v/>
      </c>
      <c r="Y637" s="8" t="e">
        <f>+VLOOKUP(M637,[1]SKU!$B$3:$E$81,4,0)</f>
        <v>#N/A</v>
      </c>
      <c r="Z637" s="8" t="str">
        <f t="shared" si="9"/>
        <v>FLEX</v>
      </c>
      <c r="AA637" s="8" t="e">
        <f>+VLOOKUP(I637,[1]SKU!$H$2:$I$97,2,0)</f>
        <v>#N/A</v>
      </c>
    </row>
    <row r="638" spans="24:27">
      <c r="X638" s="8" t="str">
        <f>+IFERROR(VLOOKUP(N638,[1]Hoja1!$B$2:$F$52,4,0)*P638,"")</f>
        <v/>
      </c>
      <c r="Y638" s="8" t="e">
        <f>+VLOOKUP(M638,[1]SKU!$B$3:$E$81,4,0)</f>
        <v>#N/A</v>
      </c>
      <c r="Z638" s="8" t="str">
        <f t="shared" si="9"/>
        <v>FLEX</v>
      </c>
      <c r="AA638" s="8" t="e">
        <f>+VLOOKUP(I638,[1]SKU!$H$2:$I$97,2,0)</f>
        <v>#N/A</v>
      </c>
    </row>
    <row r="639" spans="24:27">
      <c r="X639" s="8" t="str">
        <f>+IFERROR(VLOOKUP(N639,[1]Hoja1!$B$2:$F$52,4,0)*P639,"")</f>
        <v/>
      </c>
      <c r="Y639" s="8" t="e">
        <f>+VLOOKUP(M639,[1]SKU!$B$3:$E$81,4,0)</f>
        <v>#N/A</v>
      </c>
      <c r="Z639" s="8" t="str">
        <f t="shared" si="9"/>
        <v>FLEX</v>
      </c>
      <c r="AA639" s="8" t="e">
        <f>+VLOOKUP(I639,[1]SKU!$H$2:$I$97,2,0)</f>
        <v>#N/A</v>
      </c>
    </row>
    <row r="640" spans="24:27">
      <c r="X640" s="8" t="str">
        <f>+IFERROR(VLOOKUP(N640,[1]Hoja1!$B$2:$F$52,4,0)*P640,"")</f>
        <v/>
      </c>
      <c r="Y640" s="8" t="e">
        <f>+VLOOKUP(M640,[1]SKU!$B$3:$E$81,4,0)</f>
        <v>#N/A</v>
      </c>
      <c r="Z640" s="8" t="str">
        <f t="shared" si="9"/>
        <v>FLEX</v>
      </c>
      <c r="AA640" s="8" t="e">
        <f>+VLOOKUP(I640,[1]SKU!$H$2:$I$97,2,0)</f>
        <v>#N/A</v>
      </c>
    </row>
    <row r="641" spans="24:27">
      <c r="X641" s="8" t="str">
        <f>+IFERROR(VLOOKUP(N641,[1]Hoja1!$B$2:$F$52,4,0)*P641,"")</f>
        <v/>
      </c>
      <c r="Y641" s="8" t="e">
        <f>+VLOOKUP(M641,[1]SKU!$B$3:$E$81,4,0)</f>
        <v>#N/A</v>
      </c>
      <c r="Z641" s="8" t="str">
        <f t="shared" si="9"/>
        <v>FLEX</v>
      </c>
      <c r="AA641" s="8" t="e">
        <f>+VLOOKUP(I641,[1]SKU!$H$2:$I$97,2,0)</f>
        <v>#N/A</v>
      </c>
    </row>
    <row r="642" spans="24:27">
      <c r="X642" s="8" t="str">
        <f>+IFERROR(VLOOKUP(N642,[1]Hoja1!$B$2:$F$52,4,0)*P642,"")</f>
        <v/>
      </c>
      <c r="Y642" s="8" t="e">
        <f>+VLOOKUP(M642,[1]SKU!$B$3:$E$81,4,0)</f>
        <v>#N/A</v>
      </c>
      <c r="Z642" s="8" t="str">
        <f t="shared" si="9"/>
        <v>FLEX</v>
      </c>
      <c r="AA642" s="8" t="e">
        <f>+VLOOKUP(I642,[1]SKU!$H$2:$I$97,2,0)</f>
        <v>#N/A</v>
      </c>
    </row>
    <row r="643" spans="24:27">
      <c r="X643" s="8" t="str">
        <f>+IFERROR(VLOOKUP(N643,[1]Hoja1!$B$2:$F$52,4,0)*P643,"")</f>
        <v/>
      </c>
      <c r="Y643" s="8" t="e">
        <f>+VLOOKUP(M643,[1]SKU!$B$3:$E$81,4,0)</f>
        <v>#N/A</v>
      </c>
      <c r="Z643" s="8" t="str">
        <f t="shared" ref="Z643:Z706" si="10">+IF(J643="VB01                          ","BEES","FLEX")</f>
        <v>FLEX</v>
      </c>
      <c r="AA643" s="8" t="e">
        <f>+VLOOKUP(I643,[1]SKU!$H$2:$I$97,2,0)</f>
        <v>#N/A</v>
      </c>
    </row>
    <row r="644" spans="24:27">
      <c r="X644" s="8" t="str">
        <f>+IFERROR(VLOOKUP(N644,[1]Hoja1!$B$2:$F$52,4,0)*P644,"")</f>
        <v/>
      </c>
      <c r="Y644" s="8" t="e">
        <f>+VLOOKUP(M644,[1]SKU!$B$3:$E$81,4,0)</f>
        <v>#N/A</v>
      </c>
      <c r="Z644" s="8" t="str">
        <f t="shared" si="10"/>
        <v>FLEX</v>
      </c>
      <c r="AA644" s="8" t="e">
        <f>+VLOOKUP(I644,[1]SKU!$H$2:$I$97,2,0)</f>
        <v>#N/A</v>
      </c>
    </row>
    <row r="645" spans="24:27">
      <c r="X645" s="8" t="str">
        <f>+IFERROR(VLOOKUP(N645,[1]Hoja1!$B$2:$F$52,4,0)*P645,"")</f>
        <v/>
      </c>
      <c r="Y645" s="8" t="e">
        <f>+VLOOKUP(M645,[1]SKU!$B$3:$E$81,4,0)</f>
        <v>#N/A</v>
      </c>
      <c r="Z645" s="8" t="str">
        <f t="shared" si="10"/>
        <v>FLEX</v>
      </c>
      <c r="AA645" s="8" t="e">
        <f>+VLOOKUP(I645,[1]SKU!$H$2:$I$97,2,0)</f>
        <v>#N/A</v>
      </c>
    </row>
    <row r="646" spans="24:27">
      <c r="X646" s="8" t="str">
        <f>+IFERROR(VLOOKUP(N646,[1]Hoja1!$B$2:$F$52,4,0)*P646,"")</f>
        <v/>
      </c>
      <c r="Y646" s="8" t="e">
        <f>+VLOOKUP(M646,[1]SKU!$B$3:$E$81,4,0)</f>
        <v>#N/A</v>
      </c>
      <c r="Z646" s="8" t="str">
        <f t="shared" si="10"/>
        <v>FLEX</v>
      </c>
      <c r="AA646" s="8" t="e">
        <f>+VLOOKUP(I646,[1]SKU!$H$2:$I$97,2,0)</f>
        <v>#N/A</v>
      </c>
    </row>
    <row r="647" spans="24:27">
      <c r="X647" s="8" t="str">
        <f>+IFERROR(VLOOKUP(N647,[1]Hoja1!$B$2:$F$52,4,0)*P647,"")</f>
        <v/>
      </c>
      <c r="Y647" s="8" t="e">
        <f>+VLOOKUP(M647,[1]SKU!$B$3:$E$81,4,0)</f>
        <v>#N/A</v>
      </c>
      <c r="Z647" s="8" t="str">
        <f t="shared" si="10"/>
        <v>FLEX</v>
      </c>
      <c r="AA647" s="8" t="e">
        <f>+VLOOKUP(I647,[1]SKU!$H$2:$I$97,2,0)</f>
        <v>#N/A</v>
      </c>
    </row>
    <row r="648" spans="24:27">
      <c r="X648" s="8" t="str">
        <f>+IFERROR(VLOOKUP(N648,[1]Hoja1!$B$2:$F$52,4,0)*P648,"")</f>
        <v/>
      </c>
      <c r="Y648" s="8" t="e">
        <f>+VLOOKUP(M648,[1]SKU!$B$3:$E$81,4,0)</f>
        <v>#N/A</v>
      </c>
      <c r="Z648" s="8" t="str">
        <f t="shared" si="10"/>
        <v>FLEX</v>
      </c>
      <c r="AA648" s="8" t="e">
        <f>+VLOOKUP(I648,[1]SKU!$H$2:$I$97,2,0)</f>
        <v>#N/A</v>
      </c>
    </row>
    <row r="649" spans="24:27">
      <c r="X649" s="8" t="str">
        <f>+IFERROR(VLOOKUP(N649,[1]Hoja1!$B$2:$F$52,4,0)*P649,"")</f>
        <v/>
      </c>
      <c r="Y649" s="8" t="e">
        <f>+VLOOKUP(M649,[1]SKU!$B$3:$E$81,4,0)</f>
        <v>#N/A</v>
      </c>
      <c r="Z649" s="8" t="str">
        <f t="shared" si="10"/>
        <v>FLEX</v>
      </c>
      <c r="AA649" s="8" t="e">
        <f>+VLOOKUP(I649,[1]SKU!$H$2:$I$97,2,0)</f>
        <v>#N/A</v>
      </c>
    </row>
    <row r="650" spans="24:27">
      <c r="X650" s="8" t="str">
        <f>+IFERROR(VLOOKUP(N650,[1]Hoja1!$B$2:$F$52,4,0)*P650,"")</f>
        <v/>
      </c>
      <c r="Y650" s="8" t="e">
        <f>+VLOOKUP(M650,[1]SKU!$B$3:$E$81,4,0)</f>
        <v>#N/A</v>
      </c>
      <c r="Z650" s="8" t="str">
        <f t="shared" si="10"/>
        <v>FLEX</v>
      </c>
      <c r="AA650" s="8" t="e">
        <f>+VLOOKUP(I650,[1]SKU!$H$2:$I$97,2,0)</f>
        <v>#N/A</v>
      </c>
    </row>
    <row r="651" spans="24:27">
      <c r="X651" s="8" t="str">
        <f>+IFERROR(VLOOKUP(N651,[1]Hoja1!$B$2:$F$52,4,0)*P651,"")</f>
        <v/>
      </c>
      <c r="Y651" s="8" t="e">
        <f>+VLOOKUP(M651,[1]SKU!$B$3:$E$81,4,0)</f>
        <v>#N/A</v>
      </c>
      <c r="Z651" s="8" t="str">
        <f t="shared" si="10"/>
        <v>FLEX</v>
      </c>
      <c r="AA651" s="8" t="e">
        <f>+VLOOKUP(I651,[1]SKU!$H$2:$I$97,2,0)</f>
        <v>#N/A</v>
      </c>
    </row>
    <row r="652" spans="24:27">
      <c r="X652" s="8" t="str">
        <f>+IFERROR(VLOOKUP(N652,[1]Hoja1!$B$2:$F$52,4,0)*P652,"")</f>
        <v/>
      </c>
      <c r="Y652" s="8" t="e">
        <f>+VLOOKUP(M652,[1]SKU!$B$3:$E$81,4,0)</f>
        <v>#N/A</v>
      </c>
      <c r="Z652" s="8" t="str">
        <f t="shared" si="10"/>
        <v>FLEX</v>
      </c>
      <c r="AA652" s="8" t="e">
        <f>+VLOOKUP(I652,[1]SKU!$H$2:$I$97,2,0)</f>
        <v>#N/A</v>
      </c>
    </row>
    <row r="653" spans="24:27">
      <c r="X653" s="8" t="str">
        <f>+IFERROR(VLOOKUP(N653,[1]Hoja1!$B$2:$F$52,4,0)*P653,"")</f>
        <v/>
      </c>
      <c r="Y653" s="8" t="e">
        <f>+VLOOKUP(M653,[1]SKU!$B$3:$E$81,4,0)</f>
        <v>#N/A</v>
      </c>
      <c r="Z653" s="8" t="str">
        <f t="shared" si="10"/>
        <v>FLEX</v>
      </c>
      <c r="AA653" s="8" t="e">
        <f>+VLOOKUP(I653,[1]SKU!$H$2:$I$97,2,0)</f>
        <v>#N/A</v>
      </c>
    </row>
    <row r="654" spans="24:27">
      <c r="X654" s="8" t="str">
        <f>+IFERROR(VLOOKUP(N654,[1]Hoja1!$B$2:$F$52,4,0)*P654,"")</f>
        <v/>
      </c>
      <c r="Y654" s="8" t="e">
        <f>+VLOOKUP(M654,[1]SKU!$B$3:$E$81,4,0)</f>
        <v>#N/A</v>
      </c>
      <c r="Z654" s="8" t="str">
        <f t="shared" si="10"/>
        <v>FLEX</v>
      </c>
      <c r="AA654" s="8" t="e">
        <f>+VLOOKUP(I654,[1]SKU!$H$2:$I$97,2,0)</f>
        <v>#N/A</v>
      </c>
    </row>
    <row r="655" spans="24:27">
      <c r="X655" s="8" t="str">
        <f>+IFERROR(VLOOKUP(N655,[1]Hoja1!$B$2:$F$52,4,0)*P655,"")</f>
        <v/>
      </c>
      <c r="Y655" s="8" t="e">
        <f>+VLOOKUP(M655,[1]SKU!$B$3:$E$81,4,0)</f>
        <v>#N/A</v>
      </c>
      <c r="Z655" s="8" t="str">
        <f t="shared" si="10"/>
        <v>FLEX</v>
      </c>
      <c r="AA655" s="8" t="e">
        <f>+VLOOKUP(I655,[1]SKU!$H$2:$I$97,2,0)</f>
        <v>#N/A</v>
      </c>
    </row>
    <row r="656" spans="24:27">
      <c r="X656" s="8" t="str">
        <f>+IFERROR(VLOOKUP(N656,[1]Hoja1!$B$2:$F$52,4,0)*P656,"")</f>
        <v/>
      </c>
      <c r="Y656" s="8" t="e">
        <f>+VLOOKUP(M656,[1]SKU!$B$3:$E$81,4,0)</f>
        <v>#N/A</v>
      </c>
      <c r="Z656" s="8" t="str">
        <f t="shared" si="10"/>
        <v>FLEX</v>
      </c>
      <c r="AA656" s="8" t="e">
        <f>+VLOOKUP(I656,[1]SKU!$H$2:$I$97,2,0)</f>
        <v>#N/A</v>
      </c>
    </row>
    <row r="657" spans="24:27">
      <c r="X657" s="8" t="str">
        <f>+IFERROR(VLOOKUP(N657,[1]Hoja1!$B$2:$F$52,4,0)*P657,"")</f>
        <v/>
      </c>
      <c r="Y657" s="8" t="e">
        <f>+VLOOKUP(M657,[1]SKU!$B$3:$E$81,4,0)</f>
        <v>#N/A</v>
      </c>
      <c r="Z657" s="8" t="str">
        <f t="shared" si="10"/>
        <v>FLEX</v>
      </c>
      <c r="AA657" s="8" t="e">
        <f>+VLOOKUP(I657,[1]SKU!$H$2:$I$97,2,0)</f>
        <v>#N/A</v>
      </c>
    </row>
    <row r="658" spans="24:27">
      <c r="X658" s="8" t="str">
        <f>+IFERROR(VLOOKUP(N658,[1]Hoja1!$B$2:$F$52,4,0)*P658,"")</f>
        <v/>
      </c>
      <c r="Y658" s="8" t="e">
        <f>+VLOOKUP(M658,[1]SKU!$B$3:$E$81,4,0)</f>
        <v>#N/A</v>
      </c>
      <c r="Z658" s="8" t="str">
        <f t="shared" si="10"/>
        <v>FLEX</v>
      </c>
      <c r="AA658" s="8" t="e">
        <f>+VLOOKUP(I658,[1]SKU!$H$2:$I$97,2,0)</f>
        <v>#N/A</v>
      </c>
    </row>
    <row r="659" spans="24:27">
      <c r="X659" s="8" t="str">
        <f>+IFERROR(VLOOKUP(N659,[1]Hoja1!$B$2:$F$52,4,0)*P659,"")</f>
        <v/>
      </c>
      <c r="Y659" s="8" t="e">
        <f>+VLOOKUP(M659,[1]SKU!$B$3:$E$81,4,0)</f>
        <v>#N/A</v>
      </c>
      <c r="Z659" s="8" t="str">
        <f t="shared" si="10"/>
        <v>FLEX</v>
      </c>
      <c r="AA659" s="8" t="e">
        <f>+VLOOKUP(I659,[1]SKU!$H$2:$I$97,2,0)</f>
        <v>#N/A</v>
      </c>
    </row>
    <row r="660" spans="24:27">
      <c r="X660" s="8" t="str">
        <f>+IFERROR(VLOOKUP(N660,[1]Hoja1!$B$2:$F$52,4,0)*P660,"")</f>
        <v/>
      </c>
      <c r="Y660" s="8" t="e">
        <f>+VLOOKUP(M660,[1]SKU!$B$3:$E$81,4,0)</f>
        <v>#N/A</v>
      </c>
      <c r="Z660" s="8" t="str">
        <f t="shared" si="10"/>
        <v>FLEX</v>
      </c>
      <c r="AA660" s="8" t="e">
        <f>+VLOOKUP(I660,[1]SKU!$H$2:$I$97,2,0)</f>
        <v>#N/A</v>
      </c>
    </row>
    <row r="661" spans="24:27">
      <c r="X661" s="8" t="str">
        <f>+IFERROR(VLOOKUP(N661,[1]Hoja1!$B$2:$F$52,4,0)*P661,"")</f>
        <v/>
      </c>
      <c r="Y661" s="8" t="e">
        <f>+VLOOKUP(M661,[1]SKU!$B$3:$E$81,4,0)</f>
        <v>#N/A</v>
      </c>
      <c r="Z661" s="8" t="str">
        <f t="shared" si="10"/>
        <v>FLEX</v>
      </c>
      <c r="AA661" s="8" t="e">
        <f>+VLOOKUP(I661,[1]SKU!$H$2:$I$97,2,0)</f>
        <v>#N/A</v>
      </c>
    </row>
    <row r="662" spans="24:27">
      <c r="X662" s="8" t="str">
        <f>+IFERROR(VLOOKUP(N662,[1]Hoja1!$B$2:$F$52,4,0)*P662,"")</f>
        <v/>
      </c>
      <c r="Y662" s="8" t="e">
        <f>+VLOOKUP(M662,[1]SKU!$B$3:$E$81,4,0)</f>
        <v>#N/A</v>
      </c>
      <c r="Z662" s="8" t="str">
        <f t="shared" si="10"/>
        <v>FLEX</v>
      </c>
      <c r="AA662" s="8" t="e">
        <f>+VLOOKUP(I662,[1]SKU!$H$2:$I$97,2,0)</f>
        <v>#N/A</v>
      </c>
    </row>
    <row r="663" spans="24:27">
      <c r="X663" s="8" t="str">
        <f>+IFERROR(VLOOKUP(N663,[1]Hoja1!$B$2:$F$52,4,0)*P663,"")</f>
        <v/>
      </c>
      <c r="Y663" s="8" t="e">
        <f>+VLOOKUP(M663,[1]SKU!$B$3:$E$81,4,0)</f>
        <v>#N/A</v>
      </c>
      <c r="Z663" s="8" t="str">
        <f t="shared" si="10"/>
        <v>FLEX</v>
      </c>
      <c r="AA663" s="8" t="e">
        <f>+VLOOKUP(I663,[1]SKU!$H$2:$I$97,2,0)</f>
        <v>#N/A</v>
      </c>
    </row>
    <row r="664" spans="24:27">
      <c r="X664" s="8" t="str">
        <f>+IFERROR(VLOOKUP(N664,[1]Hoja1!$B$2:$F$52,4,0)*P664,"")</f>
        <v/>
      </c>
      <c r="Y664" s="8" t="e">
        <f>+VLOOKUP(M664,[1]SKU!$B$3:$E$81,4,0)</f>
        <v>#N/A</v>
      </c>
      <c r="Z664" s="8" t="str">
        <f t="shared" si="10"/>
        <v>FLEX</v>
      </c>
      <c r="AA664" s="8" t="e">
        <f>+VLOOKUP(I664,[1]SKU!$H$2:$I$97,2,0)</f>
        <v>#N/A</v>
      </c>
    </row>
    <row r="665" spans="24:27">
      <c r="X665" s="8" t="str">
        <f>+IFERROR(VLOOKUP(N665,[1]Hoja1!$B$2:$F$52,4,0)*P665,"")</f>
        <v/>
      </c>
      <c r="Y665" s="8" t="e">
        <f>+VLOOKUP(M665,[1]SKU!$B$3:$E$81,4,0)</f>
        <v>#N/A</v>
      </c>
      <c r="Z665" s="8" t="str">
        <f t="shared" si="10"/>
        <v>FLEX</v>
      </c>
      <c r="AA665" s="8" t="e">
        <f>+VLOOKUP(I665,[1]SKU!$H$2:$I$97,2,0)</f>
        <v>#N/A</v>
      </c>
    </row>
    <row r="666" spans="24:27">
      <c r="X666" s="8" t="str">
        <f>+IFERROR(VLOOKUP(N666,[1]Hoja1!$B$2:$F$52,4,0)*P666,"")</f>
        <v/>
      </c>
      <c r="Y666" s="8" t="e">
        <f>+VLOOKUP(M666,[1]SKU!$B$3:$E$81,4,0)</f>
        <v>#N/A</v>
      </c>
      <c r="Z666" s="8" t="str">
        <f t="shared" si="10"/>
        <v>FLEX</v>
      </c>
      <c r="AA666" s="8" t="e">
        <f>+VLOOKUP(I666,[1]SKU!$H$2:$I$97,2,0)</f>
        <v>#N/A</v>
      </c>
    </row>
    <row r="667" spans="24:27">
      <c r="X667" s="8" t="str">
        <f>+IFERROR(VLOOKUP(N667,[1]Hoja1!$B$2:$F$52,4,0)*P667,"")</f>
        <v/>
      </c>
      <c r="Y667" s="8" t="e">
        <f>+VLOOKUP(M667,[1]SKU!$B$3:$E$81,4,0)</f>
        <v>#N/A</v>
      </c>
      <c r="Z667" s="8" t="str">
        <f t="shared" si="10"/>
        <v>FLEX</v>
      </c>
      <c r="AA667" s="8" t="e">
        <f>+VLOOKUP(I667,[1]SKU!$H$2:$I$97,2,0)</f>
        <v>#N/A</v>
      </c>
    </row>
    <row r="668" spans="24:27">
      <c r="X668" s="8" t="str">
        <f>+IFERROR(VLOOKUP(N668,[1]Hoja1!$B$2:$F$52,4,0)*P668,"")</f>
        <v/>
      </c>
      <c r="Y668" s="8" t="e">
        <f>+VLOOKUP(M668,[1]SKU!$B$3:$E$81,4,0)</f>
        <v>#N/A</v>
      </c>
      <c r="Z668" s="8" t="str">
        <f t="shared" si="10"/>
        <v>FLEX</v>
      </c>
      <c r="AA668" s="8" t="e">
        <f>+VLOOKUP(I668,[1]SKU!$H$2:$I$97,2,0)</f>
        <v>#N/A</v>
      </c>
    </row>
    <row r="669" spans="24:27">
      <c r="X669" s="8" t="str">
        <f>+IFERROR(VLOOKUP(N669,[1]Hoja1!$B$2:$F$52,4,0)*P669,"")</f>
        <v/>
      </c>
      <c r="Y669" s="8" t="e">
        <f>+VLOOKUP(M669,[1]SKU!$B$3:$E$81,4,0)</f>
        <v>#N/A</v>
      </c>
      <c r="Z669" s="8" t="str">
        <f t="shared" si="10"/>
        <v>FLEX</v>
      </c>
      <c r="AA669" s="8" t="e">
        <f>+VLOOKUP(I669,[1]SKU!$H$2:$I$97,2,0)</f>
        <v>#N/A</v>
      </c>
    </row>
    <row r="670" spans="24:27">
      <c r="X670" s="8" t="str">
        <f>+IFERROR(VLOOKUP(N670,[1]Hoja1!$B$2:$F$52,4,0)*P670,"")</f>
        <v/>
      </c>
      <c r="Y670" s="8" t="e">
        <f>+VLOOKUP(M670,[1]SKU!$B$3:$E$81,4,0)</f>
        <v>#N/A</v>
      </c>
      <c r="Z670" s="8" t="str">
        <f t="shared" si="10"/>
        <v>FLEX</v>
      </c>
      <c r="AA670" s="8" t="e">
        <f>+VLOOKUP(I670,[1]SKU!$H$2:$I$97,2,0)</f>
        <v>#N/A</v>
      </c>
    </row>
    <row r="671" spans="24:27">
      <c r="X671" s="8" t="str">
        <f>+IFERROR(VLOOKUP(N671,[1]Hoja1!$B$2:$F$52,4,0)*P671,"")</f>
        <v/>
      </c>
      <c r="Y671" s="8" t="e">
        <f>+VLOOKUP(M671,[1]SKU!$B$3:$E$81,4,0)</f>
        <v>#N/A</v>
      </c>
      <c r="Z671" s="8" t="str">
        <f t="shared" si="10"/>
        <v>FLEX</v>
      </c>
      <c r="AA671" s="8" t="e">
        <f>+VLOOKUP(I671,[1]SKU!$H$2:$I$97,2,0)</f>
        <v>#N/A</v>
      </c>
    </row>
    <row r="672" spans="24:27">
      <c r="X672" s="8" t="str">
        <f>+IFERROR(VLOOKUP(N672,[1]Hoja1!$B$2:$F$52,4,0)*P672,"")</f>
        <v/>
      </c>
      <c r="Y672" s="8" t="e">
        <f>+VLOOKUP(M672,[1]SKU!$B$3:$E$81,4,0)</f>
        <v>#N/A</v>
      </c>
      <c r="Z672" s="8" t="str">
        <f t="shared" si="10"/>
        <v>FLEX</v>
      </c>
      <c r="AA672" s="8" t="e">
        <f>+VLOOKUP(I672,[1]SKU!$H$2:$I$97,2,0)</f>
        <v>#N/A</v>
      </c>
    </row>
    <row r="673" spans="24:27">
      <c r="X673" s="8" t="str">
        <f>+IFERROR(VLOOKUP(N673,[1]Hoja1!$B$2:$F$52,4,0)*P673,"")</f>
        <v/>
      </c>
      <c r="Y673" s="8" t="e">
        <f>+VLOOKUP(M673,[1]SKU!$B$3:$E$81,4,0)</f>
        <v>#N/A</v>
      </c>
      <c r="Z673" s="8" t="str">
        <f t="shared" si="10"/>
        <v>FLEX</v>
      </c>
      <c r="AA673" s="8" t="e">
        <f>+VLOOKUP(I673,[1]SKU!$H$2:$I$97,2,0)</f>
        <v>#N/A</v>
      </c>
    </row>
    <row r="674" spans="24:27">
      <c r="X674" s="8" t="str">
        <f>+IFERROR(VLOOKUP(N674,[1]Hoja1!$B$2:$F$52,4,0)*P674,"")</f>
        <v/>
      </c>
      <c r="Y674" s="8" t="e">
        <f>+VLOOKUP(M674,[1]SKU!$B$3:$E$81,4,0)</f>
        <v>#N/A</v>
      </c>
      <c r="Z674" s="8" t="str">
        <f t="shared" si="10"/>
        <v>FLEX</v>
      </c>
      <c r="AA674" s="8" t="e">
        <f>+VLOOKUP(I674,[1]SKU!$H$2:$I$97,2,0)</f>
        <v>#N/A</v>
      </c>
    </row>
    <row r="675" spans="24:27">
      <c r="X675" s="8" t="str">
        <f>+IFERROR(VLOOKUP(N675,[1]Hoja1!$B$2:$F$52,4,0)*P675,"")</f>
        <v/>
      </c>
      <c r="Y675" s="8" t="e">
        <f>+VLOOKUP(M675,[1]SKU!$B$3:$E$81,4,0)</f>
        <v>#N/A</v>
      </c>
      <c r="Z675" s="8" t="str">
        <f t="shared" si="10"/>
        <v>FLEX</v>
      </c>
      <c r="AA675" s="8" t="e">
        <f>+VLOOKUP(I675,[1]SKU!$H$2:$I$97,2,0)</f>
        <v>#N/A</v>
      </c>
    </row>
    <row r="676" spans="24:27">
      <c r="X676" s="8" t="str">
        <f>+IFERROR(VLOOKUP(N676,[1]Hoja1!$B$2:$F$52,4,0)*P676,"")</f>
        <v/>
      </c>
      <c r="Y676" s="8" t="e">
        <f>+VLOOKUP(M676,[1]SKU!$B$3:$E$81,4,0)</f>
        <v>#N/A</v>
      </c>
      <c r="Z676" s="8" t="str">
        <f t="shared" si="10"/>
        <v>FLEX</v>
      </c>
      <c r="AA676" s="8" t="e">
        <f>+VLOOKUP(I676,[1]SKU!$H$2:$I$97,2,0)</f>
        <v>#N/A</v>
      </c>
    </row>
    <row r="677" spans="24:27">
      <c r="X677" s="8" t="str">
        <f>+IFERROR(VLOOKUP(N677,[1]Hoja1!$B$2:$F$52,4,0)*P677,"")</f>
        <v/>
      </c>
      <c r="Y677" s="8" t="e">
        <f>+VLOOKUP(M677,[1]SKU!$B$3:$E$81,4,0)</f>
        <v>#N/A</v>
      </c>
      <c r="Z677" s="8" t="str">
        <f t="shared" si="10"/>
        <v>FLEX</v>
      </c>
      <c r="AA677" s="8" t="e">
        <f>+VLOOKUP(I677,[1]SKU!$H$2:$I$97,2,0)</f>
        <v>#N/A</v>
      </c>
    </row>
    <row r="678" spans="24:27">
      <c r="X678" s="8" t="str">
        <f>+IFERROR(VLOOKUP(N678,[1]Hoja1!$B$2:$F$52,4,0)*P678,"")</f>
        <v/>
      </c>
      <c r="Y678" s="8" t="e">
        <f>+VLOOKUP(M678,[1]SKU!$B$3:$E$81,4,0)</f>
        <v>#N/A</v>
      </c>
      <c r="Z678" s="8" t="str">
        <f t="shared" si="10"/>
        <v>FLEX</v>
      </c>
      <c r="AA678" s="8" t="e">
        <f>+VLOOKUP(I678,[1]SKU!$H$2:$I$97,2,0)</f>
        <v>#N/A</v>
      </c>
    </row>
    <row r="679" spans="24:27">
      <c r="X679" s="8" t="str">
        <f>+IFERROR(VLOOKUP(N679,[1]Hoja1!$B$2:$F$52,4,0)*P679,"")</f>
        <v/>
      </c>
      <c r="Y679" s="8" t="e">
        <f>+VLOOKUP(M679,[1]SKU!$B$3:$E$81,4,0)</f>
        <v>#N/A</v>
      </c>
      <c r="Z679" s="8" t="str">
        <f t="shared" si="10"/>
        <v>FLEX</v>
      </c>
      <c r="AA679" s="8" t="e">
        <f>+VLOOKUP(I679,[1]SKU!$H$2:$I$97,2,0)</f>
        <v>#N/A</v>
      </c>
    </row>
    <row r="680" spans="24:27">
      <c r="X680" s="8" t="str">
        <f>+IFERROR(VLOOKUP(N680,[1]Hoja1!$B$2:$F$52,4,0)*P680,"")</f>
        <v/>
      </c>
      <c r="Y680" s="8" t="e">
        <f>+VLOOKUP(M680,[1]SKU!$B$3:$E$81,4,0)</f>
        <v>#N/A</v>
      </c>
      <c r="Z680" s="8" t="str">
        <f t="shared" si="10"/>
        <v>FLEX</v>
      </c>
      <c r="AA680" s="8" t="e">
        <f>+VLOOKUP(I680,[1]SKU!$H$2:$I$97,2,0)</f>
        <v>#N/A</v>
      </c>
    </row>
    <row r="681" spans="24:27">
      <c r="X681" s="8" t="str">
        <f>+IFERROR(VLOOKUP(N681,[1]Hoja1!$B$2:$F$52,4,0)*P681,"")</f>
        <v/>
      </c>
      <c r="Y681" s="8" t="e">
        <f>+VLOOKUP(M681,[1]SKU!$B$3:$E$81,4,0)</f>
        <v>#N/A</v>
      </c>
      <c r="Z681" s="8" t="str">
        <f t="shared" si="10"/>
        <v>FLEX</v>
      </c>
      <c r="AA681" s="8" t="e">
        <f>+VLOOKUP(I681,[1]SKU!$H$2:$I$97,2,0)</f>
        <v>#N/A</v>
      </c>
    </row>
    <row r="682" spans="24:27">
      <c r="X682" s="8" t="str">
        <f>+IFERROR(VLOOKUP(N682,[1]Hoja1!$B$2:$F$52,4,0)*P682,"")</f>
        <v/>
      </c>
      <c r="Y682" s="8" t="e">
        <f>+VLOOKUP(M682,[1]SKU!$B$3:$E$81,4,0)</f>
        <v>#N/A</v>
      </c>
      <c r="Z682" s="8" t="str">
        <f t="shared" si="10"/>
        <v>FLEX</v>
      </c>
      <c r="AA682" s="8" t="e">
        <f>+VLOOKUP(I682,[1]SKU!$H$2:$I$97,2,0)</f>
        <v>#N/A</v>
      </c>
    </row>
    <row r="683" spans="24:27">
      <c r="X683" s="8" t="str">
        <f>+IFERROR(VLOOKUP(N683,[1]Hoja1!$B$2:$F$52,4,0)*P683,"")</f>
        <v/>
      </c>
      <c r="Y683" s="8" t="e">
        <f>+VLOOKUP(M683,[1]SKU!$B$3:$E$81,4,0)</f>
        <v>#N/A</v>
      </c>
      <c r="Z683" s="8" t="str">
        <f t="shared" si="10"/>
        <v>FLEX</v>
      </c>
      <c r="AA683" s="8" t="e">
        <f>+VLOOKUP(I683,[1]SKU!$H$2:$I$97,2,0)</f>
        <v>#N/A</v>
      </c>
    </row>
    <row r="684" spans="24:27">
      <c r="X684" s="8" t="str">
        <f>+IFERROR(VLOOKUP(N684,[1]Hoja1!$B$2:$F$52,4,0)*P684,"")</f>
        <v/>
      </c>
      <c r="Y684" s="8" t="e">
        <f>+VLOOKUP(M684,[1]SKU!$B$3:$E$81,4,0)</f>
        <v>#N/A</v>
      </c>
      <c r="Z684" s="8" t="str">
        <f t="shared" si="10"/>
        <v>FLEX</v>
      </c>
      <c r="AA684" s="8" t="e">
        <f>+VLOOKUP(I684,[1]SKU!$H$2:$I$97,2,0)</f>
        <v>#N/A</v>
      </c>
    </row>
    <row r="685" spans="24:27">
      <c r="X685" s="8" t="str">
        <f>+IFERROR(VLOOKUP(N685,[1]Hoja1!$B$2:$F$52,4,0)*P685,"")</f>
        <v/>
      </c>
      <c r="Y685" s="8" t="e">
        <f>+VLOOKUP(M685,[1]SKU!$B$3:$E$81,4,0)</f>
        <v>#N/A</v>
      </c>
      <c r="Z685" s="8" t="str">
        <f t="shared" si="10"/>
        <v>FLEX</v>
      </c>
      <c r="AA685" s="8" t="e">
        <f>+VLOOKUP(I685,[1]SKU!$H$2:$I$97,2,0)</f>
        <v>#N/A</v>
      </c>
    </row>
    <row r="686" spans="24:27">
      <c r="X686" s="8" t="str">
        <f>+IFERROR(VLOOKUP(N686,[1]Hoja1!$B$2:$F$52,4,0)*P686,"")</f>
        <v/>
      </c>
      <c r="Y686" s="8" t="e">
        <f>+VLOOKUP(M686,[1]SKU!$B$3:$E$81,4,0)</f>
        <v>#N/A</v>
      </c>
      <c r="Z686" s="8" t="str">
        <f t="shared" si="10"/>
        <v>FLEX</v>
      </c>
      <c r="AA686" s="8" t="e">
        <f>+VLOOKUP(I686,[1]SKU!$H$2:$I$97,2,0)</f>
        <v>#N/A</v>
      </c>
    </row>
    <row r="687" spans="24:27">
      <c r="X687" s="8" t="str">
        <f>+IFERROR(VLOOKUP(N687,[1]Hoja1!$B$2:$F$52,4,0)*P687,"")</f>
        <v/>
      </c>
      <c r="Y687" s="8" t="e">
        <f>+VLOOKUP(M687,[1]SKU!$B$3:$E$81,4,0)</f>
        <v>#N/A</v>
      </c>
      <c r="Z687" s="8" t="str">
        <f t="shared" si="10"/>
        <v>FLEX</v>
      </c>
      <c r="AA687" s="8" t="e">
        <f>+VLOOKUP(I687,[1]SKU!$H$2:$I$97,2,0)</f>
        <v>#N/A</v>
      </c>
    </row>
    <row r="688" spans="24:27">
      <c r="X688" s="8" t="str">
        <f>+IFERROR(VLOOKUP(N688,[1]Hoja1!$B$2:$F$52,4,0)*P688,"")</f>
        <v/>
      </c>
      <c r="Y688" s="8" t="e">
        <f>+VLOOKUP(M688,[1]SKU!$B$3:$E$81,4,0)</f>
        <v>#N/A</v>
      </c>
      <c r="Z688" s="8" t="str">
        <f t="shared" si="10"/>
        <v>FLEX</v>
      </c>
      <c r="AA688" s="8" t="e">
        <f>+VLOOKUP(I688,[1]SKU!$H$2:$I$97,2,0)</f>
        <v>#N/A</v>
      </c>
    </row>
    <row r="689" spans="24:27">
      <c r="X689" s="8" t="str">
        <f>+IFERROR(VLOOKUP(N689,[1]Hoja1!$B$2:$F$52,4,0)*P689,"")</f>
        <v/>
      </c>
      <c r="Y689" s="8" t="e">
        <f>+VLOOKUP(M689,[1]SKU!$B$3:$E$81,4,0)</f>
        <v>#N/A</v>
      </c>
      <c r="Z689" s="8" t="str">
        <f t="shared" si="10"/>
        <v>FLEX</v>
      </c>
      <c r="AA689" s="8" t="e">
        <f>+VLOOKUP(I689,[1]SKU!$H$2:$I$97,2,0)</f>
        <v>#N/A</v>
      </c>
    </row>
    <row r="690" spans="24:27">
      <c r="X690" s="8" t="str">
        <f>+IFERROR(VLOOKUP(N690,[1]Hoja1!$B$2:$F$52,4,0)*P690,"")</f>
        <v/>
      </c>
      <c r="Y690" s="8" t="e">
        <f>+VLOOKUP(M690,[1]SKU!$B$3:$E$81,4,0)</f>
        <v>#N/A</v>
      </c>
      <c r="Z690" s="8" t="str">
        <f t="shared" si="10"/>
        <v>FLEX</v>
      </c>
      <c r="AA690" s="8" t="e">
        <f>+VLOOKUP(I690,[1]SKU!$H$2:$I$97,2,0)</f>
        <v>#N/A</v>
      </c>
    </row>
    <row r="691" spans="24:27">
      <c r="X691" s="8" t="str">
        <f>+IFERROR(VLOOKUP(N691,[1]Hoja1!$B$2:$F$52,4,0)*P691,"")</f>
        <v/>
      </c>
      <c r="Y691" s="8" t="e">
        <f>+VLOOKUP(M691,[1]SKU!$B$3:$E$81,4,0)</f>
        <v>#N/A</v>
      </c>
      <c r="Z691" s="8" t="str">
        <f t="shared" si="10"/>
        <v>FLEX</v>
      </c>
      <c r="AA691" s="8" t="e">
        <f>+VLOOKUP(I691,[1]SKU!$H$2:$I$97,2,0)</f>
        <v>#N/A</v>
      </c>
    </row>
    <row r="692" spans="24:27">
      <c r="X692" s="8" t="str">
        <f>+IFERROR(VLOOKUP(N692,[1]Hoja1!$B$2:$F$52,4,0)*P692,"")</f>
        <v/>
      </c>
      <c r="Y692" s="8" t="e">
        <f>+VLOOKUP(M692,[1]SKU!$B$3:$E$81,4,0)</f>
        <v>#N/A</v>
      </c>
      <c r="Z692" s="8" t="str">
        <f t="shared" si="10"/>
        <v>FLEX</v>
      </c>
      <c r="AA692" s="8" t="e">
        <f>+VLOOKUP(I692,[1]SKU!$H$2:$I$97,2,0)</f>
        <v>#N/A</v>
      </c>
    </row>
    <row r="693" spans="24:27">
      <c r="X693" s="8" t="str">
        <f>+IFERROR(VLOOKUP(N693,[1]Hoja1!$B$2:$F$52,4,0)*P693,"")</f>
        <v/>
      </c>
      <c r="Y693" s="8" t="e">
        <f>+VLOOKUP(M693,[1]SKU!$B$3:$E$81,4,0)</f>
        <v>#N/A</v>
      </c>
      <c r="Z693" s="8" t="str">
        <f t="shared" si="10"/>
        <v>FLEX</v>
      </c>
      <c r="AA693" s="8" t="e">
        <f>+VLOOKUP(I693,[1]SKU!$H$2:$I$97,2,0)</f>
        <v>#N/A</v>
      </c>
    </row>
    <row r="694" spans="24:27">
      <c r="X694" s="8" t="str">
        <f>+IFERROR(VLOOKUP(N694,[1]Hoja1!$B$2:$F$52,4,0)*P694,"")</f>
        <v/>
      </c>
      <c r="Y694" s="8" t="e">
        <f>+VLOOKUP(M694,[1]SKU!$B$3:$E$81,4,0)</f>
        <v>#N/A</v>
      </c>
      <c r="Z694" s="8" t="str">
        <f t="shared" si="10"/>
        <v>FLEX</v>
      </c>
      <c r="AA694" s="8" t="e">
        <f>+VLOOKUP(I694,[1]SKU!$H$2:$I$97,2,0)</f>
        <v>#N/A</v>
      </c>
    </row>
    <row r="695" spans="24:27">
      <c r="X695" s="8" t="str">
        <f>+IFERROR(VLOOKUP(N695,[1]Hoja1!$B$2:$F$52,4,0)*P695,"")</f>
        <v/>
      </c>
      <c r="Y695" s="8" t="e">
        <f>+VLOOKUP(M695,[1]SKU!$B$3:$E$81,4,0)</f>
        <v>#N/A</v>
      </c>
      <c r="Z695" s="8" t="str">
        <f t="shared" si="10"/>
        <v>FLEX</v>
      </c>
      <c r="AA695" s="8" t="e">
        <f>+VLOOKUP(I695,[1]SKU!$H$2:$I$97,2,0)</f>
        <v>#N/A</v>
      </c>
    </row>
    <row r="696" spans="24:27">
      <c r="X696" s="8" t="str">
        <f>+IFERROR(VLOOKUP(N696,[1]Hoja1!$B$2:$F$52,4,0)*P696,"")</f>
        <v/>
      </c>
      <c r="Y696" s="8" t="e">
        <f>+VLOOKUP(M696,[1]SKU!$B$3:$E$81,4,0)</f>
        <v>#N/A</v>
      </c>
      <c r="Z696" s="8" t="str">
        <f t="shared" si="10"/>
        <v>FLEX</v>
      </c>
      <c r="AA696" s="8" t="e">
        <f>+VLOOKUP(I696,[1]SKU!$H$2:$I$97,2,0)</f>
        <v>#N/A</v>
      </c>
    </row>
    <row r="697" spans="24:27">
      <c r="X697" s="8" t="str">
        <f>+IFERROR(VLOOKUP(N697,[1]Hoja1!$B$2:$F$52,4,0)*P697,"")</f>
        <v/>
      </c>
      <c r="Y697" s="8" t="e">
        <f>+VLOOKUP(M697,[1]SKU!$B$3:$E$81,4,0)</f>
        <v>#N/A</v>
      </c>
      <c r="Z697" s="8" t="str">
        <f t="shared" si="10"/>
        <v>FLEX</v>
      </c>
      <c r="AA697" s="8" t="e">
        <f>+VLOOKUP(I697,[1]SKU!$H$2:$I$97,2,0)</f>
        <v>#N/A</v>
      </c>
    </row>
    <row r="698" spans="24:27">
      <c r="X698" s="8" t="str">
        <f>+IFERROR(VLOOKUP(N698,[1]Hoja1!$B$2:$F$52,4,0)*P698,"")</f>
        <v/>
      </c>
      <c r="Y698" s="8" t="e">
        <f>+VLOOKUP(M698,[1]SKU!$B$3:$E$81,4,0)</f>
        <v>#N/A</v>
      </c>
      <c r="Z698" s="8" t="str">
        <f t="shared" si="10"/>
        <v>FLEX</v>
      </c>
      <c r="AA698" s="8" t="e">
        <f>+VLOOKUP(I698,[1]SKU!$H$2:$I$97,2,0)</f>
        <v>#N/A</v>
      </c>
    </row>
    <row r="699" spans="24:27">
      <c r="X699" s="8" t="str">
        <f>+IFERROR(VLOOKUP(N699,[1]Hoja1!$B$2:$F$52,4,0)*P699,"")</f>
        <v/>
      </c>
      <c r="Y699" s="8" t="e">
        <f>+VLOOKUP(M699,[1]SKU!$B$3:$E$81,4,0)</f>
        <v>#N/A</v>
      </c>
      <c r="Z699" s="8" t="str">
        <f t="shared" si="10"/>
        <v>FLEX</v>
      </c>
      <c r="AA699" s="8" t="e">
        <f>+VLOOKUP(I699,[1]SKU!$H$2:$I$97,2,0)</f>
        <v>#N/A</v>
      </c>
    </row>
    <row r="700" spans="24:27">
      <c r="X700" s="8" t="str">
        <f>+IFERROR(VLOOKUP(N700,[1]Hoja1!$B$2:$F$52,4,0)*P700,"")</f>
        <v/>
      </c>
      <c r="Y700" s="8" t="e">
        <f>+VLOOKUP(M700,[1]SKU!$B$3:$E$81,4,0)</f>
        <v>#N/A</v>
      </c>
      <c r="Z700" s="8" t="str">
        <f t="shared" si="10"/>
        <v>FLEX</v>
      </c>
      <c r="AA700" s="8" t="e">
        <f>+VLOOKUP(I700,[1]SKU!$H$2:$I$97,2,0)</f>
        <v>#N/A</v>
      </c>
    </row>
    <row r="701" spans="24:27">
      <c r="X701" s="8" t="str">
        <f>+IFERROR(VLOOKUP(N701,[1]Hoja1!$B$2:$F$52,4,0)*P701,"")</f>
        <v/>
      </c>
      <c r="Y701" s="8" t="e">
        <f>+VLOOKUP(M701,[1]SKU!$B$3:$E$81,4,0)</f>
        <v>#N/A</v>
      </c>
      <c r="Z701" s="8" t="str">
        <f t="shared" si="10"/>
        <v>FLEX</v>
      </c>
      <c r="AA701" s="8" t="e">
        <f>+VLOOKUP(I701,[1]SKU!$H$2:$I$97,2,0)</f>
        <v>#N/A</v>
      </c>
    </row>
    <row r="702" spans="24:27">
      <c r="X702" s="8" t="str">
        <f>+IFERROR(VLOOKUP(N702,[1]Hoja1!$B$2:$F$52,4,0)*P702,"")</f>
        <v/>
      </c>
      <c r="Y702" s="8" t="e">
        <f>+VLOOKUP(M702,[1]SKU!$B$3:$E$81,4,0)</f>
        <v>#N/A</v>
      </c>
      <c r="Z702" s="8" t="str">
        <f t="shared" si="10"/>
        <v>FLEX</v>
      </c>
      <c r="AA702" s="8" t="e">
        <f>+VLOOKUP(I702,[1]SKU!$H$2:$I$97,2,0)</f>
        <v>#N/A</v>
      </c>
    </row>
    <row r="703" spans="24:27">
      <c r="X703" s="8" t="str">
        <f>+IFERROR(VLOOKUP(N703,[1]Hoja1!$B$2:$F$52,4,0)*P703,"")</f>
        <v/>
      </c>
      <c r="Y703" s="8" t="e">
        <f>+VLOOKUP(M703,[1]SKU!$B$3:$E$81,4,0)</f>
        <v>#N/A</v>
      </c>
      <c r="Z703" s="8" t="str">
        <f t="shared" si="10"/>
        <v>FLEX</v>
      </c>
      <c r="AA703" s="8" t="e">
        <f>+VLOOKUP(I703,[1]SKU!$H$2:$I$97,2,0)</f>
        <v>#N/A</v>
      </c>
    </row>
    <row r="704" spans="24:27">
      <c r="X704" s="8" t="str">
        <f>+IFERROR(VLOOKUP(N704,[1]Hoja1!$B$2:$F$52,4,0)*P704,"")</f>
        <v/>
      </c>
      <c r="Y704" s="8" t="e">
        <f>+VLOOKUP(M704,[1]SKU!$B$3:$E$81,4,0)</f>
        <v>#N/A</v>
      </c>
      <c r="Z704" s="8" t="str">
        <f t="shared" si="10"/>
        <v>FLEX</v>
      </c>
      <c r="AA704" s="8" t="e">
        <f>+VLOOKUP(I704,[1]SKU!$H$2:$I$97,2,0)</f>
        <v>#N/A</v>
      </c>
    </row>
    <row r="705" spans="24:27">
      <c r="X705" s="8" t="str">
        <f>+IFERROR(VLOOKUP(N705,[1]Hoja1!$B$2:$F$52,4,0)*P705,"")</f>
        <v/>
      </c>
      <c r="Y705" s="8" t="e">
        <f>+VLOOKUP(M705,[1]SKU!$B$3:$E$81,4,0)</f>
        <v>#N/A</v>
      </c>
      <c r="Z705" s="8" t="str">
        <f t="shared" si="10"/>
        <v>FLEX</v>
      </c>
      <c r="AA705" s="8" t="e">
        <f>+VLOOKUP(I705,[1]SKU!$H$2:$I$97,2,0)</f>
        <v>#N/A</v>
      </c>
    </row>
    <row r="706" spans="24:27">
      <c r="X706" s="8" t="str">
        <f>+IFERROR(VLOOKUP(N706,[1]Hoja1!$B$2:$F$52,4,0)*P706,"")</f>
        <v/>
      </c>
      <c r="Y706" s="8" t="e">
        <f>+VLOOKUP(M706,[1]SKU!$B$3:$E$81,4,0)</f>
        <v>#N/A</v>
      </c>
      <c r="Z706" s="8" t="str">
        <f t="shared" si="10"/>
        <v>FLEX</v>
      </c>
      <c r="AA706" s="8" t="e">
        <f>+VLOOKUP(I706,[1]SKU!$H$2:$I$97,2,0)</f>
        <v>#N/A</v>
      </c>
    </row>
    <row r="707" spans="24:27">
      <c r="X707" s="8" t="str">
        <f>+IFERROR(VLOOKUP(N707,[1]Hoja1!$B$2:$F$52,4,0)*P707,"")</f>
        <v/>
      </c>
      <c r="Y707" s="8" t="e">
        <f>+VLOOKUP(M707,[1]SKU!$B$3:$E$81,4,0)</f>
        <v>#N/A</v>
      </c>
      <c r="Z707" s="8" t="str">
        <f t="shared" ref="Z707:Z770" si="11">+IF(J707="VB01                          ","BEES","FLEX")</f>
        <v>FLEX</v>
      </c>
      <c r="AA707" s="8" t="e">
        <f>+VLOOKUP(I707,[1]SKU!$H$2:$I$97,2,0)</f>
        <v>#N/A</v>
      </c>
    </row>
    <row r="708" spans="24:27">
      <c r="X708" s="8" t="str">
        <f>+IFERROR(VLOOKUP(N708,[1]Hoja1!$B$2:$F$52,4,0)*P708,"")</f>
        <v/>
      </c>
      <c r="Y708" s="8" t="e">
        <f>+VLOOKUP(M708,[1]SKU!$B$3:$E$81,4,0)</f>
        <v>#N/A</v>
      </c>
      <c r="Z708" s="8" t="str">
        <f t="shared" si="11"/>
        <v>FLEX</v>
      </c>
      <c r="AA708" s="8" t="e">
        <f>+VLOOKUP(I708,[1]SKU!$H$2:$I$97,2,0)</f>
        <v>#N/A</v>
      </c>
    </row>
    <row r="709" spans="24:27">
      <c r="X709" s="8" t="str">
        <f>+IFERROR(VLOOKUP(N709,[1]Hoja1!$B$2:$F$52,4,0)*P709,"")</f>
        <v/>
      </c>
      <c r="Y709" s="8" t="e">
        <f>+VLOOKUP(M709,[1]SKU!$B$3:$E$81,4,0)</f>
        <v>#N/A</v>
      </c>
      <c r="Z709" s="8" t="str">
        <f t="shared" si="11"/>
        <v>FLEX</v>
      </c>
      <c r="AA709" s="8" t="e">
        <f>+VLOOKUP(I709,[1]SKU!$H$2:$I$97,2,0)</f>
        <v>#N/A</v>
      </c>
    </row>
    <row r="710" spans="24:27">
      <c r="X710" s="8" t="str">
        <f>+IFERROR(VLOOKUP(N710,[1]Hoja1!$B$2:$F$52,4,0)*P710,"")</f>
        <v/>
      </c>
      <c r="Y710" s="8" t="e">
        <f>+VLOOKUP(M710,[1]SKU!$B$3:$E$81,4,0)</f>
        <v>#N/A</v>
      </c>
      <c r="Z710" s="8" t="str">
        <f t="shared" si="11"/>
        <v>FLEX</v>
      </c>
      <c r="AA710" s="8" t="e">
        <f>+VLOOKUP(I710,[1]SKU!$H$2:$I$97,2,0)</f>
        <v>#N/A</v>
      </c>
    </row>
    <row r="711" spans="24:27">
      <c r="X711" s="8" t="str">
        <f>+IFERROR(VLOOKUP(N711,[1]Hoja1!$B$2:$F$52,4,0)*P711,"")</f>
        <v/>
      </c>
      <c r="Y711" s="8" t="e">
        <f>+VLOOKUP(M711,[1]SKU!$B$3:$E$81,4,0)</f>
        <v>#N/A</v>
      </c>
      <c r="Z711" s="8" t="str">
        <f t="shared" si="11"/>
        <v>FLEX</v>
      </c>
      <c r="AA711" s="8" t="e">
        <f>+VLOOKUP(I711,[1]SKU!$H$2:$I$97,2,0)</f>
        <v>#N/A</v>
      </c>
    </row>
    <row r="712" spans="24:27">
      <c r="X712" s="8" t="str">
        <f>+IFERROR(VLOOKUP(N712,[1]Hoja1!$B$2:$F$52,4,0)*P712,"")</f>
        <v/>
      </c>
      <c r="Y712" s="8" t="e">
        <f>+VLOOKUP(M712,[1]SKU!$B$3:$E$81,4,0)</f>
        <v>#N/A</v>
      </c>
      <c r="Z712" s="8" t="str">
        <f t="shared" si="11"/>
        <v>FLEX</v>
      </c>
      <c r="AA712" s="8" t="e">
        <f>+VLOOKUP(I712,[1]SKU!$H$2:$I$97,2,0)</f>
        <v>#N/A</v>
      </c>
    </row>
    <row r="713" spans="24:27">
      <c r="X713" s="8" t="str">
        <f>+IFERROR(VLOOKUP(N713,[1]Hoja1!$B$2:$F$52,4,0)*P713,"")</f>
        <v/>
      </c>
      <c r="Y713" s="8" t="e">
        <f>+VLOOKUP(M713,[1]SKU!$B$3:$E$81,4,0)</f>
        <v>#N/A</v>
      </c>
      <c r="Z713" s="8" t="str">
        <f t="shared" si="11"/>
        <v>FLEX</v>
      </c>
      <c r="AA713" s="8" t="e">
        <f>+VLOOKUP(I713,[1]SKU!$H$2:$I$97,2,0)</f>
        <v>#N/A</v>
      </c>
    </row>
    <row r="714" spans="24:27">
      <c r="X714" s="8" t="str">
        <f>+IFERROR(VLOOKUP(N714,[1]Hoja1!$B$2:$F$52,4,0)*P714,"")</f>
        <v/>
      </c>
      <c r="Y714" s="8" t="e">
        <f>+VLOOKUP(M714,[1]SKU!$B$3:$E$81,4,0)</f>
        <v>#N/A</v>
      </c>
      <c r="Z714" s="8" t="str">
        <f t="shared" si="11"/>
        <v>FLEX</v>
      </c>
      <c r="AA714" s="8" t="e">
        <f>+VLOOKUP(I714,[1]SKU!$H$2:$I$97,2,0)</f>
        <v>#N/A</v>
      </c>
    </row>
    <row r="715" spans="24:27">
      <c r="X715" s="8" t="str">
        <f>+IFERROR(VLOOKUP(N715,[1]Hoja1!$B$2:$F$52,4,0)*P715,"")</f>
        <v/>
      </c>
      <c r="Y715" s="8" t="e">
        <f>+VLOOKUP(M715,[1]SKU!$B$3:$E$81,4,0)</f>
        <v>#N/A</v>
      </c>
      <c r="Z715" s="8" t="str">
        <f t="shared" si="11"/>
        <v>FLEX</v>
      </c>
      <c r="AA715" s="8" t="e">
        <f>+VLOOKUP(I715,[1]SKU!$H$2:$I$97,2,0)</f>
        <v>#N/A</v>
      </c>
    </row>
    <row r="716" spans="24:27">
      <c r="X716" s="8" t="str">
        <f>+IFERROR(VLOOKUP(N716,[1]Hoja1!$B$2:$F$52,4,0)*P716,"")</f>
        <v/>
      </c>
      <c r="Y716" s="8" t="e">
        <f>+VLOOKUP(M716,[1]SKU!$B$3:$E$81,4,0)</f>
        <v>#N/A</v>
      </c>
      <c r="Z716" s="8" t="str">
        <f t="shared" si="11"/>
        <v>FLEX</v>
      </c>
      <c r="AA716" s="8" t="e">
        <f>+VLOOKUP(I716,[1]SKU!$H$2:$I$97,2,0)</f>
        <v>#N/A</v>
      </c>
    </row>
    <row r="717" spans="24:27">
      <c r="X717" s="8" t="str">
        <f>+IFERROR(VLOOKUP(N717,[1]Hoja1!$B$2:$F$52,4,0)*P717,"")</f>
        <v/>
      </c>
      <c r="Y717" s="8" t="e">
        <f>+VLOOKUP(M717,[1]SKU!$B$3:$E$81,4,0)</f>
        <v>#N/A</v>
      </c>
      <c r="Z717" s="8" t="str">
        <f t="shared" si="11"/>
        <v>FLEX</v>
      </c>
      <c r="AA717" s="8" t="e">
        <f>+VLOOKUP(I717,[1]SKU!$H$2:$I$97,2,0)</f>
        <v>#N/A</v>
      </c>
    </row>
    <row r="718" spans="24:27">
      <c r="X718" s="8" t="str">
        <f>+IFERROR(VLOOKUP(N718,[1]Hoja1!$B$2:$F$52,4,0)*P718,"")</f>
        <v/>
      </c>
      <c r="Y718" s="8" t="e">
        <f>+VLOOKUP(M718,[1]SKU!$B$3:$E$81,4,0)</f>
        <v>#N/A</v>
      </c>
      <c r="Z718" s="8" t="str">
        <f t="shared" si="11"/>
        <v>FLEX</v>
      </c>
      <c r="AA718" s="8" t="e">
        <f>+VLOOKUP(I718,[1]SKU!$H$2:$I$97,2,0)</f>
        <v>#N/A</v>
      </c>
    </row>
    <row r="719" spans="24:27">
      <c r="X719" s="8" t="str">
        <f>+IFERROR(VLOOKUP(N719,[1]Hoja1!$B$2:$F$52,4,0)*P719,"")</f>
        <v/>
      </c>
      <c r="Y719" s="8" t="e">
        <f>+VLOOKUP(M719,[1]SKU!$B$3:$E$81,4,0)</f>
        <v>#N/A</v>
      </c>
      <c r="Z719" s="8" t="str">
        <f t="shared" si="11"/>
        <v>FLEX</v>
      </c>
      <c r="AA719" s="8" t="e">
        <f>+VLOOKUP(I719,[1]SKU!$H$2:$I$97,2,0)</f>
        <v>#N/A</v>
      </c>
    </row>
    <row r="720" spans="24:27">
      <c r="X720" s="8" t="str">
        <f>+IFERROR(VLOOKUP(N720,[1]Hoja1!$B$2:$F$52,4,0)*P720,"")</f>
        <v/>
      </c>
      <c r="Y720" s="8" t="e">
        <f>+VLOOKUP(M720,[1]SKU!$B$3:$E$81,4,0)</f>
        <v>#N/A</v>
      </c>
      <c r="Z720" s="8" t="str">
        <f t="shared" si="11"/>
        <v>FLEX</v>
      </c>
      <c r="AA720" s="8" t="e">
        <f>+VLOOKUP(I720,[1]SKU!$H$2:$I$97,2,0)</f>
        <v>#N/A</v>
      </c>
    </row>
    <row r="721" spans="24:27">
      <c r="X721" s="8" t="str">
        <f>+IFERROR(VLOOKUP(N721,[1]Hoja1!$B$2:$F$52,4,0)*P721,"")</f>
        <v/>
      </c>
      <c r="Y721" s="8" t="e">
        <f>+VLOOKUP(M721,[1]SKU!$B$3:$E$81,4,0)</f>
        <v>#N/A</v>
      </c>
      <c r="Z721" s="8" t="str">
        <f t="shared" si="11"/>
        <v>FLEX</v>
      </c>
      <c r="AA721" s="8" t="e">
        <f>+VLOOKUP(I721,[1]SKU!$H$2:$I$97,2,0)</f>
        <v>#N/A</v>
      </c>
    </row>
    <row r="722" spans="24:27">
      <c r="X722" s="8" t="str">
        <f>+IFERROR(VLOOKUP(N722,[1]Hoja1!$B$2:$F$52,4,0)*P722,"")</f>
        <v/>
      </c>
      <c r="Y722" s="8" t="e">
        <f>+VLOOKUP(M722,[1]SKU!$B$3:$E$81,4,0)</f>
        <v>#N/A</v>
      </c>
      <c r="Z722" s="8" t="str">
        <f t="shared" si="11"/>
        <v>FLEX</v>
      </c>
      <c r="AA722" s="8" t="e">
        <f>+VLOOKUP(I722,[1]SKU!$H$2:$I$97,2,0)</f>
        <v>#N/A</v>
      </c>
    </row>
    <row r="723" spans="24:27">
      <c r="X723" s="8" t="str">
        <f>+IFERROR(VLOOKUP(N723,[1]Hoja1!$B$2:$F$52,4,0)*P723,"")</f>
        <v/>
      </c>
      <c r="Y723" s="8" t="e">
        <f>+VLOOKUP(M723,[1]SKU!$B$3:$E$81,4,0)</f>
        <v>#N/A</v>
      </c>
      <c r="Z723" s="8" t="str">
        <f t="shared" si="11"/>
        <v>FLEX</v>
      </c>
      <c r="AA723" s="8" t="e">
        <f>+VLOOKUP(I723,[1]SKU!$H$2:$I$97,2,0)</f>
        <v>#N/A</v>
      </c>
    </row>
    <row r="724" spans="24:27">
      <c r="X724" s="8" t="str">
        <f>+IFERROR(VLOOKUP(N724,[1]Hoja1!$B$2:$F$52,4,0)*P724,"")</f>
        <v/>
      </c>
      <c r="Y724" s="8" t="e">
        <f>+VLOOKUP(M724,[1]SKU!$B$3:$E$81,4,0)</f>
        <v>#N/A</v>
      </c>
      <c r="Z724" s="8" t="str">
        <f t="shared" si="11"/>
        <v>FLEX</v>
      </c>
      <c r="AA724" s="8" t="e">
        <f>+VLOOKUP(I724,[1]SKU!$H$2:$I$97,2,0)</f>
        <v>#N/A</v>
      </c>
    </row>
    <row r="725" spans="24:27">
      <c r="X725" s="8" t="str">
        <f>+IFERROR(VLOOKUP(N725,[1]Hoja1!$B$2:$F$52,4,0)*P725,"")</f>
        <v/>
      </c>
      <c r="Y725" s="8" t="e">
        <f>+VLOOKUP(M725,[1]SKU!$B$3:$E$81,4,0)</f>
        <v>#N/A</v>
      </c>
      <c r="Z725" s="8" t="str">
        <f t="shared" si="11"/>
        <v>FLEX</v>
      </c>
      <c r="AA725" s="8" t="e">
        <f>+VLOOKUP(I725,[1]SKU!$H$2:$I$97,2,0)</f>
        <v>#N/A</v>
      </c>
    </row>
    <row r="726" spans="24:27">
      <c r="X726" s="8" t="str">
        <f>+IFERROR(VLOOKUP(N726,[1]Hoja1!$B$2:$F$52,4,0)*P726,"")</f>
        <v/>
      </c>
      <c r="Y726" s="8" t="e">
        <f>+VLOOKUP(M726,[1]SKU!$B$3:$E$81,4,0)</f>
        <v>#N/A</v>
      </c>
      <c r="Z726" s="8" t="str">
        <f t="shared" si="11"/>
        <v>FLEX</v>
      </c>
      <c r="AA726" s="8" t="e">
        <f>+VLOOKUP(I726,[1]SKU!$H$2:$I$97,2,0)</f>
        <v>#N/A</v>
      </c>
    </row>
    <row r="727" spans="24:27">
      <c r="X727" s="8" t="str">
        <f>+IFERROR(VLOOKUP(N727,[1]Hoja1!$B$2:$F$52,4,0)*P727,"")</f>
        <v/>
      </c>
      <c r="Y727" s="8" t="e">
        <f>+VLOOKUP(M727,[1]SKU!$B$3:$E$81,4,0)</f>
        <v>#N/A</v>
      </c>
      <c r="Z727" s="8" t="str">
        <f t="shared" si="11"/>
        <v>FLEX</v>
      </c>
      <c r="AA727" s="8" t="e">
        <f>+VLOOKUP(I727,[1]SKU!$H$2:$I$97,2,0)</f>
        <v>#N/A</v>
      </c>
    </row>
    <row r="728" spans="24:27">
      <c r="X728" s="8" t="str">
        <f>+IFERROR(VLOOKUP(N728,[1]Hoja1!$B$2:$F$52,4,0)*P728,"")</f>
        <v/>
      </c>
      <c r="Y728" s="8" t="e">
        <f>+VLOOKUP(M728,[1]SKU!$B$3:$E$81,4,0)</f>
        <v>#N/A</v>
      </c>
      <c r="Z728" s="8" t="str">
        <f t="shared" si="11"/>
        <v>FLEX</v>
      </c>
      <c r="AA728" s="8" t="e">
        <f>+VLOOKUP(I728,[1]SKU!$H$2:$I$97,2,0)</f>
        <v>#N/A</v>
      </c>
    </row>
    <row r="729" spans="24:27">
      <c r="X729" s="8" t="str">
        <f>+IFERROR(VLOOKUP(N729,[1]Hoja1!$B$2:$F$52,4,0)*P729,"")</f>
        <v/>
      </c>
      <c r="Y729" s="8" t="e">
        <f>+VLOOKUP(M729,[1]SKU!$B$3:$E$81,4,0)</f>
        <v>#N/A</v>
      </c>
      <c r="Z729" s="8" t="str">
        <f t="shared" si="11"/>
        <v>FLEX</v>
      </c>
      <c r="AA729" s="8" t="e">
        <f>+VLOOKUP(I729,[1]SKU!$H$2:$I$97,2,0)</f>
        <v>#N/A</v>
      </c>
    </row>
    <row r="730" spans="24:27">
      <c r="X730" s="8" t="str">
        <f>+IFERROR(VLOOKUP(N730,[1]Hoja1!$B$2:$F$52,4,0)*P730,"")</f>
        <v/>
      </c>
      <c r="Y730" s="8" t="e">
        <f>+VLOOKUP(M730,[1]SKU!$B$3:$E$81,4,0)</f>
        <v>#N/A</v>
      </c>
      <c r="Z730" s="8" t="str">
        <f t="shared" si="11"/>
        <v>FLEX</v>
      </c>
      <c r="AA730" s="8" t="e">
        <f>+VLOOKUP(I730,[1]SKU!$H$2:$I$97,2,0)</f>
        <v>#N/A</v>
      </c>
    </row>
    <row r="731" spans="24:27">
      <c r="X731" s="8" t="str">
        <f>+IFERROR(VLOOKUP(N731,[1]Hoja1!$B$2:$F$52,4,0)*P731,"")</f>
        <v/>
      </c>
      <c r="Y731" s="8" t="e">
        <f>+VLOOKUP(M731,[1]SKU!$B$3:$E$81,4,0)</f>
        <v>#N/A</v>
      </c>
      <c r="Z731" s="8" t="str">
        <f t="shared" si="11"/>
        <v>FLEX</v>
      </c>
      <c r="AA731" s="8" t="e">
        <f>+VLOOKUP(I731,[1]SKU!$H$2:$I$97,2,0)</f>
        <v>#N/A</v>
      </c>
    </row>
    <row r="732" spans="24:27">
      <c r="X732" s="8" t="str">
        <f>+IFERROR(VLOOKUP(N732,[1]Hoja1!$B$2:$F$52,4,0)*P732,"")</f>
        <v/>
      </c>
      <c r="Y732" s="8" t="e">
        <f>+VLOOKUP(M732,[1]SKU!$B$3:$E$81,4,0)</f>
        <v>#N/A</v>
      </c>
      <c r="Z732" s="8" t="str">
        <f t="shared" si="11"/>
        <v>FLEX</v>
      </c>
      <c r="AA732" s="8" t="e">
        <f>+VLOOKUP(I732,[1]SKU!$H$2:$I$97,2,0)</f>
        <v>#N/A</v>
      </c>
    </row>
    <row r="733" spans="24:27">
      <c r="X733" s="8" t="str">
        <f>+IFERROR(VLOOKUP(N733,[1]Hoja1!$B$2:$F$52,4,0)*P733,"")</f>
        <v/>
      </c>
      <c r="Y733" s="8" t="e">
        <f>+VLOOKUP(M733,[1]SKU!$B$3:$E$81,4,0)</f>
        <v>#N/A</v>
      </c>
      <c r="Z733" s="8" t="str">
        <f t="shared" si="11"/>
        <v>FLEX</v>
      </c>
      <c r="AA733" s="8" t="e">
        <f>+VLOOKUP(I733,[1]SKU!$H$2:$I$97,2,0)</f>
        <v>#N/A</v>
      </c>
    </row>
    <row r="734" spans="24:27">
      <c r="X734" s="8" t="str">
        <f>+IFERROR(VLOOKUP(N734,[1]Hoja1!$B$2:$F$52,4,0)*P734,"")</f>
        <v/>
      </c>
      <c r="Y734" s="8" t="e">
        <f>+VLOOKUP(M734,[1]SKU!$B$3:$E$81,4,0)</f>
        <v>#N/A</v>
      </c>
      <c r="Z734" s="8" t="str">
        <f t="shared" si="11"/>
        <v>FLEX</v>
      </c>
      <c r="AA734" s="8" t="e">
        <f>+VLOOKUP(I734,[1]SKU!$H$2:$I$97,2,0)</f>
        <v>#N/A</v>
      </c>
    </row>
    <row r="735" spans="24:27">
      <c r="X735" s="8" t="str">
        <f>+IFERROR(VLOOKUP(N735,[1]Hoja1!$B$2:$F$52,4,0)*P735,"")</f>
        <v/>
      </c>
      <c r="Y735" s="8" t="e">
        <f>+VLOOKUP(M735,[1]SKU!$B$3:$E$81,4,0)</f>
        <v>#N/A</v>
      </c>
      <c r="Z735" s="8" t="str">
        <f t="shared" si="11"/>
        <v>FLEX</v>
      </c>
      <c r="AA735" s="8" t="e">
        <f>+VLOOKUP(I735,[1]SKU!$H$2:$I$97,2,0)</f>
        <v>#N/A</v>
      </c>
    </row>
    <row r="736" spans="24:27">
      <c r="X736" s="8" t="str">
        <f>+IFERROR(VLOOKUP(N736,[1]Hoja1!$B$2:$F$52,4,0)*P736,"")</f>
        <v/>
      </c>
      <c r="Y736" s="8" t="e">
        <f>+VLOOKUP(M736,[1]SKU!$B$3:$E$81,4,0)</f>
        <v>#N/A</v>
      </c>
      <c r="Z736" s="8" t="str">
        <f t="shared" si="11"/>
        <v>FLEX</v>
      </c>
      <c r="AA736" s="8" t="e">
        <f>+VLOOKUP(I736,[1]SKU!$H$2:$I$97,2,0)</f>
        <v>#N/A</v>
      </c>
    </row>
    <row r="737" spans="24:27">
      <c r="X737" s="8" t="str">
        <f>+IFERROR(VLOOKUP(N737,[1]Hoja1!$B$2:$F$52,4,0)*P737,"")</f>
        <v/>
      </c>
      <c r="Y737" s="8" t="e">
        <f>+VLOOKUP(M737,[1]SKU!$B$3:$E$81,4,0)</f>
        <v>#N/A</v>
      </c>
      <c r="Z737" s="8" t="str">
        <f t="shared" si="11"/>
        <v>FLEX</v>
      </c>
      <c r="AA737" s="8" t="e">
        <f>+VLOOKUP(I737,[1]SKU!$H$2:$I$97,2,0)</f>
        <v>#N/A</v>
      </c>
    </row>
    <row r="738" spans="24:27">
      <c r="X738" s="8" t="str">
        <f>+IFERROR(VLOOKUP(N738,[1]Hoja1!$B$2:$F$52,4,0)*P738,"")</f>
        <v/>
      </c>
      <c r="Y738" s="8" t="e">
        <f>+VLOOKUP(M738,[1]SKU!$B$3:$E$81,4,0)</f>
        <v>#N/A</v>
      </c>
      <c r="Z738" s="8" t="str">
        <f t="shared" si="11"/>
        <v>FLEX</v>
      </c>
      <c r="AA738" s="8" t="e">
        <f>+VLOOKUP(I738,[1]SKU!$H$2:$I$97,2,0)</f>
        <v>#N/A</v>
      </c>
    </row>
    <row r="739" spans="24:27">
      <c r="X739" s="8" t="str">
        <f>+IFERROR(VLOOKUP(N739,[1]Hoja1!$B$2:$F$52,4,0)*P739,"")</f>
        <v/>
      </c>
      <c r="Y739" s="8" t="e">
        <f>+VLOOKUP(M739,[1]SKU!$B$3:$E$81,4,0)</f>
        <v>#N/A</v>
      </c>
      <c r="Z739" s="8" t="str">
        <f t="shared" si="11"/>
        <v>FLEX</v>
      </c>
      <c r="AA739" s="8" t="e">
        <f>+VLOOKUP(I739,[1]SKU!$H$2:$I$97,2,0)</f>
        <v>#N/A</v>
      </c>
    </row>
    <row r="740" spans="24:27">
      <c r="X740" s="8" t="str">
        <f>+IFERROR(VLOOKUP(N740,[1]Hoja1!$B$2:$F$52,4,0)*P740,"")</f>
        <v/>
      </c>
      <c r="Y740" s="8" t="e">
        <f>+VLOOKUP(M740,[1]SKU!$B$3:$E$81,4,0)</f>
        <v>#N/A</v>
      </c>
      <c r="Z740" s="8" t="str">
        <f t="shared" si="11"/>
        <v>FLEX</v>
      </c>
      <c r="AA740" s="8" t="e">
        <f>+VLOOKUP(I740,[1]SKU!$H$2:$I$97,2,0)</f>
        <v>#N/A</v>
      </c>
    </row>
    <row r="741" spans="24:27">
      <c r="X741" s="8" t="str">
        <f>+IFERROR(VLOOKUP(N741,[1]Hoja1!$B$2:$F$52,4,0)*P741,"")</f>
        <v/>
      </c>
      <c r="Y741" s="8" t="e">
        <f>+VLOOKUP(M741,[1]SKU!$B$3:$E$81,4,0)</f>
        <v>#N/A</v>
      </c>
      <c r="Z741" s="8" t="str">
        <f t="shared" si="11"/>
        <v>FLEX</v>
      </c>
      <c r="AA741" s="8" t="e">
        <f>+VLOOKUP(I741,[1]SKU!$H$2:$I$97,2,0)</f>
        <v>#N/A</v>
      </c>
    </row>
    <row r="742" spans="24:27">
      <c r="X742" s="8" t="str">
        <f>+IFERROR(VLOOKUP(N742,[1]Hoja1!$B$2:$F$52,4,0)*P742,"")</f>
        <v/>
      </c>
      <c r="Y742" s="8" t="e">
        <f>+VLOOKUP(M742,[1]SKU!$B$3:$E$81,4,0)</f>
        <v>#N/A</v>
      </c>
      <c r="Z742" s="8" t="str">
        <f t="shared" si="11"/>
        <v>FLEX</v>
      </c>
      <c r="AA742" s="8" t="e">
        <f>+VLOOKUP(I742,[1]SKU!$H$2:$I$97,2,0)</f>
        <v>#N/A</v>
      </c>
    </row>
    <row r="743" spans="24:27">
      <c r="X743" s="8" t="str">
        <f>+IFERROR(VLOOKUP(N743,[1]Hoja1!$B$2:$F$52,4,0)*P743,"")</f>
        <v/>
      </c>
      <c r="Y743" s="8" t="e">
        <f>+VLOOKUP(M743,[1]SKU!$B$3:$E$81,4,0)</f>
        <v>#N/A</v>
      </c>
      <c r="Z743" s="8" t="str">
        <f t="shared" si="11"/>
        <v>FLEX</v>
      </c>
      <c r="AA743" s="8" t="e">
        <f>+VLOOKUP(I743,[1]SKU!$H$2:$I$97,2,0)</f>
        <v>#N/A</v>
      </c>
    </row>
    <row r="744" spans="24:27">
      <c r="X744" s="8" t="str">
        <f>+IFERROR(VLOOKUP(N744,[1]Hoja1!$B$2:$F$52,4,0)*P744,"")</f>
        <v/>
      </c>
      <c r="Y744" s="8" t="e">
        <f>+VLOOKUP(M744,[1]SKU!$B$3:$E$81,4,0)</f>
        <v>#N/A</v>
      </c>
      <c r="Z744" s="8" t="str">
        <f t="shared" si="11"/>
        <v>FLEX</v>
      </c>
      <c r="AA744" s="8" t="e">
        <f>+VLOOKUP(I744,[1]SKU!$H$2:$I$97,2,0)</f>
        <v>#N/A</v>
      </c>
    </row>
    <row r="745" spans="24:27">
      <c r="X745" s="8" t="str">
        <f>+IFERROR(VLOOKUP(N745,[1]Hoja1!$B$2:$F$52,4,0)*P745,"")</f>
        <v/>
      </c>
      <c r="Y745" s="8" t="e">
        <f>+VLOOKUP(M745,[1]SKU!$B$3:$E$81,4,0)</f>
        <v>#N/A</v>
      </c>
      <c r="Z745" s="8" t="str">
        <f t="shared" si="11"/>
        <v>FLEX</v>
      </c>
      <c r="AA745" s="8" t="e">
        <f>+VLOOKUP(I745,[1]SKU!$H$2:$I$97,2,0)</f>
        <v>#N/A</v>
      </c>
    </row>
    <row r="746" spans="24:27">
      <c r="X746" s="8" t="str">
        <f>+IFERROR(VLOOKUP(N746,[1]Hoja1!$B$2:$F$52,4,0)*P746,"")</f>
        <v/>
      </c>
      <c r="Y746" s="8" t="e">
        <f>+VLOOKUP(M746,[1]SKU!$B$3:$E$81,4,0)</f>
        <v>#N/A</v>
      </c>
      <c r="Z746" s="8" t="str">
        <f t="shared" si="11"/>
        <v>FLEX</v>
      </c>
      <c r="AA746" s="8" t="e">
        <f>+VLOOKUP(I746,[1]SKU!$H$2:$I$97,2,0)</f>
        <v>#N/A</v>
      </c>
    </row>
    <row r="747" spans="24:27">
      <c r="X747" s="8" t="str">
        <f>+IFERROR(VLOOKUP(N747,[1]Hoja1!$B$2:$F$52,4,0)*P747,"")</f>
        <v/>
      </c>
      <c r="Y747" s="8" t="e">
        <f>+VLOOKUP(M747,[1]SKU!$B$3:$E$81,4,0)</f>
        <v>#N/A</v>
      </c>
      <c r="Z747" s="8" t="str">
        <f t="shared" si="11"/>
        <v>FLEX</v>
      </c>
      <c r="AA747" s="8" t="e">
        <f>+VLOOKUP(I747,[1]SKU!$H$2:$I$97,2,0)</f>
        <v>#N/A</v>
      </c>
    </row>
    <row r="748" spans="24:27">
      <c r="X748" s="8" t="str">
        <f>+IFERROR(VLOOKUP(N748,[1]Hoja1!$B$2:$F$52,4,0)*P748,"")</f>
        <v/>
      </c>
      <c r="Y748" s="8" t="e">
        <f>+VLOOKUP(M748,[1]SKU!$B$3:$E$81,4,0)</f>
        <v>#N/A</v>
      </c>
      <c r="Z748" s="8" t="str">
        <f t="shared" si="11"/>
        <v>FLEX</v>
      </c>
      <c r="AA748" s="8" t="e">
        <f>+VLOOKUP(I748,[1]SKU!$H$2:$I$97,2,0)</f>
        <v>#N/A</v>
      </c>
    </row>
    <row r="749" spans="24:27">
      <c r="X749" s="8" t="str">
        <f>+IFERROR(VLOOKUP(N749,[1]Hoja1!$B$2:$F$52,4,0)*P749,"")</f>
        <v/>
      </c>
      <c r="Y749" s="8" t="e">
        <f>+VLOOKUP(M749,[1]SKU!$B$3:$E$81,4,0)</f>
        <v>#N/A</v>
      </c>
      <c r="Z749" s="8" t="str">
        <f t="shared" si="11"/>
        <v>FLEX</v>
      </c>
      <c r="AA749" s="8" t="e">
        <f>+VLOOKUP(I749,[1]SKU!$H$2:$I$97,2,0)</f>
        <v>#N/A</v>
      </c>
    </row>
    <row r="750" spans="24:27">
      <c r="X750" s="8" t="str">
        <f>+IFERROR(VLOOKUP(N750,[1]Hoja1!$B$2:$F$52,4,0)*P750,"")</f>
        <v/>
      </c>
      <c r="Y750" s="8" t="e">
        <f>+VLOOKUP(M750,[1]SKU!$B$3:$E$81,4,0)</f>
        <v>#N/A</v>
      </c>
      <c r="Z750" s="8" t="str">
        <f t="shared" si="11"/>
        <v>FLEX</v>
      </c>
      <c r="AA750" s="8" t="e">
        <f>+VLOOKUP(I750,[1]SKU!$H$2:$I$97,2,0)</f>
        <v>#N/A</v>
      </c>
    </row>
    <row r="751" spans="24:27">
      <c r="X751" s="8" t="str">
        <f>+IFERROR(VLOOKUP(N751,[1]Hoja1!$B$2:$F$52,4,0)*P751,"")</f>
        <v/>
      </c>
      <c r="Y751" s="8" t="e">
        <f>+VLOOKUP(M751,[1]SKU!$B$3:$E$81,4,0)</f>
        <v>#N/A</v>
      </c>
      <c r="Z751" s="8" t="str">
        <f t="shared" si="11"/>
        <v>FLEX</v>
      </c>
      <c r="AA751" s="8" t="e">
        <f>+VLOOKUP(I751,[1]SKU!$H$2:$I$97,2,0)</f>
        <v>#N/A</v>
      </c>
    </row>
    <row r="752" spans="24:27">
      <c r="X752" s="8" t="str">
        <f>+IFERROR(VLOOKUP(N752,[1]Hoja1!$B$2:$F$52,4,0)*P752,"")</f>
        <v/>
      </c>
      <c r="Y752" s="8" t="e">
        <f>+VLOOKUP(M752,[1]SKU!$B$3:$E$81,4,0)</f>
        <v>#N/A</v>
      </c>
      <c r="Z752" s="8" t="str">
        <f t="shared" si="11"/>
        <v>FLEX</v>
      </c>
      <c r="AA752" s="8" t="e">
        <f>+VLOOKUP(I752,[1]SKU!$H$2:$I$97,2,0)</f>
        <v>#N/A</v>
      </c>
    </row>
    <row r="753" spans="24:27">
      <c r="X753" s="8" t="str">
        <f>+IFERROR(VLOOKUP(N753,[1]Hoja1!$B$2:$F$52,4,0)*P753,"")</f>
        <v/>
      </c>
      <c r="Y753" s="8" t="e">
        <f>+VLOOKUP(M753,[1]SKU!$B$3:$E$81,4,0)</f>
        <v>#N/A</v>
      </c>
      <c r="Z753" s="8" t="str">
        <f t="shared" si="11"/>
        <v>FLEX</v>
      </c>
      <c r="AA753" s="8" t="e">
        <f>+VLOOKUP(I753,[1]SKU!$H$2:$I$97,2,0)</f>
        <v>#N/A</v>
      </c>
    </row>
    <row r="754" spans="24:27">
      <c r="X754" s="8" t="str">
        <f>+IFERROR(VLOOKUP(N754,[1]Hoja1!$B$2:$F$52,4,0)*P754,"")</f>
        <v/>
      </c>
      <c r="Y754" s="8" t="e">
        <f>+VLOOKUP(M754,[1]SKU!$B$3:$E$81,4,0)</f>
        <v>#N/A</v>
      </c>
      <c r="Z754" s="8" t="str">
        <f t="shared" si="11"/>
        <v>FLEX</v>
      </c>
      <c r="AA754" s="8" t="e">
        <f>+VLOOKUP(I754,[1]SKU!$H$2:$I$97,2,0)</f>
        <v>#N/A</v>
      </c>
    </row>
    <row r="755" spans="24:27">
      <c r="X755" s="8" t="str">
        <f>+IFERROR(VLOOKUP(N755,[1]Hoja1!$B$2:$F$52,4,0)*P755,"")</f>
        <v/>
      </c>
      <c r="Y755" s="8" t="e">
        <f>+VLOOKUP(M755,[1]SKU!$B$3:$E$81,4,0)</f>
        <v>#N/A</v>
      </c>
      <c r="Z755" s="8" t="str">
        <f t="shared" si="11"/>
        <v>FLEX</v>
      </c>
      <c r="AA755" s="8" t="e">
        <f>+VLOOKUP(I755,[1]SKU!$H$2:$I$97,2,0)</f>
        <v>#N/A</v>
      </c>
    </row>
    <row r="756" spans="24:27">
      <c r="X756" s="8" t="str">
        <f>+IFERROR(VLOOKUP(N756,[1]Hoja1!$B$2:$F$52,4,0)*P756,"")</f>
        <v/>
      </c>
      <c r="Y756" s="8" t="e">
        <f>+VLOOKUP(M756,[1]SKU!$B$3:$E$81,4,0)</f>
        <v>#N/A</v>
      </c>
      <c r="Z756" s="8" t="str">
        <f t="shared" si="11"/>
        <v>FLEX</v>
      </c>
      <c r="AA756" s="8" t="e">
        <f>+VLOOKUP(I756,[1]SKU!$H$2:$I$97,2,0)</f>
        <v>#N/A</v>
      </c>
    </row>
    <row r="757" spans="24:27">
      <c r="X757" s="8" t="str">
        <f>+IFERROR(VLOOKUP(N757,[1]Hoja1!$B$2:$F$52,4,0)*P757,"")</f>
        <v/>
      </c>
      <c r="Y757" s="8" t="e">
        <f>+VLOOKUP(M757,[1]SKU!$B$3:$E$81,4,0)</f>
        <v>#N/A</v>
      </c>
      <c r="Z757" s="8" t="str">
        <f t="shared" si="11"/>
        <v>FLEX</v>
      </c>
      <c r="AA757" s="8" t="e">
        <f>+VLOOKUP(I757,[1]SKU!$H$2:$I$97,2,0)</f>
        <v>#N/A</v>
      </c>
    </row>
    <row r="758" spans="24:27">
      <c r="X758" s="8" t="str">
        <f>+IFERROR(VLOOKUP(N758,[1]Hoja1!$B$2:$F$52,4,0)*P758,"")</f>
        <v/>
      </c>
      <c r="Y758" s="8" t="e">
        <f>+VLOOKUP(M758,[1]SKU!$B$3:$E$81,4,0)</f>
        <v>#N/A</v>
      </c>
      <c r="Z758" s="8" t="str">
        <f t="shared" si="11"/>
        <v>FLEX</v>
      </c>
      <c r="AA758" s="8" t="e">
        <f>+VLOOKUP(I758,[1]SKU!$H$2:$I$97,2,0)</f>
        <v>#N/A</v>
      </c>
    </row>
    <row r="759" spans="24:27">
      <c r="X759" s="8" t="str">
        <f>+IFERROR(VLOOKUP(N759,[1]Hoja1!$B$2:$F$52,4,0)*P759,"")</f>
        <v/>
      </c>
      <c r="Y759" s="8" t="e">
        <f>+VLOOKUP(M759,[1]SKU!$B$3:$E$81,4,0)</f>
        <v>#N/A</v>
      </c>
      <c r="Z759" s="8" t="str">
        <f t="shared" si="11"/>
        <v>FLEX</v>
      </c>
      <c r="AA759" s="8" t="e">
        <f>+VLOOKUP(I759,[1]SKU!$H$2:$I$97,2,0)</f>
        <v>#N/A</v>
      </c>
    </row>
    <row r="760" spans="24:27">
      <c r="X760" s="8" t="str">
        <f>+IFERROR(VLOOKUP(N760,[1]Hoja1!$B$2:$F$52,4,0)*P760,"")</f>
        <v/>
      </c>
      <c r="Y760" s="8" t="e">
        <f>+VLOOKUP(M760,[1]SKU!$B$3:$E$81,4,0)</f>
        <v>#N/A</v>
      </c>
      <c r="Z760" s="8" t="str">
        <f t="shared" si="11"/>
        <v>FLEX</v>
      </c>
      <c r="AA760" s="8" t="e">
        <f>+VLOOKUP(I760,[1]SKU!$H$2:$I$97,2,0)</f>
        <v>#N/A</v>
      </c>
    </row>
    <row r="761" spans="24:27">
      <c r="X761" s="8" t="str">
        <f>+IFERROR(VLOOKUP(N761,[1]Hoja1!$B$2:$F$52,4,0)*P761,"")</f>
        <v/>
      </c>
      <c r="Y761" s="8" t="e">
        <f>+VLOOKUP(M761,[1]SKU!$B$3:$E$81,4,0)</f>
        <v>#N/A</v>
      </c>
      <c r="Z761" s="8" t="str">
        <f t="shared" si="11"/>
        <v>FLEX</v>
      </c>
      <c r="AA761" s="8" t="e">
        <f>+VLOOKUP(I761,[1]SKU!$H$2:$I$97,2,0)</f>
        <v>#N/A</v>
      </c>
    </row>
    <row r="762" spans="24:27">
      <c r="X762" s="8" t="str">
        <f>+IFERROR(VLOOKUP(N762,[1]Hoja1!$B$2:$F$52,4,0)*P762,"")</f>
        <v/>
      </c>
      <c r="Y762" s="8" t="e">
        <f>+VLOOKUP(M762,[1]SKU!$B$3:$E$81,4,0)</f>
        <v>#N/A</v>
      </c>
      <c r="Z762" s="8" t="str">
        <f t="shared" si="11"/>
        <v>FLEX</v>
      </c>
      <c r="AA762" s="8" t="e">
        <f>+VLOOKUP(I762,[1]SKU!$H$2:$I$97,2,0)</f>
        <v>#N/A</v>
      </c>
    </row>
    <row r="763" spans="24:27">
      <c r="X763" s="8" t="str">
        <f>+IFERROR(VLOOKUP(N763,[1]Hoja1!$B$2:$F$52,4,0)*P763,"")</f>
        <v/>
      </c>
      <c r="Y763" s="8" t="e">
        <f>+VLOOKUP(M763,[1]SKU!$B$3:$E$81,4,0)</f>
        <v>#N/A</v>
      </c>
      <c r="Z763" s="8" t="str">
        <f t="shared" si="11"/>
        <v>FLEX</v>
      </c>
      <c r="AA763" s="8" t="e">
        <f>+VLOOKUP(I763,[1]SKU!$H$2:$I$97,2,0)</f>
        <v>#N/A</v>
      </c>
    </row>
    <row r="764" spans="24:27">
      <c r="X764" s="8" t="str">
        <f>+IFERROR(VLOOKUP(N764,[1]Hoja1!$B$2:$F$52,4,0)*P764,"")</f>
        <v/>
      </c>
      <c r="Y764" s="8" t="e">
        <f>+VLOOKUP(M764,[1]SKU!$B$3:$E$81,4,0)</f>
        <v>#N/A</v>
      </c>
      <c r="Z764" s="8" t="str">
        <f t="shared" si="11"/>
        <v>FLEX</v>
      </c>
      <c r="AA764" s="8" t="e">
        <f>+VLOOKUP(I764,[1]SKU!$H$2:$I$97,2,0)</f>
        <v>#N/A</v>
      </c>
    </row>
    <row r="765" spans="24:27">
      <c r="X765" s="8" t="str">
        <f>+IFERROR(VLOOKUP(N765,[1]Hoja1!$B$2:$F$52,4,0)*P765,"")</f>
        <v/>
      </c>
      <c r="Y765" s="8" t="e">
        <f>+VLOOKUP(M765,[1]SKU!$B$3:$E$81,4,0)</f>
        <v>#N/A</v>
      </c>
      <c r="Z765" s="8" t="str">
        <f t="shared" si="11"/>
        <v>FLEX</v>
      </c>
      <c r="AA765" s="8" t="e">
        <f>+VLOOKUP(I765,[1]SKU!$H$2:$I$97,2,0)</f>
        <v>#N/A</v>
      </c>
    </row>
    <row r="766" spans="24:27">
      <c r="X766" s="8" t="str">
        <f>+IFERROR(VLOOKUP(N766,[1]Hoja1!$B$2:$F$52,4,0)*P766,"")</f>
        <v/>
      </c>
      <c r="Y766" s="8" t="e">
        <f>+VLOOKUP(M766,[1]SKU!$B$3:$E$81,4,0)</f>
        <v>#N/A</v>
      </c>
      <c r="Z766" s="8" t="str">
        <f t="shared" si="11"/>
        <v>FLEX</v>
      </c>
      <c r="AA766" s="8" t="e">
        <f>+VLOOKUP(I766,[1]SKU!$H$2:$I$97,2,0)</f>
        <v>#N/A</v>
      </c>
    </row>
    <row r="767" spans="24:27">
      <c r="X767" s="8" t="str">
        <f>+IFERROR(VLOOKUP(N767,[1]Hoja1!$B$2:$F$52,4,0)*P767,"")</f>
        <v/>
      </c>
      <c r="Y767" s="8" t="e">
        <f>+VLOOKUP(M767,[1]SKU!$B$3:$E$81,4,0)</f>
        <v>#N/A</v>
      </c>
      <c r="Z767" s="8" t="str">
        <f t="shared" si="11"/>
        <v>FLEX</v>
      </c>
      <c r="AA767" s="8" t="e">
        <f>+VLOOKUP(I767,[1]SKU!$H$2:$I$97,2,0)</f>
        <v>#N/A</v>
      </c>
    </row>
    <row r="768" spans="24:27">
      <c r="X768" s="8" t="str">
        <f>+IFERROR(VLOOKUP(N768,[1]Hoja1!$B$2:$F$52,4,0)*P768,"")</f>
        <v/>
      </c>
      <c r="Y768" s="8" t="e">
        <f>+VLOOKUP(M768,[1]SKU!$B$3:$E$81,4,0)</f>
        <v>#N/A</v>
      </c>
      <c r="Z768" s="8" t="str">
        <f t="shared" si="11"/>
        <v>FLEX</v>
      </c>
      <c r="AA768" s="8" t="e">
        <f>+VLOOKUP(I768,[1]SKU!$H$2:$I$97,2,0)</f>
        <v>#N/A</v>
      </c>
    </row>
    <row r="769" spans="24:27">
      <c r="X769" s="8" t="str">
        <f>+IFERROR(VLOOKUP(N769,[1]Hoja1!$B$2:$F$52,4,0)*P769,"")</f>
        <v/>
      </c>
      <c r="Y769" s="8" t="e">
        <f>+VLOOKUP(M769,[1]SKU!$B$3:$E$81,4,0)</f>
        <v>#N/A</v>
      </c>
      <c r="Z769" s="8" t="str">
        <f t="shared" si="11"/>
        <v>FLEX</v>
      </c>
      <c r="AA769" s="8" t="e">
        <f>+VLOOKUP(I769,[1]SKU!$H$2:$I$97,2,0)</f>
        <v>#N/A</v>
      </c>
    </row>
    <row r="770" spans="24:27">
      <c r="X770" s="8" t="str">
        <f>+IFERROR(VLOOKUP(N770,[1]Hoja1!$B$2:$F$52,4,0)*P770,"")</f>
        <v/>
      </c>
      <c r="Y770" s="8" t="e">
        <f>+VLOOKUP(M770,[1]SKU!$B$3:$E$81,4,0)</f>
        <v>#N/A</v>
      </c>
      <c r="Z770" s="8" t="str">
        <f t="shared" si="11"/>
        <v>FLEX</v>
      </c>
      <c r="AA770" s="8" t="e">
        <f>+VLOOKUP(I770,[1]SKU!$H$2:$I$97,2,0)</f>
        <v>#N/A</v>
      </c>
    </row>
    <row r="771" spans="24:27">
      <c r="X771" s="8" t="str">
        <f>+IFERROR(VLOOKUP(N771,[1]Hoja1!$B$2:$F$52,4,0)*P771,"")</f>
        <v/>
      </c>
      <c r="Y771" s="8" t="e">
        <f>+VLOOKUP(M771,[1]SKU!$B$3:$E$81,4,0)</f>
        <v>#N/A</v>
      </c>
      <c r="Z771" s="8" t="str">
        <f t="shared" ref="Z771:Z834" si="12">+IF(J771="VB01                          ","BEES","FLEX")</f>
        <v>FLEX</v>
      </c>
      <c r="AA771" s="8" t="e">
        <f>+VLOOKUP(I771,[1]SKU!$H$2:$I$97,2,0)</f>
        <v>#N/A</v>
      </c>
    </row>
    <row r="772" spans="24:27">
      <c r="X772" s="8" t="str">
        <f>+IFERROR(VLOOKUP(N772,[1]Hoja1!$B$2:$F$52,4,0)*P772,"")</f>
        <v/>
      </c>
      <c r="Y772" s="8" t="e">
        <f>+VLOOKUP(M772,[1]SKU!$B$3:$E$81,4,0)</f>
        <v>#N/A</v>
      </c>
      <c r="Z772" s="8" t="str">
        <f t="shared" si="12"/>
        <v>FLEX</v>
      </c>
      <c r="AA772" s="8" t="e">
        <f>+VLOOKUP(I772,[1]SKU!$H$2:$I$97,2,0)</f>
        <v>#N/A</v>
      </c>
    </row>
    <row r="773" spans="24:27">
      <c r="X773" s="8" t="str">
        <f>+IFERROR(VLOOKUP(N773,[1]Hoja1!$B$2:$F$52,4,0)*P773,"")</f>
        <v/>
      </c>
      <c r="Y773" s="8" t="e">
        <f>+VLOOKUP(M773,[1]SKU!$B$3:$E$81,4,0)</f>
        <v>#N/A</v>
      </c>
      <c r="Z773" s="8" t="str">
        <f t="shared" si="12"/>
        <v>FLEX</v>
      </c>
      <c r="AA773" s="8" t="e">
        <f>+VLOOKUP(I773,[1]SKU!$H$2:$I$97,2,0)</f>
        <v>#N/A</v>
      </c>
    </row>
    <row r="774" spans="24:27">
      <c r="X774" s="8" t="str">
        <f>+IFERROR(VLOOKUP(N774,[1]Hoja1!$B$2:$F$52,4,0)*P774,"")</f>
        <v/>
      </c>
      <c r="Y774" s="8" t="e">
        <f>+VLOOKUP(M774,[1]SKU!$B$3:$E$81,4,0)</f>
        <v>#N/A</v>
      </c>
      <c r="Z774" s="8" t="str">
        <f t="shared" si="12"/>
        <v>FLEX</v>
      </c>
      <c r="AA774" s="8" t="e">
        <f>+VLOOKUP(I774,[1]SKU!$H$2:$I$97,2,0)</f>
        <v>#N/A</v>
      </c>
    </row>
    <row r="775" spans="24:27">
      <c r="X775" s="8" t="str">
        <f>+IFERROR(VLOOKUP(N775,[1]Hoja1!$B$2:$F$52,4,0)*P775,"")</f>
        <v/>
      </c>
      <c r="Y775" s="8" t="e">
        <f>+VLOOKUP(M775,[1]SKU!$B$3:$E$81,4,0)</f>
        <v>#N/A</v>
      </c>
      <c r="Z775" s="8" t="str">
        <f t="shared" si="12"/>
        <v>FLEX</v>
      </c>
      <c r="AA775" s="8" t="e">
        <f>+VLOOKUP(I775,[1]SKU!$H$2:$I$97,2,0)</f>
        <v>#N/A</v>
      </c>
    </row>
    <row r="776" spans="24:27">
      <c r="X776" s="8" t="str">
        <f>+IFERROR(VLOOKUP(N776,[1]Hoja1!$B$2:$F$52,4,0)*P776,"")</f>
        <v/>
      </c>
      <c r="Y776" s="8" t="e">
        <f>+VLOOKUP(M776,[1]SKU!$B$3:$E$81,4,0)</f>
        <v>#N/A</v>
      </c>
      <c r="Z776" s="8" t="str">
        <f t="shared" si="12"/>
        <v>FLEX</v>
      </c>
      <c r="AA776" s="8" t="e">
        <f>+VLOOKUP(I776,[1]SKU!$H$2:$I$97,2,0)</f>
        <v>#N/A</v>
      </c>
    </row>
    <row r="777" spans="24:27">
      <c r="X777" s="8" t="str">
        <f>+IFERROR(VLOOKUP(N777,[1]Hoja1!$B$2:$F$52,4,0)*P777,"")</f>
        <v/>
      </c>
      <c r="Y777" s="8" t="e">
        <f>+VLOOKUP(M777,[1]SKU!$B$3:$E$81,4,0)</f>
        <v>#N/A</v>
      </c>
      <c r="Z777" s="8" t="str">
        <f t="shared" si="12"/>
        <v>FLEX</v>
      </c>
      <c r="AA777" s="8" t="e">
        <f>+VLOOKUP(I777,[1]SKU!$H$2:$I$97,2,0)</f>
        <v>#N/A</v>
      </c>
    </row>
    <row r="778" spans="24:27">
      <c r="X778" s="8" t="str">
        <f>+IFERROR(VLOOKUP(N778,[1]Hoja1!$B$2:$F$52,4,0)*P778,"")</f>
        <v/>
      </c>
      <c r="Y778" s="8" t="e">
        <f>+VLOOKUP(M778,[1]SKU!$B$3:$E$81,4,0)</f>
        <v>#N/A</v>
      </c>
      <c r="Z778" s="8" t="str">
        <f t="shared" si="12"/>
        <v>FLEX</v>
      </c>
      <c r="AA778" s="8" t="e">
        <f>+VLOOKUP(I778,[1]SKU!$H$2:$I$97,2,0)</f>
        <v>#N/A</v>
      </c>
    </row>
    <row r="779" spans="24:27">
      <c r="X779" s="8" t="str">
        <f>+IFERROR(VLOOKUP(N779,[1]Hoja1!$B$2:$F$52,4,0)*P779,"")</f>
        <v/>
      </c>
      <c r="Y779" s="8" t="e">
        <f>+VLOOKUP(M779,[1]SKU!$B$3:$E$81,4,0)</f>
        <v>#N/A</v>
      </c>
      <c r="Z779" s="8" t="str">
        <f t="shared" si="12"/>
        <v>FLEX</v>
      </c>
      <c r="AA779" s="8" t="e">
        <f>+VLOOKUP(I779,[1]SKU!$H$2:$I$97,2,0)</f>
        <v>#N/A</v>
      </c>
    </row>
    <row r="780" spans="24:27">
      <c r="X780" s="8" t="str">
        <f>+IFERROR(VLOOKUP(N780,[1]Hoja1!$B$2:$F$52,4,0)*P780,"")</f>
        <v/>
      </c>
      <c r="Y780" s="8" t="e">
        <f>+VLOOKUP(M780,[1]SKU!$B$3:$E$81,4,0)</f>
        <v>#N/A</v>
      </c>
      <c r="Z780" s="8" t="str">
        <f t="shared" si="12"/>
        <v>FLEX</v>
      </c>
      <c r="AA780" s="8" t="e">
        <f>+VLOOKUP(I780,[1]SKU!$H$2:$I$97,2,0)</f>
        <v>#N/A</v>
      </c>
    </row>
    <row r="781" spans="24:27">
      <c r="X781" s="8" t="str">
        <f>+IFERROR(VLOOKUP(N781,[1]Hoja1!$B$2:$F$52,4,0)*P781,"")</f>
        <v/>
      </c>
      <c r="Y781" s="8" t="e">
        <f>+VLOOKUP(M781,[1]SKU!$B$3:$E$81,4,0)</f>
        <v>#N/A</v>
      </c>
      <c r="Z781" s="8" t="str">
        <f t="shared" si="12"/>
        <v>FLEX</v>
      </c>
      <c r="AA781" s="8" t="e">
        <f>+VLOOKUP(I781,[1]SKU!$H$2:$I$97,2,0)</f>
        <v>#N/A</v>
      </c>
    </row>
    <row r="782" spans="24:27">
      <c r="X782" s="8" t="str">
        <f>+IFERROR(VLOOKUP(N782,[1]Hoja1!$B$2:$F$52,4,0)*P782,"")</f>
        <v/>
      </c>
      <c r="Y782" s="8" t="e">
        <f>+VLOOKUP(M782,[1]SKU!$B$3:$E$81,4,0)</f>
        <v>#N/A</v>
      </c>
      <c r="Z782" s="8" t="str">
        <f t="shared" si="12"/>
        <v>FLEX</v>
      </c>
      <c r="AA782" s="8" t="e">
        <f>+VLOOKUP(I782,[1]SKU!$H$2:$I$97,2,0)</f>
        <v>#N/A</v>
      </c>
    </row>
    <row r="783" spans="24:27">
      <c r="X783" s="8" t="str">
        <f>+IFERROR(VLOOKUP(N783,[1]Hoja1!$B$2:$F$52,4,0)*P783,"")</f>
        <v/>
      </c>
      <c r="Y783" s="8" t="e">
        <f>+VLOOKUP(M783,[1]SKU!$B$3:$E$81,4,0)</f>
        <v>#N/A</v>
      </c>
      <c r="Z783" s="8" t="str">
        <f t="shared" si="12"/>
        <v>FLEX</v>
      </c>
      <c r="AA783" s="8" t="e">
        <f>+VLOOKUP(I783,[1]SKU!$H$2:$I$97,2,0)</f>
        <v>#N/A</v>
      </c>
    </row>
    <row r="784" spans="24:27">
      <c r="X784" s="8" t="str">
        <f>+IFERROR(VLOOKUP(N784,[1]Hoja1!$B$2:$F$52,4,0)*P784,"")</f>
        <v/>
      </c>
      <c r="Y784" s="8" t="e">
        <f>+VLOOKUP(M784,[1]SKU!$B$3:$E$81,4,0)</f>
        <v>#N/A</v>
      </c>
      <c r="Z784" s="8" t="str">
        <f t="shared" si="12"/>
        <v>FLEX</v>
      </c>
      <c r="AA784" s="8" t="e">
        <f>+VLOOKUP(I784,[1]SKU!$H$2:$I$97,2,0)</f>
        <v>#N/A</v>
      </c>
    </row>
    <row r="785" spans="24:27">
      <c r="X785" s="8" t="str">
        <f>+IFERROR(VLOOKUP(N785,[1]Hoja1!$B$2:$F$52,4,0)*P785,"")</f>
        <v/>
      </c>
      <c r="Y785" s="8" t="e">
        <f>+VLOOKUP(M785,[1]SKU!$B$3:$E$81,4,0)</f>
        <v>#N/A</v>
      </c>
      <c r="Z785" s="8" t="str">
        <f t="shared" si="12"/>
        <v>FLEX</v>
      </c>
      <c r="AA785" s="8" t="e">
        <f>+VLOOKUP(I785,[1]SKU!$H$2:$I$97,2,0)</f>
        <v>#N/A</v>
      </c>
    </row>
    <row r="786" spans="24:27">
      <c r="X786" s="8" t="str">
        <f>+IFERROR(VLOOKUP(N786,[1]Hoja1!$B$2:$F$52,4,0)*P786,"")</f>
        <v/>
      </c>
      <c r="Y786" s="8" t="e">
        <f>+VLOOKUP(M786,[1]SKU!$B$3:$E$81,4,0)</f>
        <v>#N/A</v>
      </c>
      <c r="Z786" s="8" t="str">
        <f t="shared" si="12"/>
        <v>FLEX</v>
      </c>
      <c r="AA786" s="8" t="e">
        <f>+VLOOKUP(I786,[1]SKU!$H$2:$I$97,2,0)</f>
        <v>#N/A</v>
      </c>
    </row>
    <row r="787" spans="24:27">
      <c r="X787" s="8" t="str">
        <f>+IFERROR(VLOOKUP(N787,[1]Hoja1!$B$2:$F$52,4,0)*P787,"")</f>
        <v/>
      </c>
      <c r="Y787" s="8" t="e">
        <f>+VLOOKUP(M787,[1]SKU!$B$3:$E$81,4,0)</f>
        <v>#N/A</v>
      </c>
      <c r="Z787" s="8" t="str">
        <f t="shared" si="12"/>
        <v>FLEX</v>
      </c>
      <c r="AA787" s="8" t="e">
        <f>+VLOOKUP(I787,[1]SKU!$H$2:$I$97,2,0)</f>
        <v>#N/A</v>
      </c>
    </row>
    <row r="788" spans="24:27">
      <c r="X788" s="8" t="str">
        <f>+IFERROR(VLOOKUP(N788,[1]Hoja1!$B$2:$F$52,4,0)*P788,"")</f>
        <v/>
      </c>
      <c r="Y788" s="8" t="e">
        <f>+VLOOKUP(M788,[1]SKU!$B$3:$E$81,4,0)</f>
        <v>#N/A</v>
      </c>
      <c r="Z788" s="8" t="str">
        <f t="shared" si="12"/>
        <v>FLEX</v>
      </c>
      <c r="AA788" s="8" t="e">
        <f>+VLOOKUP(I788,[1]SKU!$H$2:$I$97,2,0)</f>
        <v>#N/A</v>
      </c>
    </row>
    <row r="789" spans="24:27">
      <c r="X789" s="8" t="str">
        <f>+IFERROR(VLOOKUP(N789,[1]Hoja1!$B$2:$F$52,4,0)*P789,"")</f>
        <v/>
      </c>
      <c r="Y789" s="8" t="e">
        <f>+VLOOKUP(M789,[1]SKU!$B$3:$E$81,4,0)</f>
        <v>#N/A</v>
      </c>
      <c r="Z789" s="8" t="str">
        <f t="shared" si="12"/>
        <v>FLEX</v>
      </c>
      <c r="AA789" s="8" t="e">
        <f>+VLOOKUP(I789,[1]SKU!$H$2:$I$97,2,0)</f>
        <v>#N/A</v>
      </c>
    </row>
    <row r="790" spans="24:27">
      <c r="X790" s="8" t="str">
        <f>+IFERROR(VLOOKUP(N790,[1]Hoja1!$B$2:$F$52,4,0)*P790,"")</f>
        <v/>
      </c>
      <c r="Y790" s="8" t="e">
        <f>+VLOOKUP(M790,[1]SKU!$B$3:$E$81,4,0)</f>
        <v>#N/A</v>
      </c>
      <c r="Z790" s="8" t="str">
        <f t="shared" si="12"/>
        <v>FLEX</v>
      </c>
      <c r="AA790" s="8" t="e">
        <f>+VLOOKUP(I790,[1]SKU!$H$2:$I$97,2,0)</f>
        <v>#N/A</v>
      </c>
    </row>
    <row r="791" spans="24:27">
      <c r="X791" s="8" t="str">
        <f>+IFERROR(VLOOKUP(N791,[1]Hoja1!$B$2:$F$52,4,0)*P791,"")</f>
        <v/>
      </c>
      <c r="Y791" s="8" t="e">
        <f>+VLOOKUP(M791,[1]SKU!$B$3:$E$81,4,0)</f>
        <v>#N/A</v>
      </c>
      <c r="Z791" s="8" t="str">
        <f t="shared" si="12"/>
        <v>FLEX</v>
      </c>
      <c r="AA791" s="8" t="e">
        <f>+VLOOKUP(I791,[1]SKU!$H$2:$I$97,2,0)</f>
        <v>#N/A</v>
      </c>
    </row>
    <row r="792" spans="24:27">
      <c r="X792" s="8" t="str">
        <f>+IFERROR(VLOOKUP(N792,[1]Hoja1!$B$2:$F$52,4,0)*P792,"")</f>
        <v/>
      </c>
      <c r="Y792" s="8" t="e">
        <f>+VLOOKUP(M792,[1]SKU!$B$3:$E$81,4,0)</f>
        <v>#N/A</v>
      </c>
      <c r="Z792" s="8" t="str">
        <f t="shared" si="12"/>
        <v>FLEX</v>
      </c>
      <c r="AA792" s="8" t="e">
        <f>+VLOOKUP(I792,[1]SKU!$H$2:$I$97,2,0)</f>
        <v>#N/A</v>
      </c>
    </row>
    <row r="793" spans="24:27">
      <c r="X793" s="8" t="str">
        <f>+IFERROR(VLOOKUP(N793,[1]Hoja1!$B$2:$F$52,4,0)*P793,"")</f>
        <v/>
      </c>
      <c r="Y793" s="8" t="e">
        <f>+VLOOKUP(M793,[1]SKU!$B$3:$E$81,4,0)</f>
        <v>#N/A</v>
      </c>
      <c r="Z793" s="8" t="str">
        <f t="shared" si="12"/>
        <v>FLEX</v>
      </c>
      <c r="AA793" s="8" t="e">
        <f>+VLOOKUP(I793,[1]SKU!$H$2:$I$97,2,0)</f>
        <v>#N/A</v>
      </c>
    </row>
    <row r="794" spans="24:27">
      <c r="X794" s="8" t="str">
        <f>+IFERROR(VLOOKUP(N794,[1]Hoja1!$B$2:$F$52,4,0)*P794,"")</f>
        <v/>
      </c>
      <c r="Y794" s="8" t="e">
        <f>+VLOOKUP(M794,[1]SKU!$B$3:$E$81,4,0)</f>
        <v>#N/A</v>
      </c>
      <c r="Z794" s="8" t="str">
        <f t="shared" si="12"/>
        <v>FLEX</v>
      </c>
      <c r="AA794" s="8" t="e">
        <f>+VLOOKUP(I794,[1]SKU!$H$2:$I$97,2,0)</f>
        <v>#N/A</v>
      </c>
    </row>
    <row r="795" spans="24:27">
      <c r="X795" s="8" t="str">
        <f>+IFERROR(VLOOKUP(N795,[1]Hoja1!$B$2:$F$52,4,0)*P795,"")</f>
        <v/>
      </c>
      <c r="Y795" s="8" t="e">
        <f>+VLOOKUP(M795,[1]SKU!$B$3:$E$81,4,0)</f>
        <v>#N/A</v>
      </c>
      <c r="Z795" s="8" t="str">
        <f t="shared" si="12"/>
        <v>FLEX</v>
      </c>
      <c r="AA795" s="8" t="e">
        <f>+VLOOKUP(I795,[1]SKU!$H$2:$I$97,2,0)</f>
        <v>#N/A</v>
      </c>
    </row>
    <row r="796" spans="24:27">
      <c r="X796" s="8" t="str">
        <f>+IFERROR(VLOOKUP(N796,[1]Hoja1!$B$2:$F$52,4,0)*P796,"")</f>
        <v/>
      </c>
      <c r="Y796" s="8" t="e">
        <f>+VLOOKUP(M796,[1]SKU!$B$3:$E$81,4,0)</f>
        <v>#N/A</v>
      </c>
      <c r="Z796" s="8" t="str">
        <f t="shared" si="12"/>
        <v>FLEX</v>
      </c>
      <c r="AA796" s="8" t="e">
        <f>+VLOOKUP(I796,[1]SKU!$H$2:$I$97,2,0)</f>
        <v>#N/A</v>
      </c>
    </row>
    <row r="797" spans="24:27">
      <c r="X797" s="8" t="str">
        <f>+IFERROR(VLOOKUP(N797,[1]Hoja1!$B$2:$F$52,4,0)*P797,"")</f>
        <v/>
      </c>
      <c r="Y797" s="8" t="e">
        <f>+VLOOKUP(M797,[1]SKU!$B$3:$E$81,4,0)</f>
        <v>#N/A</v>
      </c>
      <c r="Z797" s="8" t="str">
        <f t="shared" si="12"/>
        <v>FLEX</v>
      </c>
      <c r="AA797" s="8" t="e">
        <f>+VLOOKUP(I797,[1]SKU!$H$2:$I$97,2,0)</f>
        <v>#N/A</v>
      </c>
    </row>
    <row r="798" spans="24:27">
      <c r="X798" s="8" t="str">
        <f>+IFERROR(VLOOKUP(N798,[1]Hoja1!$B$2:$F$52,4,0)*P798,"")</f>
        <v/>
      </c>
      <c r="Y798" s="8" t="e">
        <f>+VLOOKUP(M798,[1]SKU!$B$3:$E$81,4,0)</f>
        <v>#N/A</v>
      </c>
      <c r="Z798" s="8" t="str">
        <f t="shared" si="12"/>
        <v>FLEX</v>
      </c>
      <c r="AA798" s="8" t="e">
        <f>+VLOOKUP(I798,[1]SKU!$H$2:$I$97,2,0)</f>
        <v>#N/A</v>
      </c>
    </row>
    <row r="799" spans="24:27">
      <c r="X799" s="8" t="str">
        <f>+IFERROR(VLOOKUP(N799,[1]Hoja1!$B$2:$F$52,4,0)*P799,"")</f>
        <v/>
      </c>
      <c r="Y799" s="8" t="e">
        <f>+VLOOKUP(M799,[1]SKU!$B$3:$E$81,4,0)</f>
        <v>#N/A</v>
      </c>
      <c r="Z799" s="8" t="str">
        <f t="shared" si="12"/>
        <v>FLEX</v>
      </c>
      <c r="AA799" s="8" t="e">
        <f>+VLOOKUP(I799,[1]SKU!$H$2:$I$97,2,0)</f>
        <v>#N/A</v>
      </c>
    </row>
    <row r="800" spans="24:27">
      <c r="X800" s="8" t="str">
        <f>+IFERROR(VLOOKUP(N800,[1]Hoja1!$B$2:$F$52,4,0)*P800,"")</f>
        <v/>
      </c>
      <c r="Y800" s="8" t="e">
        <f>+VLOOKUP(M800,[1]SKU!$B$3:$E$81,4,0)</f>
        <v>#N/A</v>
      </c>
      <c r="Z800" s="8" t="str">
        <f t="shared" si="12"/>
        <v>FLEX</v>
      </c>
      <c r="AA800" s="8" t="e">
        <f>+VLOOKUP(I800,[1]SKU!$H$2:$I$97,2,0)</f>
        <v>#N/A</v>
      </c>
    </row>
    <row r="801" spans="24:27">
      <c r="X801" s="8" t="str">
        <f>+IFERROR(VLOOKUP(N801,[1]Hoja1!$B$2:$F$52,4,0)*P801,"")</f>
        <v/>
      </c>
      <c r="Y801" s="8" t="e">
        <f>+VLOOKUP(M801,[1]SKU!$B$3:$E$81,4,0)</f>
        <v>#N/A</v>
      </c>
      <c r="Z801" s="8" t="str">
        <f t="shared" si="12"/>
        <v>FLEX</v>
      </c>
      <c r="AA801" s="8" t="e">
        <f>+VLOOKUP(I801,[1]SKU!$H$2:$I$97,2,0)</f>
        <v>#N/A</v>
      </c>
    </row>
    <row r="802" spans="24:27">
      <c r="X802" s="8" t="str">
        <f>+IFERROR(VLOOKUP(N802,[1]Hoja1!$B$2:$F$52,4,0)*P802,"")</f>
        <v/>
      </c>
      <c r="Y802" s="8" t="e">
        <f>+VLOOKUP(M802,[1]SKU!$B$3:$E$81,4,0)</f>
        <v>#N/A</v>
      </c>
      <c r="Z802" s="8" t="str">
        <f t="shared" si="12"/>
        <v>FLEX</v>
      </c>
      <c r="AA802" s="8" t="e">
        <f>+VLOOKUP(I802,[1]SKU!$H$2:$I$97,2,0)</f>
        <v>#N/A</v>
      </c>
    </row>
    <row r="803" spans="24:27">
      <c r="X803" s="8" t="str">
        <f>+IFERROR(VLOOKUP(N803,[1]Hoja1!$B$2:$F$52,4,0)*P803,"")</f>
        <v/>
      </c>
      <c r="Y803" s="8" t="e">
        <f>+VLOOKUP(M803,[1]SKU!$B$3:$E$81,4,0)</f>
        <v>#N/A</v>
      </c>
      <c r="Z803" s="8" t="str">
        <f t="shared" si="12"/>
        <v>FLEX</v>
      </c>
      <c r="AA803" s="8" t="e">
        <f>+VLOOKUP(I803,[1]SKU!$H$2:$I$97,2,0)</f>
        <v>#N/A</v>
      </c>
    </row>
    <row r="804" spans="24:27">
      <c r="X804" s="8" t="str">
        <f>+IFERROR(VLOOKUP(N804,[1]Hoja1!$B$2:$F$52,4,0)*P804,"")</f>
        <v/>
      </c>
      <c r="Y804" s="8" t="e">
        <f>+VLOOKUP(M804,[1]SKU!$B$3:$E$81,4,0)</f>
        <v>#N/A</v>
      </c>
      <c r="Z804" s="8" t="str">
        <f t="shared" si="12"/>
        <v>FLEX</v>
      </c>
      <c r="AA804" s="8" t="e">
        <f>+VLOOKUP(I804,[1]SKU!$H$2:$I$97,2,0)</f>
        <v>#N/A</v>
      </c>
    </row>
    <row r="805" spans="24:27">
      <c r="X805" s="8" t="str">
        <f>+IFERROR(VLOOKUP(N805,[1]Hoja1!$B$2:$F$52,4,0)*P805,"")</f>
        <v/>
      </c>
      <c r="Y805" s="8" t="e">
        <f>+VLOOKUP(M805,[1]SKU!$B$3:$E$81,4,0)</f>
        <v>#N/A</v>
      </c>
      <c r="Z805" s="8" t="str">
        <f t="shared" si="12"/>
        <v>FLEX</v>
      </c>
      <c r="AA805" s="8" t="e">
        <f>+VLOOKUP(I805,[1]SKU!$H$2:$I$97,2,0)</f>
        <v>#N/A</v>
      </c>
    </row>
    <row r="806" spans="24:27">
      <c r="X806" s="8" t="str">
        <f>+IFERROR(VLOOKUP(N806,[1]Hoja1!$B$2:$F$52,4,0)*P806,"")</f>
        <v/>
      </c>
      <c r="Y806" s="8" t="e">
        <f>+VLOOKUP(M806,[1]SKU!$B$3:$E$81,4,0)</f>
        <v>#N/A</v>
      </c>
      <c r="Z806" s="8" t="str">
        <f t="shared" si="12"/>
        <v>FLEX</v>
      </c>
      <c r="AA806" s="8" t="e">
        <f>+VLOOKUP(I806,[1]SKU!$H$2:$I$97,2,0)</f>
        <v>#N/A</v>
      </c>
    </row>
    <row r="807" spans="24:27">
      <c r="X807" s="8" t="str">
        <f>+IFERROR(VLOOKUP(N807,[1]Hoja1!$B$2:$F$52,4,0)*P807,"")</f>
        <v/>
      </c>
      <c r="Y807" s="8" t="e">
        <f>+VLOOKUP(M807,[1]SKU!$B$3:$E$81,4,0)</f>
        <v>#N/A</v>
      </c>
      <c r="Z807" s="8" t="str">
        <f t="shared" si="12"/>
        <v>FLEX</v>
      </c>
      <c r="AA807" s="8" t="e">
        <f>+VLOOKUP(I807,[1]SKU!$H$2:$I$97,2,0)</f>
        <v>#N/A</v>
      </c>
    </row>
    <row r="808" spans="24:27">
      <c r="X808" s="8" t="str">
        <f>+IFERROR(VLOOKUP(N808,[1]Hoja1!$B$2:$F$52,4,0)*P808,"")</f>
        <v/>
      </c>
      <c r="Y808" s="8" t="e">
        <f>+VLOOKUP(M808,[1]SKU!$B$3:$E$81,4,0)</f>
        <v>#N/A</v>
      </c>
      <c r="Z808" s="8" t="str">
        <f t="shared" si="12"/>
        <v>FLEX</v>
      </c>
      <c r="AA808" s="8" t="e">
        <f>+VLOOKUP(I808,[1]SKU!$H$2:$I$97,2,0)</f>
        <v>#N/A</v>
      </c>
    </row>
    <row r="809" spans="24:27">
      <c r="X809" s="8" t="str">
        <f>+IFERROR(VLOOKUP(N809,[1]Hoja1!$B$2:$F$52,4,0)*P809,"")</f>
        <v/>
      </c>
      <c r="Y809" s="8" t="e">
        <f>+VLOOKUP(M809,[1]SKU!$B$3:$E$81,4,0)</f>
        <v>#N/A</v>
      </c>
      <c r="Z809" s="8" t="str">
        <f t="shared" si="12"/>
        <v>FLEX</v>
      </c>
      <c r="AA809" s="8" t="e">
        <f>+VLOOKUP(I809,[1]SKU!$H$2:$I$97,2,0)</f>
        <v>#N/A</v>
      </c>
    </row>
    <row r="810" spans="24:27">
      <c r="X810" s="8" t="str">
        <f>+IFERROR(VLOOKUP(N810,[1]Hoja1!$B$2:$F$52,4,0)*P810,"")</f>
        <v/>
      </c>
      <c r="Y810" s="8" t="e">
        <f>+VLOOKUP(M810,[1]SKU!$B$3:$E$81,4,0)</f>
        <v>#N/A</v>
      </c>
      <c r="Z810" s="8" t="str">
        <f t="shared" si="12"/>
        <v>FLEX</v>
      </c>
      <c r="AA810" s="8" t="e">
        <f>+VLOOKUP(I810,[1]SKU!$H$2:$I$97,2,0)</f>
        <v>#N/A</v>
      </c>
    </row>
    <row r="811" spans="24:27">
      <c r="X811" s="8" t="str">
        <f>+IFERROR(VLOOKUP(N811,[1]Hoja1!$B$2:$F$52,4,0)*P811,"")</f>
        <v/>
      </c>
      <c r="Y811" s="8" t="e">
        <f>+VLOOKUP(M811,[1]SKU!$B$3:$E$81,4,0)</f>
        <v>#N/A</v>
      </c>
      <c r="Z811" s="8" t="str">
        <f t="shared" si="12"/>
        <v>FLEX</v>
      </c>
      <c r="AA811" s="8" t="e">
        <f>+VLOOKUP(I811,[1]SKU!$H$2:$I$97,2,0)</f>
        <v>#N/A</v>
      </c>
    </row>
    <row r="812" spans="24:27">
      <c r="X812" s="8" t="str">
        <f>+IFERROR(VLOOKUP(N812,[1]Hoja1!$B$2:$F$52,4,0)*P812,"")</f>
        <v/>
      </c>
      <c r="Y812" s="8" t="e">
        <f>+VLOOKUP(M812,[1]SKU!$B$3:$E$81,4,0)</f>
        <v>#N/A</v>
      </c>
      <c r="Z812" s="8" t="str">
        <f t="shared" si="12"/>
        <v>FLEX</v>
      </c>
      <c r="AA812" s="8" t="e">
        <f>+VLOOKUP(I812,[1]SKU!$H$2:$I$97,2,0)</f>
        <v>#N/A</v>
      </c>
    </row>
    <row r="813" spans="24:27">
      <c r="X813" s="8" t="str">
        <f>+IFERROR(VLOOKUP(N813,[1]Hoja1!$B$2:$F$52,4,0)*P813,"")</f>
        <v/>
      </c>
      <c r="Y813" s="8" t="e">
        <f>+VLOOKUP(M813,[1]SKU!$B$3:$E$81,4,0)</f>
        <v>#N/A</v>
      </c>
      <c r="Z813" s="8" t="str">
        <f t="shared" si="12"/>
        <v>FLEX</v>
      </c>
      <c r="AA813" s="8" t="e">
        <f>+VLOOKUP(I813,[1]SKU!$H$2:$I$97,2,0)</f>
        <v>#N/A</v>
      </c>
    </row>
    <row r="814" spans="24:27">
      <c r="X814" s="8" t="str">
        <f>+IFERROR(VLOOKUP(N814,[1]Hoja1!$B$2:$F$52,4,0)*P814,"")</f>
        <v/>
      </c>
      <c r="Y814" s="8" t="e">
        <f>+VLOOKUP(M814,[1]SKU!$B$3:$E$81,4,0)</f>
        <v>#N/A</v>
      </c>
      <c r="Z814" s="8" t="str">
        <f t="shared" si="12"/>
        <v>FLEX</v>
      </c>
      <c r="AA814" s="8" t="e">
        <f>+VLOOKUP(I814,[1]SKU!$H$2:$I$97,2,0)</f>
        <v>#N/A</v>
      </c>
    </row>
    <row r="815" spans="24:27">
      <c r="X815" s="8" t="str">
        <f>+IFERROR(VLOOKUP(N815,[1]Hoja1!$B$2:$F$52,4,0)*P815,"")</f>
        <v/>
      </c>
      <c r="Y815" s="8" t="e">
        <f>+VLOOKUP(M815,[1]SKU!$B$3:$E$81,4,0)</f>
        <v>#N/A</v>
      </c>
      <c r="Z815" s="8" t="str">
        <f t="shared" si="12"/>
        <v>FLEX</v>
      </c>
      <c r="AA815" s="8" t="e">
        <f>+VLOOKUP(I815,[1]SKU!$H$2:$I$97,2,0)</f>
        <v>#N/A</v>
      </c>
    </row>
    <row r="816" spans="24:27">
      <c r="X816" s="8" t="str">
        <f>+IFERROR(VLOOKUP(N816,[1]Hoja1!$B$2:$F$52,4,0)*P816,"")</f>
        <v/>
      </c>
      <c r="Y816" s="8" t="e">
        <f>+VLOOKUP(M816,[1]SKU!$B$3:$E$81,4,0)</f>
        <v>#N/A</v>
      </c>
      <c r="Z816" s="8" t="str">
        <f t="shared" si="12"/>
        <v>FLEX</v>
      </c>
      <c r="AA816" s="8" t="e">
        <f>+VLOOKUP(I816,[1]SKU!$H$2:$I$97,2,0)</f>
        <v>#N/A</v>
      </c>
    </row>
    <row r="817" spans="24:27">
      <c r="X817" s="8" t="str">
        <f>+IFERROR(VLOOKUP(N817,[1]Hoja1!$B$2:$F$52,4,0)*P817,"")</f>
        <v/>
      </c>
      <c r="Y817" s="8" t="e">
        <f>+VLOOKUP(M817,[1]SKU!$B$3:$E$81,4,0)</f>
        <v>#N/A</v>
      </c>
      <c r="Z817" s="8" t="str">
        <f t="shared" si="12"/>
        <v>FLEX</v>
      </c>
      <c r="AA817" s="8" t="e">
        <f>+VLOOKUP(I817,[1]SKU!$H$2:$I$97,2,0)</f>
        <v>#N/A</v>
      </c>
    </row>
    <row r="818" spans="24:27">
      <c r="X818" s="8" t="str">
        <f>+IFERROR(VLOOKUP(N818,[1]Hoja1!$B$2:$F$52,4,0)*P818,"")</f>
        <v/>
      </c>
      <c r="Y818" s="8" t="e">
        <f>+VLOOKUP(M818,[1]SKU!$B$3:$E$81,4,0)</f>
        <v>#N/A</v>
      </c>
      <c r="Z818" s="8" t="str">
        <f t="shared" si="12"/>
        <v>FLEX</v>
      </c>
      <c r="AA818" s="8" t="e">
        <f>+VLOOKUP(I818,[1]SKU!$H$2:$I$97,2,0)</f>
        <v>#N/A</v>
      </c>
    </row>
    <row r="819" spans="24:27">
      <c r="X819" s="8" t="str">
        <f>+IFERROR(VLOOKUP(N819,[1]Hoja1!$B$2:$F$52,4,0)*P819,"")</f>
        <v/>
      </c>
      <c r="Y819" s="8" t="e">
        <f>+VLOOKUP(M819,[1]SKU!$B$3:$E$81,4,0)</f>
        <v>#N/A</v>
      </c>
      <c r="Z819" s="8" t="str">
        <f t="shared" si="12"/>
        <v>FLEX</v>
      </c>
      <c r="AA819" s="8" t="e">
        <f>+VLOOKUP(I819,[1]SKU!$H$2:$I$97,2,0)</f>
        <v>#N/A</v>
      </c>
    </row>
    <row r="820" spans="24:27">
      <c r="X820" s="8" t="str">
        <f>+IFERROR(VLOOKUP(N820,[1]Hoja1!$B$2:$F$52,4,0)*P820,"")</f>
        <v/>
      </c>
      <c r="Y820" s="8" t="e">
        <f>+VLOOKUP(M820,[1]SKU!$B$3:$E$81,4,0)</f>
        <v>#N/A</v>
      </c>
      <c r="Z820" s="8" t="str">
        <f t="shared" si="12"/>
        <v>FLEX</v>
      </c>
      <c r="AA820" s="8" t="e">
        <f>+VLOOKUP(I820,[1]SKU!$H$2:$I$97,2,0)</f>
        <v>#N/A</v>
      </c>
    </row>
    <row r="821" spans="24:27">
      <c r="X821" s="8" t="str">
        <f>+IFERROR(VLOOKUP(N821,[1]Hoja1!$B$2:$F$52,4,0)*P821,"")</f>
        <v/>
      </c>
      <c r="Y821" s="8" t="e">
        <f>+VLOOKUP(M821,[1]SKU!$B$3:$E$81,4,0)</f>
        <v>#N/A</v>
      </c>
      <c r="Z821" s="8" t="str">
        <f t="shared" si="12"/>
        <v>FLEX</v>
      </c>
      <c r="AA821" s="8" t="e">
        <f>+VLOOKUP(I821,[1]SKU!$H$2:$I$97,2,0)</f>
        <v>#N/A</v>
      </c>
    </row>
    <row r="822" spans="24:27">
      <c r="X822" s="8" t="str">
        <f>+IFERROR(VLOOKUP(N822,[1]Hoja1!$B$2:$F$52,4,0)*P822,"")</f>
        <v/>
      </c>
      <c r="Y822" s="8" t="e">
        <f>+VLOOKUP(M822,[1]SKU!$B$3:$E$81,4,0)</f>
        <v>#N/A</v>
      </c>
      <c r="Z822" s="8" t="str">
        <f t="shared" si="12"/>
        <v>FLEX</v>
      </c>
      <c r="AA822" s="8" t="e">
        <f>+VLOOKUP(I822,[1]SKU!$H$2:$I$97,2,0)</f>
        <v>#N/A</v>
      </c>
    </row>
    <row r="823" spans="24:27">
      <c r="X823" s="8" t="str">
        <f>+IFERROR(VLOOKUP(N823,[1]Hoja1!$B$2:$F$52,4,0)*P823,"")</f>
        <v/>
      </c>
      <c r="Y823" s="8" t="e">
        <f>+VLOOKUP(M823,[1]SKU!$B$3:$E$81,4,0)</f>
        <v>#N/A</v>
      </c>
      <c r="Z823" s="8" t="str">
        <f t="shared" si="12"/>
        <v>FLEX</v>
      </c>
      <c r="AA823" s="8" t="e">
        <f>+VLOOKUP(I823,[1]SKU!$H$2:$I$97,2,0)</f>
        <v>#N/A</v>
      </c>
    </row>
    <row r="824" spans="24:27">
      <c r="X824" s="8" t="str">
        <f>+IFERROR(VLOOKUP(N824,[1]Hoja1!$B$2:$F$52,4,0)*P824,"")</f>
        <v/>
      </c>
      <c r="Y824" s="8" t="e">
        <f>+VLOOKUP(M824,[1]SKU!$B$3:$E$81,4,0)</f>
        <v>#N/A</v>
      </c>
      <c r="Z824" s="8" t="str">
        <f t="shared" si="12"/>
        <v>FLEX</v>
      </c>
      <c r="AA824" s="8" t="e">
        <f>+VLOOKUP(I824,[1]SKU!$H$2:$I$97,2,0)</f>
        <v>#N/A</v>
      </c>
    </row>
    <row r="825" spans="24:27">
      <c r="X825" s="8" t="str">
        <f>+IFERROR(VLOOKUP(N825,[1]Hoja1!$B$2:$F$52,4,0)*P825,"")</f>
        <v/>
      </c>
      <c r="Y825" s="8" t="e">
        <f>+VLOOKUP(M825,[1]SKU!$B$3:$E$81,4,0)</f>
        <v>#N/A</v>
      </c>
      <c r="Z825" s="8" t="str">
        <f t="shared" si="12"/>
        <v>FLEX</v>
      </c>
      <c r="AA825" s="8" t="e">
        <f>+VLOOKUP(I825,[1]SKU!$H$2:$I$97,2,0)</f>
        <v>#N/A</v>
      </c>
    </row>
    <row r="826" spans="24:27">
      <c r="X826" s="8" t="str">
        <f>+IFERROR(VLOOKUP(N826,[1]Hoja1!$B$2:$F$52,4,0)*P826,"")</f>
        <v/>
      </c>
      <c r="Y826" s="8" t="e">
        <f>+VLOOKUP(M826,[1]SKU!$B$3:$E$81,4,0)</f>
        <v>#N/A</v>
      </c>
      <c r="Z826" s="8" t="str">
        <f t="shared" si="12"/>
        <v>FLEX</v>
      </c>
      <c r="AA826" s="8" t="e">
        <f>+VLOOKUP(I826,[1]SKU!$H$2:$I$97,2,0)</f>
        <v>#N/A</v>
      </c>
    </row>
    <row r="827" spans="24:27">
      <c r="X827" s="8" t="str">
        <f>+IFERROR(VLOOKUP(N827,[1]Hoja1!$B$2:$F$52,4,0)*P827,"")</f>
        <v/>
      </c>
      <c r="Y827" s="8" t="e">
        <f>+VLOOKUP(M827,[1]SKU!$B$3:$E$81,4,0)</f>
        <v>#N/A</v>
      </c>
      <c r="Z827" s="8" t="str">
        <f t="shared" si="12"/>
        <v>FLEX</v>
      </c>
      <c r="AA827" s="8" t="e">
        <f>+VLOOKUP(I827,[1]SKU!$H$2:$I$97,2,0)</f>
        <v>#N/A</v>
      </c>
    </row>
    <row r="828" spans="24:27">
      <c r="X828" s="8" t="str">
        <f>+IFERROR(VLOOKUP(N828,[1]Hoja1!$B$2:$F$52,4,0)*P828,"")</f>
        <v/>
      </c>
      <c r="Y828" s="8" t="e">
        <f>+VLOOKUP(M828,[1]SKU!$B$3:$E$81,4,0)</f>
        <v>#N/A</v>
      </c>
      <c r="Z828" s="8" t="str">
        <f t="shared" si="12"/>
        <v>FLEX</v>
      </c>
      <c r="AA828" s="8" t="e">
        <f>+VLOOKUP(I828,[1]SKU!$H$2:$I$97,2,0)</f>
        <v>#N/A</v>
      </c>
    </row>
    <row r="829" spans="24:27">
      <c r="X829" s="8" t="str">
        <f>+IFERROR(VLOOKUP(N829,[1]Hoja1!$B$2:$F$52,4,0)*P829,"")</f>
        <v/>
      </c>
      <c r="Y829" s="8" t="e">
        <f>+VLOOKUP(M829,[1]SKU!$B$3:$E$81,4,0)</f>
        <v>#N/A</v>
      </c>
      <c r="Z829" s="8" t="str">
        <f t="shared" si="12"/>
        <v>FLEX</v>
      </c>
      <c r="AA829" s="8" t="e">
        <f>+VLOOKUP(I829,[1]SKU!$H$2:$I$97,2,0)</f>
        <v>#N/A</v>
      </c>
    </row>
    <row r="830" spans="24:27">
      <c r="X830" s="8" t="str">
        <f>+IFERROR(VLOOKUP(N830,[1]Hoja1!$B$2:$F$52,4,0)*P830,"")</f>
        <v/>
      </c>
      <c r="Y830" s="8" t="e">
        <f>+VLOOKUP(M830,[1]SKU!$B$3:$E$81,4,0)</f>
        <v>#N/A</v>
      </c>
      <c r="Z830" s="8" t="str">
        <f t="shared" si="12"/>
        <v>FLEX</v>
      </c>
      <c r="AA830" s="8" t="e">
        <f>+VLOOKUP(I830,[1]SKU!$H$2:$I$97,2,0)</f>
        <v>#N/A</v>
      </c>
    </row>
    <row r="831" spans="24:27">
      <c r="X831" s="8" t="str">
        <f>+IFERROR(VLOOKUP(N831,[1]Hoja1!$B$2:$F$52,4,0)*P831,"")</f>
        <v/>
      </c>
      <c r="Y831" s="8" t="e">
        <f>+VLOOKUP(M831,[1]SKU!$B$3:$E$81,4,0)</f>
        <v>#N/A</v>
      </c>
      <c r="Z831" s="8" t="str">
        <f t="shared" si="12"/>
        <v>FLEX</v>
      </c>
      <c r="AA831" s="8" t="e">
        <f>+VLOOKUP(I831,[1]SKU!$H$2:$I$97,2,0)</f>
        <v>#N/A</v>
      </c>
    </row>
    <row r="832" spans="24:27">
      <c r="X832" s="8" t="str">
        <f>+IFERROR(VLOOKUP(N832,[1]Hoja1!$B$2:$F$52,4,0)*P832,"")</f>
        <v/>
      </c>
      <c r="Y832" s="8" t="e">
        <f>+VLOOKUP(M832,[1]SKU!$B$3:$E$81,4,0)</f>
        <v>#N/A</v>
      </c>
      <c r="Z832" s="8" t="str">
        <f t="shared" si="12"/>
        <v>FLEX</v>
      </c>
      <c r="AA832" s="8" t="e">
        <f>+VLOOKUP(I832,[1]SKU!$H$2:$I$97,2,0)</f>
        <v>#N/A</v>
      </c>
    </row>
    <row r="833" spans="24:27">
      <c r="X833" s="8" t="str">
        <f>+IFERROR(VLOOKUP(N833,[1]Hoja1!$B$2:$F$52,4,0)*P833,"")</f>
        <v/>
      </c>
      <c r="Y833" s="8" t="e">
        <f>+VLOOKUP(M833,[1]SKU!$B$3:$E$81,4,0)</f>
        <v>#N/A</v>
      </c>
      <c r="Z833" s="8" t="str">
        <f t="shared" si="12"/>
        <v>FLEX</v>
      </c>
      <c r="AA833" s="8" t="e">
        <f>+VLOOKUP(I833,[1]SKU!$H$2:$I$97,2,0)</f>
        <v>#N/A</v>
      </c>
    </row>
    <row r="834" spans="24:27">
      <c r="X834" s="8" t="str">
        <f>+IFERROR(VLOOKUP(N834,[1]Hoja1!$B$2:$F$52,4,0)*P834,"")</f>
        <v/>
      </c>
      <c r="Y834" s="8" t="e">
        <f>+VLOOKUP(M834,[1]SKU!$B$3:$E$81,4,0)</f>
        <v>#N/A</v>
      </c>
      <c r="Z834" s="8" t="str">
        <f t="shared" si="12"/>
        <v>FLEX</v>
      </c>
      <c r="AA834" s="8" t="e">
        <f>+VLOOKUP(I834,[1]SKU!$H$2:$I$97,2,0)</f>
        <v>#N/A</v>
      </c>
    </row>
    <row r="835" spans="24:27">
      <c r="X835" s="8" t="str">
        <f>+IFERROR(VLOOKUP(N835,[1]Hoja1!$B$2:$F$52,4,0)*P835,"")</f>
        <v/>
      </c>
      <c r="Y835" s="8" t="e">
        <f>+VLOOKUP(M835,[1]SKU!$B$3:$E$81,4,0)</f>
        <v>#N/A</v>
      </c>
      <c r="Z835" s="8" t="str">
        <f t="shared" ref="Z835:Z898" si="13">+IF(J835="VB01                          ","BEES","FLEX")</f>
        <v>FLEX</v>
      </c>
      <c r="AA835" s="8" t="e">
        <f>+VLOOKUP(I835,[1]SKU!$H$2:$I$97,2,0)</f>
        <v>#N/A</v>
      </c>
    </row>
    <row r="836" spans="24:27">
      <c r="X836" s="8" t="str">
        <f>+IFERROR(VLOOKUP(N836,[1]Hoja1!$B$2:$F$52,4,0)*P836,"")</f>
        <v/>
      </c>
      <c r="Y836" s="8" t="e">
        <f>+VLOOKUP(M836,[1]SKU!$B$3:$E$81,4,0)</f>
        <v>#N/A</v>
      </c>
      <c r="Z836" s="8" t="str">
        <f t="shared" si="13"/>
        <v>FLEX</v>
      </c>
      <c r="AA836" s="8" t="e">
        <f>+VLOOKUP(I836,[1]SKU!$H$2:$I$97,2,0)</f>
        <v>#N/A</v>
      </c>
    </row>
    <row r="837" spans="24:27">
      <c r="X837" s="8" t="str">
        <f>+IFERROR(VLOOKUP(N837,[1]Hoja1!$B$2:$F$52,4,0)*P837,"")</f>
        <v/>
      </c>
      <c r="Y837" s="8" t="e">
        <f>+VLOOKUP(M837,[1]SKU!$B$3:$E$81,4,0)</f>
        <v>#N/A</v>
      </c>
      <c r="Z837" s="8" t="str">
        <f t="shared" si="13"/>
        <v>FLEX</v>
      </c>
      <c r="AA837" s="8" t="e">
        <f>+VLOOKUP(I837,[1]SKU!$H$2:$I$97,2,0)</f>
        <v>#N/A</v>
      </c>
    </row>
    <row r="838" spans="24:27">
      <c r="X838" s="8" t="str">
        <f>+IFERROR(VLOOKUP(N838,[1]Hoja1!$B$2:$F$52,4,0)*P838,"")</f>
        <v/>
      </c>
      <c r="Y838" s="8" t="e">
        <f>+VLOOKUP(M838,[1]SKU!$B$3:$E$81,4,0)</f>
        <v>#N/A</v>
      </c>
      <c r="Z838" s="8" t="str">
        <f t="shared" si="13"/>
        <v>FLEX</v>
      </c>
      <c r="AA838" s="8" t="e">
        <f>+VLOOKUP(I838,[1]SKU!$H$2:$I$97,2,0)</f>
        <v>#N/A</v>
      </c>
    </row>
    <row r="839" spans="24:27">
      <c r="X839" s="8" t="str">
        <f>+IFERROR(VLOOKUP(N839,[1]Hoja1!$B$2:$F$52,4,0)*P839,"")</f>
        <v/>
      </c>
      <c r="Y839" s="8" t="e">
        <f>+VLOOKUP(M839,[1]SKU!$B$3:$E$81,4,0)</f>
        <v>#N/A</v>
      </c>
      <c r="Z839" s="8" t="str">
        <f t="shared" si="13"/>
        <v>FLEX</v>
      </c>
      <c r="AA839" s="8" t="e">
        <f>+VLOOKUP(I839,[1]SKU!$H$2:$I$97,2,0)</f>
        <v>#N/A</v>
      </c>
    </row>
    <row r="840" spans="24:27">
      <c r="X840" s="8" t="str">
        <f>+IFERROR(VLOOKUP(N840,[1]Hoja1!$B$2:$F$52,4,0)*P840,"")</f>
        <v/>
      </c>
      <c r="Y840" s="8" t="e">
        <f>+VLOOKUP(M840,[1]SKU!$B$3:$E$81,4,0)</f>
        <v>#N/A</v>
      </c>
      <c r="Z840" s="8" t="str">
        <f t="shared" si="13"/>
        <v>FLEX</v>
      </c>
      <c r="AA840" s="8" t="e">
        <f>+VLOOKUP(I840,[1]SKU!$H$2:$I$97,2,0)</f>
        <v>#N/A</v>
      </c>
    </row>
    <row r="841" spans="24:27">
      <c r="X841" s="8" t="str">
        <f>+IFERROR(VLOOKUP(N841,[1]Hoja1!$B$2:$F$52,4,0)*P841,"")</f>
        <v/>
      </c>
      <c r="Y841" s="8" t="e">
        <f>+VLOOKUP(M841,[1]SKU!$B$3:$E$81,4,0)</f>
        <v>#N/A</v>
      </c>
      <c r="Z841" s="8" t="str">
        <f t="shared" si="13"/>
        <v>FLEX</v>
      </c>
      <c r="AA841" s="8" t="e">
        <f>+VLOOKUP(I841,[1]SKU!$H$2:$I$97,2,0)</f>
        <v>#N/A</v>
      </c>
    </row>
    <row r="842" spans="24:27">
      <c r="X842" s="8" t="str">
        <f>+IFERROR(VLOOKUP(N842,[1]Hoja1!$B$2:$F$52,4,0)*P842,"")</f>
        <v/>
      </c>
      <c r="Y842" s="8" t="e">
        <f>+VLOOKUP(M842,[1]SKU!$B$3:$E$81,4,0)</f>
        <v>#N/A</v>
      </c>
      <c r="Z842" s="8" t="str">
        <f t="shared" si="13"/>
        <v>FLEX</v>
      </c>
      <c r="AA842" s="8" t="e">
        <f>+VLOOKUP(I842,[1]SKU!$H$2:$I$97,2,0)</f>
        <v>#N/A</v>
      </c>
    </row>
    <row r="843" spans="24:27">
      <c r="X843" s="8" t="str">
        <f>+IFERROR(VLOOKUP(N843,[1]Hoja1!$B$2:$F$52,4,0)*P843,"")</f>
        <v/>
      </c>
      <c r="Y843" s="8" t="e">
        <f>+VLOOKUP(M843,[1]SKU!$B$3:$E$81,4,0)</f>
        <v>#N/A</v>
      </c>
      <c r="Z843" s="8" t="str">
        <f t="shared" si="13"/>
        <v>FLEX</v>
      </c>
      <c r="AA843" s="8" t="e">
        <f>+VLOOKUP(I843,[1]SKU!$H$2:$I$97,2,0)</f>
        <v>#N/A</v>
      </c>
    </row>
    <row r="844" spans="24:27">
      <c r="X844" s="8" t="str">
        <f>+IFERROR(VLOOKUP(N844,[1]Hoja1!$B$2:$F$52,4,0)*P844,"")</f>
        <v/>
      </c>
      <c r="Y844" s="8" t="e">
        <f>+VLOOKUP(M844,[1]SKU!$B$3:$E$81,4,0)</f>
        <v>#N/A</v>
      </c>
      <c r="Z844" s="8" t="str">
        <f t="shared" si="13"/>
        <v>FLEX</v>
      </c>
      <c r="AA844" s="8" t="e">
        <f>+VLOOKUP(I844,[1]SKU!$H$2:$I$97,2,0)</f>
        <v>#N/A</v>
      </c>
    </row>
    <row r="845" spans="24:27">
      <c r="X845" s="8" t="str">
        <f>+IFERROR(VLOOKUP(N845,[1]Hoja1!$B$2:$F$52,4,0)*P845,"")</f>
        <v/>
      </c>
      <c r="Y845" s="8" t="e">
        <f>+VLOOKUP(M845,[1]SKU!$B$3:$E$81,4,0)</f>
        <v>#N/A</v>
      </c>
      <c r="Z845" s="8" t="str">
        <f t="shared" si="13"/>
        <v>FLEX</v>
      </c>
      <c r="AA845" s="8" t="e">
        <f>+VLOOKUP(I845,[1]SKU!$H$2:$I$97,2,0)</f>
        <v>#N/A</v>
      </c>
    </row>
    <row r="846" spans="24:27">
      <c r="X846" s="8" t="str">
        <f>+IFERROR(VLOOKUP(N846,[1]Hoja1!$B$2:$F$52,4,0)*P846,"")</f>
        <v/>
      </c>
      <c r="Y846" s="8" t="e">
        <f>+VLOOKUP(M846,[1]SKU!$B$3:$E$81,4,0)</f>
        <v>#N/A</v>
      </c>
      <c r="Z846" s="8" t="str">
        <f t="shared" si="13"/>
        <v>FLEX</v>
      </c>
      <c r="AA846" s="8" t="e">
        <f>+VLOOKUP(I846,[1]SKU!$H$2:$I$97,2,0)</f>
        <v>#N/A</v>
      </c>
    </row>
    <row r="847" spans="24:27">
      <c r="X847" s="8" t="str">
        <f>+IFERROR(VLOOKUP(N847,[1]Hoja1!$B$2:$F$52,4,0)*P847,"")</f>
        <v/>
      </c>
      <c r="Y847" s="8" t="e">
        <f>+VLOOKUP(M847,[1]SKU!$B$3:$E$81,4,0)</f>
        <v>#N/A</v>
      </c>
      <c r="Z847" s="8" t="str">
        <f t="shared" si="13"/>
        <v>FLEX</v>
      </c>
      <c r="AA847" s="8" t="e">
        <f>+VLOOKUP(I847,[1]SKU!$H$2:$I$97,2,0)</f>
        <v>#N/A</v>
      </c>
    </row>
    <row r="848" spans="24:27">
      <c r="X848" s="8" t="str">
        <f>+IFERROR(VLOOKUP(N848,[1]Hoja1!$B$2:$F$52,4,0)*P848,"")</f>
        <v/>
      </c>
      <c r="Y848" s="8" t="e">
        <f>+VLOOKUP(M848,[1]SKU!$B$3:$E$81,4,0)</f>
        <v>#N/A</v>
      </c>
      <c r="Z848" s="8" t="str">
        <f t="shared" si="13"/>
        <v>FLEX</v>
      </c>
      <c r="AA848" s="8" t="e">
        <f>+VLOOKUP(I848,[1]SKU!$H$2:$I$97,2,0)</f>
        <v>#N/A</v>
      </c>
    </row>
    <row r="849" spans="24:27">
      <c r="X849" s="8" t="str">
        <f>+IFERROR(VLOOKUP(N849,[1]Hoja1!$B$2:$F$52,4,0)*P849,"")</f>
        <v/>
      </c>
      <c r="Y849" s="8" t="e">
        <f>+VLOOKUP(M849,[1]SKU!$B$3:$E$81,4,0)</f>
        <v>#N/A</v>
      </c>
      <c r="Z849" s="8" t="str">
        <f t="shared" si="13"/>
        <v>FLEX</v>
      </c>
      <c r="AA849" s="8" t="e">
        <f>+VLOOKUP(I849,[1]SKU!$H$2:$I$97,2,0)</f>
        <v>#N/A</v>
      </c>
    </row>
    <row r="850" spans="24:27">
      <c r="X850" s="8" t="str">
        <f>+IFERROR(VLOOKUP(N850,[1]Hoja1!$B$2:$F$52,4,0)*P850,"")</f>
        <v/>
      </c>
      <c r="Y850" s="8" t="e">
        <f>+VLOOKUP(M850,[1]SKU!$B$3:$E$81,4,0)</f>
        <v>#N/A</v>
      </c>
      <c r="Z850" s="8" t="str">
        <f t="shared" si="13"/>
        <v>FLEX</v>
      </c>
      <c r="AA850" s="8" t="e">
        <f>+VLOOKUP(I850,[1]SKU!$H$2:$I$97,2,0)</f>
        <v>#N/A</v>
      </c>
    </row>
    <row r="851" spans="24:27">
      <c r="X851" s="8" t="str">
        <f>+IFERROR(VLOOKUP(N851,[1]Hoja1!$B$2:$F$52,4,0)*P851,"")</f>
        <v/>
      </c>
      <c r="Y851" s="8" t="e">
        <f>+VLOOKUP(M851,[1]SKU!$B$3:$E$81,4,0)</f>
        <v>#N/A</v>
      </c>
      <c r="Z851" s="8" t="str">
        <f t="shared" si="13"/>
        <v>FLEX</v>
      </c>
      <c r="AA851" s="8" t="e">
        <f>+VLOOKUP(I851,[1]SKU!$H$2:$I$97,2,0)</f>
        <v>#N/A</v>
      </c>
    </row>
    <row r="852" spans="24:27">
      <c r="X852" s="8" t="str">
        <f>+IFERROR(VLOOKUP(N852,[1]Hoja1!$B$2:$F$52,4,0)*P852,"")</f>
        <v/>
      </c>
      <c r="Y852" s="8" t="e">
        <f>+VLOOKUP(M852,[1]SKU!$B$3:$E$81,4,0)</f>
        <v>#N/A</v>
      </c>
      <c r="Z852" s="8" t="str">
        <f t="shared" si="13"/>
        <v>FLEX</v>
      </c>
      <c r="AA852" s="8" t="e">
        <f>+VLOOKUP(I852,[1]SKU!$H$2:$I$97,2,0)</f>
        <v>#N/A</v>
      </c>
    </row>
    <row r="853" spans="24:27">
      <c r="X853" s="8" t="str">
        <f>+IFERROR(VLOOKUP(N853,[1]Hoja1!$B$2:$F$52,4,0)*P853,"")</f>
        <v/>
      </c>
      <c r="Y853" s="8" t="e">
        <f>+VLOOKUP(M853,[1]SKU!$B$3:$E$81,4,0)</f>
        <v>#N/A</v>
      </c>
      <c r="Z853" s="8" t="str">
        <f t="shared" si="13"/>
        <v>FLEX</v>
      </c>
      <c r="AA853" s="8" t="e">
        <f>+VLOOKUP(I853,[1]SKU!$H$2:$I$97,2,0)</f>
        <v>#N/A</v>
      </c>
    </row>
    <row r="854" spans="24:27">
      <c r="X854" s="8" t="str">
        <f>+IFERROR(VLOOKUP(N854,[1]Hoja1!$B$2:$F$52,4,0)*P854,"")</f>
        <v/>
      </c>
      <c r="Y854" s="8" t="e">
        <f>+VLOOKUP(M854,[1]SKU!$B$3:$E$81,4,0)</f>
        <v>#N/A</v>
      </c>
      <c r="Z854" s="8" t="str">
        <f t="shared" si="13"/>
        <v>FLEX</v>
      </c>
      <c r="AA854" s="8" t="e">
        <f>+VLOOKUP(I854,[1]SKU!$H$2:$I$97,2,0)</f>
        <v>#N/A</v>
      </c>
    </row>
    <row r="855" spans="24:27">
      <c r="X855" s="8" t="str">
        <f>+IFERROR(VLOOKUP(N855,[1]Hoja1!$B$2:$F$52,4,0)*P855,"")</f>
        <v/>
      </c>
      <c r="Y855" s="8" t="e">
        <f>+VLOOKUP(M855,[1]SKU!$B$3:$E$81,4,0)</f>
        <v>#N/A</v>
      </c>
      <c r="Z855" s="8" t="str">
        <f t="shared" si="13"/>
        <v>FLEX</v>
      </c>
      <c r="AA855" s="8" t="e">
        <f>+VLOOKUP(I855,[1]SKU!$H$2:$I$97,2,0)</f>
        <v>#N/A</v>
      </c>
    </row>
    <row r="856" spans="24:27">
      <c r="X856" s="8" t="str">
        <f>+IFERROR(VLOOKUP(N856,[1]Hoja1!$B$2:$F$52,4,0)*P856,"")</f>
        <v/>
      </c>
      <c r="Y856" s="8" t="e">
        <f>+VLOOKUP(M856,[1]SKU!$B$3:$E$81,4,0)</f>
        <v>#N/A</v>
      </c>
      <c r="Z856" s="8" t="str">
        <f t="shared" si="13"/>
        <v>FLEX</v>
      </c>
      <c r="AA856" s="8" t="e">
        <f>+VLOOKUP(I856,[1]SKU!$H$2:$I$97,2,0)</f>
        <v>#N/A</v>
      </c>
    </row>
    <row r="857" spans="24:27">
      <c r="X857" s="8" t="str">
        <f>+IFERROR(VLOOKUP(N857,[1]Hoja1!$B$2:$F$52,4,0)*P857,"")</f>
        <v/>
      </c>
      <c r="Y857" s="8" t="e">
        <f>+VLOOKUP(M857,[1]SKU!$B$3:$E$81,4,0)</f>
        <v>#N/A</v>
      </c>
      <c r="Z857" s="8" t="str">
        <f t="shared" si="13"/>
        <v>FLEX</v>
      </c>
      <c r="AA857" s="8" t="e">
        <f>+VLOOKUP(I857,[1]SKU!$H$2:$I$97,2,0)</f>
        <v>#N/A</v>
      </c>
    </row>
    <row r="858" spans="24:27">
      <c r="X858" s="8" t="str">
        <f>+IFERROR(VLOOKUP(N858,[1]Hoja1!$B$2:$F$52,4,0)*P858,"")</f>
        <v/>
      </c>
      <c r="Y858" s="8" t="e">
        <f>+VLOOKUP(M858,[1]SKU!$B$3:$E$81,4,0)</f>
        <v>#N/A</v>
      </c>
      <c r="Z858" s="8" t="str">
        <f t="shared" si="13"/>
        <v>FLEX</v>
      </c>
      <c r="AA858" s="8" t="e">
        <f>+VLOOKUP(I858,[1]SKU!$H$2:$I$97,2,0)</f>
        <v>#N/A</v>
      </c>
    </row>
    <row r="859" spans="24:27">
      <c r="X859" s="8" t="str">
        <f>+IFERROR(VLOOKUP(N859,[1]Hoja1!$B$2:$F$52,4,0)*P859,"")</f>
        <v/>
      </c>
      <c r="Y859" s="8" t="e">
        <f>+VLOOKUP(M859,[1]SKU!$B$3:$E$81,4,0)</f>
        <v>#N/A</v>
      </c>
      <c r="Z859" s="8" t="str">
        <f t="shared" si="13"/>
        <v>FLEX</v>
      </c>
      <c r="AA859" s="8" t="e">
        <f>+VLOOKUP(I859,[1]SKU!$H$2:$I$97,2,0)</f>
        <v>#N/A</v>
      </c>
    </row>
    <row r="860" spans="24:27">
      <c r="X860" s="8" t="str">
        <f>+IFERROR(VLOOKUP(N860,[1]Hoja1!$B$2:$F$52,4,0)*P860,"")</f>
        <v/>
      </c>
      <c r="Y860" s="8" t="e">
        <f>+VLOOKUP(M860,[1]SKU!$B$3:$E$81,4,0)</f>
        <v>#N/A</v>
      </c>
      <c r="Z860" s="8" t="str">
        <f t="shared" si="13"/>
        <v>FLEX</v>
      </c>
      <c r="AA860" s="8" t="e">
        <f>+VLOOKUP(I860,[1]SKU!$H$2:$I$97,2,0)</f>
        <v>#N/A</v>
      </c>
    </row>
    <row r="861" spans="24:27">
      <c r="X861" s="8" t="str">
        <f>+IFERROR(VLOOKUP(N861,[1]Hoja1!$B$2:$F$52,4,0)*P861,"")</f>
        <v/>
      </c>
      <c r="Y861" s="8" t="e">
        <f>+VLOOKUP(M861,[1]SKU!$B$3:$E$81,4,0)</f>
        <v>#N/A</v>
      </c>
      <c r="Z861" s="8" t="str">
        <f t="shared" si="13"/>
        <v>FLEX</v>
      </c>
      <c r="AA861" s="8" t="e">
        <f>+VLOOKUP(I861,[1]SKU!$H$2:$I$97,2,0)</f>
        <v>#N/A</v>
      </c>
    </row>
    <row r="862" spans="24:27">
      <c r="X862" s="8" t="str">
        <f>+IFERROR(VLOOKUP(N862,[1]Hoja1!$B$2:$F$52,4,0)*P862,"")</f>
        <v/>
      </c>
      <c r="Y862" s="8" t="e">
        <f>+VLOOKUP(M862,[1]SKU!$B$3:$E$81,4,0)</f>
        <v>#N/A</v>
      </c>
      <c r="Z862" s="8" t="str">
        <f t="shared" si="13"/>
        <v>FLEX</v>
      </c>
      <c r="AA862" s="8" t="e">
        <f>+VLOOKUP(I862,[1]SKU!$H$2:$I$97,2,0)</f>
        <v>#N/A</v>
      </c>
    </row>
    <row r="863" spans="24:27">
      <c r="X863" s="8" t="str">
        <f>+IFERROR(VLOOKUP(N863,[1]Hoja1!$B$2:$F$52,4,0)*P863,"")</f>
        <v/>
      </c>
      <c r="Y863" s="8" t="e">
        <f>+VLOOKUP(M863,[1]SKU!$B$3:$E$81,4,0)</f>
        <v>#N/A</v>
      </c>
      <c r="Z863" s="8" t="str">
        <f t="shared" si="13"/>
        <v>FLEX</v>
      </c>
      <c r="AA863" s="8" t="e">
        <f>+VLOOKUP(I863,[1]SKU!$H$2:$I$97,2,0)</f>
        <v>#N/A</v>
      </c>
    </row>
    <row r="864" spans="24:27">
      <c r="X864" s="8" t="str">
        <f>+IFERROR(VLOOKUP(N864,[1]Hoja1!$B$2:$F$52,4,0)*P864,"")</f>
        <v/>
      </c>
      <c r="Y864" s="8" t="e">
        <f>+VLOOKUP(M864,[1]SKU!$B$3:$E$81,4,0)</f>
        <v>#N/A</v>
      </c>
      <c r="Z864" s="8" t="str">
        <f t="shared" si="13"/>
        <v>FLEX</v>
      </c>
      <c r="AA864" s="8" t="e">
        <f>+VLOOKUP(I864,[1]SKU!$H$2:$I$97,2,0)</f>
        <v>#N/A</v>
      </c>
    </row>
    <row r="865" spans="24:27">
      <c r="X865" s="8" t="str">
        <f>+IFERROR(VLOOKUP(N865,[1]Hoja1!$B$2:$F$52,4,0)*P865,"")</f>
        <v/>
      </c>
      <c r="Y865" s="8" t="e">
        <f>+VLOOKUP(M865,[1]SKU!$B$3:$E$81,4,0)</f>
        <v>#N/A</v>
      </c>
      <c r="Z865" s="8" t="str">
        <f t="shared" si="13"/>
        <v>FLEX</v>
      </c>
      <c r="AA865" s="8" t="e">
        <f>+VLOOKUP(I865,[1]SKU!$H$2:$I$97,2,0)</f>
        <v>#N/A</v>
      </c>
    </row>
    <row r="866" spans="24:27">
      <c r="X866" s="8" t="str">
        <f>+IFERROR(VLOOKUP(N866,[1]Hoja1!$B$2:$F$52,4,0)*P866,"")</f>
        <v/>
      </c>
      <c r="Y866" s="8" t="e">
        <f>+VLOOKUP(M866,[1]SKU!$B$3:$E$81,4,0)</f>
        <v>#N/A</v>
      </c>
      <c r="Z866" s="8" t="str">
        <f t="shared" si="13"/>
        <v>FLEX</v>
      </c>
      <c r="AA866" s="8" t="e">
        <f>+VLOOKUP(I866,[1]SKU!$H$2:$I$97,2,0)</f>
        <v>#N/A</v>
      </c>
    </row>
    <row r="867" spans="24:27">
      <c r="X867" s="8" t="str">
        <f>+IFERROR(VLOOKUP(N867,[1]Hoja1!$B$2:$F$52,4,0)*P867,"")</f>
        <v/>
      </c>
      <c r="Y867" s="8" t="e">
        <f>+VLOOKUP(M867,[1]SKU!$B$3:$E$81,4,0)</f>
        <v>#N/A</v>
      </c>
      <c r="Z867" s="8" t="str">
        <f t="shared" si="13"/>
        <v>FLEX</v>
      </c>
      <c r="AA867" s="8" t="e">
        <f>+VLOOKUP(I867,[1]SKU!$H$2:$I$97,2,0)</f>
        <v>#N/A</v>
      </c>
    </row>
    <row r="868" spans="24:27">
      <c r="X868" s="8" t="str">
        <f>+IFERROR(VLOOKUP(N868,[1]Hoja1!$B$2:$F$52,4,0)*P868,"")</f>
        <v/>
      </c>
      <c r="Y868" s="8" t="e">
        <f>+VLOOKUP(M868,[1]SKU!$B$3:$E$81,4,0)</f>
        <v>#N/A</v>
      </c>
      <c r="Z868" s="8" t="str">
        <f t="shared" si="13"/>
        <v>FLEX</v>
      </c>
      <c r="AA868" s="8" t="e">
        <f>+VLOOKUP(I868,[1]SKU!$H$2:$I$97,2,0)</f>
        <v>#N/A</v>
      </c>
    </row>
    <row r="869" spans="24:27">
      <c r="X869" s="8" t="str">
        <f>+IFERROR(VLOOKUP(N869,[1]Hoja1!$B$2:$F$52,4,0)*P869,"")</f>
        <v/>
      </c>
      <c r="Y869" s="8" t="e">
        <f>+VLOOKUP(M869,[1]SKU!$B$3:$E$81,4,0)</f>
        <v>#N/A</v>
      </c>
      <c r="Z869" s="8" t="str">
        <f t="shared" si="13"/>
        <v>FLEX</v>
      </c>
      <c r="AA869" s="8" t="e">
        <f>+VLOOKUP(I869,[1]SKU!$H$2:$I$97,2,0)</f>
        <v>#N/A</v>
      </c>
    </row>
    <row r="870" spans="24:27">
      <c r="X870" s="8" t="str">
        <f>+IFERROR(VLOOKUP(N870,[1]Hoja1!$B$2:$F$52,4,0)*P870,"")</f>
        <v/>
      </c>
      <c r="Y870" s="8" t="e">
        <f>+VLOOKUP(M870,[1]SKU!$B$3:$E$81,4,0)</f>
        <v>#N/A</v>
      </c>
      <c r="Z870" s="8" t="str">
        <f t="shared" si="13"/>
        <v>FLEX</v>
      </c>
      <c r="AA870" s="8" t="e">
        <f>+VLOOKUP(I870,[1]SKU!$H$2:$I$97,2,0)</f>
        <v>#N/A</v>
      </c>
    </row>
    <row r="871" spans="24:27">
      <c r="X871" s="8" t="str">
        <f>+IFERROR(VLOOKUP(N871,[1]Hoja1!$B$2:$F$52,4,0)*P871,"")</f>
        <v/>
      </c>
      <c r="Y871" s="8" t="e">
        <f>+VLOOKUP(M871,[1]SKU!$B$3:$E$81,4,0)</f>
        <v>#N/A</v>
      </c>
      <c r="Z871" s="8" t="str">
        <f t="shared" si="13"/>
        <v>FLEX</v>
      </c>
      <c r="AA871" s="8" t="e">
        <f>+VLOOKUP(I871,[1]SKU!$H$2:$I$97,2,0)</f>
        <v>#N/A</v>
      </c>
    </row>
    <row r="872" spans="24:27">
      <c r="X872" s="8" t="str">
        <f>+IFERROR(VLOOKUP(N872,[1]Hoja1!$B$2:$F$52,4,0)*P872,"")</f>
        <v/>
      </c>
      <c r="Y872" s="8" t="e">
        <f>+VLOOKUP(M872,[1]SKU!$B$3:$E$81,4,0)</f>
        <v>#N/A</v>
      </c>
      <c r="Z872" s="8" t="str">
        <f t="shared" si="13"/>
        <v>FLEX</v>
      </c>
      <c r="AA872" s="8" t="e">
        <f>+VLOOKUP(I872,[1]SKU!$H$2:$I$97,2,0)</f>
        <v>#N/A</v>
      </c>
    </row>
    <row r="873" spans="24:27">
      <c r="X873" s="8" t="str">
        <f>+IFERROR(VLOOKUP(N873,[1]Hoja1!$B$2:$F$52,4,0)*P873,"")</f>
        <v/>
      </c>
      <c r="Y873" s="8" t="e">
        <f>+VLOOKUP(M873,[1]SKU!$B$3:$E$81,4,0)</f>
        <v>#N/A</v>
      </c>
      <c r="Z873" s="8" t="str">
        <f t="shared" si="13"/>
        <v>FLEX</v>
      </c>
      <c r="AA873" s="8" t="e">
        <f>+VLOOKUP(I873,[1]SKU!$H$2:$I$97,2,0)</f>
        <v>#N/A</v>
      </c>
    </row>
    <row r="874" spans="24:27">
      <c r="X874" s="8" t="str">
        <f>+IFERROR(VLOOKUP(N874,[1]Hoja1!$B$2:$F$52,4,0)*P874,"")</f>
        <v/>
      </c>
      <c r="Y874" s="8" t="e">
        <f>+VLOOKUP(M874,[1]SKU!$B$3:$E$81,4,0)</f>
        <v>#N/A</v>
      </c>
      <c r="Z874" s="8" t="str">
        <f t="shared" si="13"/>
        <v>FLEX</v>
      </c>
      <c r="AA874" s="8" t="e">
        <f>+VLOOKUP(I874,[1]SKU!$H$2:$I$97,2,0)</f>
        <v>#N/A</v>
      </c>
    </row>
    <row r="875" spans="24:27">
      <c r="X875" s="8" t="str">
        <f>+IFERROR(VLOOKUP(N875,[1]Hoja1!$B$2:$F$52,4,0)*P875,"")</f>
        <v/>
      </c>
      <c r="Y875" s="8" t="e">
        <f>+VLOOKUP(M875,[1]SKU!$B$3:$E$81,4,0)</f>
        <v>#N/A</v>
      </c>
      <c r="Z875" s="8" t="str">
        <f t="shared" si="13"/>
        <v>FLEX</v>
      </c>
      <c r="AA875" s="8" t="e">
        <f>+VLOOKUP(I875,[1]SKU!$H$2:$I$97,2,0)</f>
        <v>#N/A</v>
      </c>
    </row>
    <row r="876" spans="24:27">
      <c r="X876" s="8" t="str">
        <f>+IFERROR(VLOOKUP(N876,[1]Hoja1!$B$2:$F$52,4,0)*P876,"")</f>
        <v/>
      </c>
      <c r="Y876" s="8" t="e">
        <f>+VLOOKUP(M876,[1]SKU!$B$3:$E$81,4,0)</f>
        <v>#N/A</v>
      </c>
      <c r="Z876" s="8" t="str">
        <f t="shared" si="13"/>
        <v>FLEX</v>
      </c>
      <c r="AA876" s="8" t="e">
        <f>+VLOOKUP(I876,[1]SKU!$H$2:$I$97,2,0)</f>
        <v>#N/A</v>
      </c>
    </row>
    <row r="877" spans="24:27">
      <c r="X877" s="8" t="str">
        <f>+IFERROR(VLOOKUP(N877,[1]Hoja1!$B$2:$F$52,4,0)*P877,"")</f>
        <v/>
      </c>
      <c r="Y877" s="8" t="e">
        <f>+VLOOKUP(M877,[1]SKU!$B$3:$E$81,4,0)</f>
        <v>#N/A</v>
      </c>
      <c r="Z877" s="8" t="str">
        <f t="shared" si="13"/>
        <v>FLEX</v>
      </c>
      <c r="AA877" s="8" t="e">
        <f>+VLOOKUP(I877,[1]SKU!$H$2:$I$97,2,0)</f>
        <v>#N/A</v>
      </c>
    </row>
    <row r="878" spans="24:27">
      <c r="X878" s="8" t="str">
        <f>+IFERROR(VLOOKUP(N878,[1]Hoja1!$B$2:$F$52,4,0)*P878,"")</f>
        <v/>
      </c>
      <c r="Y878" s="8" t="e">
        <f>+VLOOKUP(M878,[1]SKU!$B$3:$E$81,4,0)</f>
        <v>#N/A</v>
      </c>
      <c r="Z878" s="8" t="str">
        <f t="shared" si="13"/>
        <v>FLEX</v>
      </c>
      <c r="AA878" s="8" t="e">
        <f>+VLOOKUP(I878,[1]SKU!$H$2:$I$97,2,0)</f>
        <v>#N/A</v>
      </c>
    </row>
    <row r="879" spans="24:27">
      <c r="X879" s="8" t="str">
        <f>+IFERROR(VLOOKUP(N879,[1]Hoja1!$B$2:$F$52,4,0)*P879,"")</f>
        <v/>
      </c>
      <c r="Y879" s="8" t="e">
        <f>+VLOOKUP(M879,[1]SKU!$B$3:$E$81,4,0)</f>
        <v>#N/A</v>
      </c>
      <c r="Z879" s="8" t="str">
        <f t="shared" si="13"/>
        <v>FLEX</v>
      </c>
      <c r="AA879" s="8" t="e">
        <f>+VLOOKUP(I879,[1]SKU!$H$2:$I$97,2,0)</f>
        <v>#N/A</v>
      </c>
    </row>
    <row r="880" spans="24:27">
      <c r="X880" s="8" t="str">
        <f>+IFERROR(VLOOKUP(N880,[1]Hoja1!$B$2:$F$52,4,0)*P880,"")</f>
        <v/>
      </c>
      <c r="Y880" s="8" t="e">
        <f>+VLOOKUP(M880,[1]SKU!$B$3:$E$81,4,0)</f>
        <v>#N/A</v>
      </c>
      <c r="Z880" s="8" t="str">
        <f t="shared" si="13"/>
        <v>FLEX</v>
      </c>
      <c r="AA880" s="8" t="e">
        <f>+VLOOKUP(I880,[1]SKU!$H$2:$I$97,2,0)</f>
        <v>#N/A</v>
      </c>
    </row>
    <row r="881" spans="24:27">
      <c r="X881" s="8" t="str">
        <f>+IFERROR(VLOOKUP(N881,[1]Hoja1!$B$2:$F$52,4,0)*P881,"")</f>
        <v/>
      </c>
      <c r="Y881" s="8" t="e">
        <f>+VLOOKUP(M881,[1]SKU!$B$3:$E$81,4,0)</f>
        <v>#N/A</v>
      </c>
      <c r="Z881" s="8" t="str">
        <f t="shared" si="13"/>
        <v>FLEX</v>
      </c>
      <c r="AA881" s="8" t="e">
        <f>+VLOOKUP(I881,[1]SKU!$H$2:$I$97,2,0)</f>
        <v>#N/A</v>
      </c>
    </row>
    <row r="882" spans="24:27">
      <c r="X882" s="8" t="str">
        <f>+IFERROR(VLOOKUP(N882,[1]Hoja1!$B$2:$F$52,4,0)*P882,"")</f>
        <v/>
      </c>
      <c r="Y882" s="8" t="e">
        <f>+VLOOKUP(M882,[1]SKU!$B$3:$E$81,4,0)</f>
        <v>#N/A</v>
      </c>
      <c r="Z882" s="8" t="str">
        <f t="shared" si="13"/>
        <v>FLEX</v>
      </c>
      <c r="AA882" s="8" t="e">
        <f>+VLOOKUP(I882,[1]SKU!$H$2:$I$97,2,0)</f>
        <v>#N/A</v>
      </c>
    </row>
    <row r="883" spans="24:27">
      <c r="X883" s="8" t="str">
        <f>+IFERROR(VLOOKUP(N883,[1]Hoja1!$B$2:$F$52,4,0)*P883,"")</f>
        <v/>
      </c>
      <c r="Y883" s="8" t="e">
        <f>+VLOOKUP(M883,[1]SKU!$B$3:$E$81,4,0)</f>
        <v>#N/A</v>
      </c>
      <c r="Z883" s="8" t="str">
        <f t="shared" si="13"/>
        <v>FLEX</v>
      </c>
      <c r="AA883" s="8" t="e">
        <f>+VLOOKUP(I883,[1]SKU!$H$2:$I$97,2,0)</f>
        <v>#N/A</v>
      </c>
    </row>
    <row r="884" spans="24:27">
      <c r="X884" s="8" t="str">
        <f>+IFERROR(VLOOKUP(N884,[1]Hoja1!$B$2:$F$52,4,0)*P884,"")</f>
        <v/>
      </c>
      <c r="Y884" s="8" t="e">
        <f>+VLOOKUP(M884,[1]SKU!$B$3:$E$81,4,0)</f>
        <v>#N/A</v>
      </c>
      <c r="Z884" s="8" t="str">
        <f t="shared" si="13"/>
        <v>FLEX</v>
      </c>
      <c r="AA884" s="8" t="e">
        <f>+VLOOKUP(I884,[1]SKU!$H$2:$I$97,2,0)</f>
        <v>#N/A</v>
      </c>
    </row>
    <row r="885" spans="24:27">
      <c r="X885" s="8" t="str">
        <f>+IFERROR(VLOOKUP(N885,[1]Hoja1!$B$2:$F$52,4,0)*P885,"")</f>
        <v/>
      </c>
      <c r="Y885" s="8" t="e">
        <f>+VLOOKUP(M885,[1]SKU!$B$3:$E$81,4,0)</f>
        <v>#N/A</v>
      </c>
      <c r="Z885" s="8" t="str">
        <f t="shared" si="13"/>
        <v>FLEX</v>
      </c>
      <c r="AA885" s="8" t="e">
        <f>+VLOOKUP(I885,[1]SKU!$H$2:$I$97,2,0)</f>
        <v>#N/A</v>
      </c>
    </row>
    <row r="886" spans="24:27">
      <c r="X886" s="8" t="str">
        <f>+IFERROR(VLOOKUP(N886,[1]Hoja1!$B$2:$F$52,4,0)*P886,"")</f>
        <v/>
      </c>
      <c r="Y886" s="8" t="e">
        <f>+VLOOKUP(M886,[1]SKU!$B$3:$E$81,4,0)</f>
        <v>#N/A</v>
      </c>
      <c r="Z886" s="8" t="str">
        <f t="shared" si="13"/>
        <v>FLEX</v>
      </c>
      <c r="AA886" s="8" t="e">
        <f>+VLOOKUP(I886,[1]SKU!$H$2:$I$97,2,0)</f>
        <v>#N/A</v>
      </c>
    </row>
    <row r="887" spans="24:27">
      <c r="X887" s="8" t="str">
        <f>+IFERROR(VLOOKUP(N887,[1]Hoja1!$B$2:$F$52,4,0)*P887,"")</f>
        <v/>
      </c>
      <c r="Y887" s="8" t="e">
        <f>+VLOOKUP(M887,[1]SKU!$B$3:$E$81,4,0)</f>
        <v>#N/A</v>
      </c>
      <c r="Z887" s="8" t="str">
        <f t="shared" si="13"/>
        <v>FLEX</v>
      </c>
      <c r="AA887" s="8" t="e">
        <f>+VLOOKUP(I887,[1]SKU!$H$2:$I$97,2,0)</f>
        <v>#N/A</v>
      </c>
    </row>
    <row r="888" spans="24:27">
      <c r="X888" s="8" t="str">
        <f>+IFERROR(VLOOKUP(N888,[1]Hoja1!$B$2:$F$52,4,0)*P888,"")</f>
        <v/>
      </c>
      <c r="Y888" s="8" t="e">
        <f>+VLOOKUP(M888,[1]SKU!$B$3:$E$81,4,0)</f>
        <v>#N/A</v>
      </c>
      <c r="Z888" s="8" t="str">
        <f t="shared" si="13"/>
        <v>FLEX</v>
      </c>
      <c r="AA888" s="8" t="e">
        <f>+VLOOKUP(I888,[1]SKU!$H$2:$I$97,2,0)</f>
        <v>#N/A</v>
      </c>
    </row>
    <row r="889" spans="24:27">
      <c r="X889" s="8" t="str">
        <f>+IFERROR(VLOOKUP(N889,[1]Hoja1!$B$2:$F$52,4,0)*P889,"")</f>
        <v/>
      </c>
      <c r="Y889" s="8" t="e">
        <f>+VLOOKUP(M889,[1]SKU!$B$3:$E$81,4,0)</f>
        <v>#N/A</v>
      </c>
      <c r="Z889" s="8" t="str">
        <f t="shared" si="13"/>
        <v>FLEX</v>
      </c>
      <c r="AA889" s="8" t="e">
        <f>+VLOOKUP(I889,[1]SKU!$H$2:$I$97,2,0)</f>
        <v>#N/A</v>
      </c>
    </row>
    <row r="890" spans="24:27">
      <c r="X890" s="8" t="str">
        <f>+IFERROR(VLOOKUP(N890,[1]Hoja1!$B$2:$F$52,4,0)*P890,"")</f>
        <v/>
      </c>
      <c r="Y890" s="8" t="e">
        <f>+VLOOKUP(M890,[1]SKU!$B$3:$E$81,4,0)</f>
        <v>#N/A</v>
      </c>
      <c r="Z890" s="8" t="str">
        <f t="shared" si="13"/>
        <v>FLEX</v>
      </c>
      <c r="AA890" s="8" t="e">
        <f>+VLOOKUP(I890,[1]SKU!$H$2:$I$97,2,0)</f>
        <v>#N/A</v>
      </c>
    </row>
    <row r="891" spans="24:27">
      <c r="X891" s="8" t="str">
        <f>+IFERROR(VLOOKUP(N891,[1]Hoja1!$B$2:$F$52,4,0)*P891,"")</f>
        <v/>
      </c>
      <c r="Y891" s="8" t="e">
        <f>+VLOOKUP(M891,[1]SKU!$B$3:$E$81,4,0)</f>
        <v>#N/A</v>
      </c>
      <c r="Z891" s="8" t="str">
        <f t="shared" si="13"/>
        <v>FLEX</v>
      </c>
      <c r="AA891" s="8" t="e">
        <f>+VLOOKUP(I891,[1]SKU!$H$2:$I$97,2,0)</f>
        <v>#N/A</v>
      </c>
    </row>
    <row r="892" spans="24:27">
      <c r="X892" s="8" t="str">
        <f>+IFERROR(VLOOKUP(N892,[1]Hoja1!$B$2:$F$52,4,0)*P892,"")</f>
        <v/>
      </c>
      <c r="Y892" s="8" t="e">
        <f>+VLOOKUP(M892,[1]SKU!$B$3:$E$81,4,0)</f>
        <v>#N/A</v>
      </c>
      <c r="Z892" s="8" t="str">
        <f t="shared" si="13"/>
        <v>FLEX</v>
      </c>
      <c r="AA892" s="8" t="e">
        <f>+VLOOKUP(I892,[1]SKU!$H$2:$I$97,2,0)</f>
        <v>#N/A</v>
      </c>
    </row>
    <row r="893" spans="24:27">
      <c r="X893" s="8" t="str">
        <f>+IFERROR(VLOOKUP(N893,[1]Hoja1!$B$2:$F$52,4,0)*P893,"")</f>
        <v/>
      </c>
      <c r="Y893" s="8" t="e">
        <f>+VLOOKUP(M893,[1]SKU!$B$3:$E$81,4,0)</f>
        <v>#N/A</v>
      </c>
      <c r="Z893" s="8" t="str">
        <f t="shared" si="13"/>
        <v>FLEX</v>
      </c>
      <c r="AA893" s="8" t="e">
        <f>+VLOOKUP(I893,[1]SKU!$H$2:$I$97,2,0)</f>
        <v>#N/A</v>
      </c>
    </row>
    <row r="894" spans="24:27">
      <c r="X894" s="8" t="str">
        <f>+IFERROR(VLOOKUP(N894,[1]Hoja1!$B$2:$F$52,4,0)*P894,"")</f>
        <v/>
      </c>
      <c r="Y894" s="8" t="e">
        <f>+VLOOKUP(M894,[1]SKU!$B$3:$E$81,4,0)</f>
        <v>#N/A</v>
      </c>
      <c r="Z894" s="8" t="str">
        <f t="shared" si="13"/>
        <v>FLEX</v>
      </c>
      <c r="AA894" s="8" t="e">
        <f>+VLOOKUP(I894,[1]SKU!$H$2:$I$97,2,0)</f>
        <v>#N/A</v>
      </c>
    </row>
    <row r="895" spans="24:27">
      <c r="X895" s="8" t="str">
        <f>+IFERROR(VLOOKUP(N895,[1]Hoja1!$B$2:$F$52,4,0)*P895,"")</f>
        <v/>
      </c>
      <c r="Y895" s="8" t="e">
        <f>+VLOOKUP(M895,[1]SKU!$B$3:$E$81,4,0)</f>
        <v>#N/A</v>
      </c>
      <c r="Z895" s="8" t="str">
        <f t="shared" si="13"/>
        <v>FLEX</v>
      </c>
      <c r="AA895" s="8" t="e">
        <f>+VLOOKUP(I895,[1]SKU!$H$2:$I$97,2,0)</f>
        <v>#N/A</v>
      </c>
    </row>
    <row r="896" spans="24:27">
      <c r="X896" s="8" t="str">
        <f>+IFERROR(VLOOKUP(N896,[1]Hoja1!$B$2:$F$52,4,0)*P896,"")</f>
        <v/>
      </c>
      <c r="Y896" s="8" t="e">
        <f>+VLOOKUP(M896,[1]SKU!$B$3:$E$81,4,0)</f>
        <v>#N/A</v>
      </c>
      <c r="Z896" s="8" t="str">
        <f t="shared" si="13"/>
        <v>FLEX</v>
      </c>
      <c r="AA896" s="8" t="e">
        <f>+VLOOKUP(I896,[1]SKU!$H$2:$I$97,2,0)</f>
        <v>#N/A</v>
      </c>
    </row>
    <row r="897" spans="24:27">
      <c r="X897" s="8" t="str">
        <f>+IFERROR(VLOOKUP(N897,[1]Hoja1!$B$2:$F$52,4,0)*P897,"")</f>
        <v/>
      </c>
      <c r="Y897" s="8" t="e">
        <f>+VLOOKUP(M897,[1]SKU!$B$3:$E$81,4,0)</f>
        <v>#N/A</v>
      </c>
      <c r="Z897" s="8" t="str">
        <f t="shared" si="13"/>
        <v>FLEX</v>
      </c>
      <c r="AA897" s="8" t="e">
        <f>+VLOOKUP(I897,[1]SKU!$H$2:$I$97,2,0)</f>
        <v>#N/A</v>
      </c>
    </row>
    <row r="898" spans="24:27">
      <c r="X898" s="8" t="str">
        <f>+IFERROR(VLOOKUP(N898,[1]Hoja1!$B$2:$F$52,4,0)*P898,"")</f>
        <v/>
      </c>
      <c r="Y898" s="8" t="e">
        <f>+VLOOKUP(M898,[1]SKU!$B$3:$E$81,4,0)</f>
        <v>#N/A</v>
      </c>
      <c r="Z898" s="8" t="str">
        <f t="shared" si="13"/>
        <v>FLEX</v>
      </c>
      <c r="AA898" s="8" t="e">
        <f>+VLOOKUP(I898,[1]SKU!$H$2:$I$97,2,0)</f>
        <v>#N/A</v>
      </c>
    </row>
    <row r="899" spans="24:27">
      <c r="X899" s="8" t="str">
        <f>+IFERROR(VLOOKUP(N899,[1]Hoja1!$B$2:$F$52,4,0)*P899,"")</f>
        <v/>
      </c>
      <c r="Y899" s="8" t="e">
        <f>+VLOOKUP(M899,[1]SKU!$B$3:$E$81,4,0)</f>
        <v>#N/A</v>
      </c>
      <c r="Z899" s="8" t="str">
        <f t="shared" ref="Z899:Z962" si="14">+IF(J899="VB01                          ","BEES","FLEX")</f>
        <v>FLEX</v>
      </c>
      <c r="AA899" s="8" t="e">
        <f>+VLOOKUP(I899,[1]SKU!$H$2:$I$97,2,0)</f>
        <v>#N/A</v>
      </c>
    </row>
    <row r="900" spans="24:27">
      <c r="X900" s="8" t="str">
        <f>+IFERROR(VLOOKUP(N900,[1]Hoja1!$B$2:$F$52,4,0)*P900,"")</f>
        <v/>
      </c>
      <c r="Y900" s="8" t="e">
        <f>+VLOOKUP(M900,[1]SKU!$B$3:$E$81,4,0)</f>
        <v>#N/A</v>
      </c>
      <c r="Z900" s="8" t="str">
        <f t="shared" si="14"/>
        <v>FLEX</v>
      </c>
      <c r="AA900" s="8" t="e">
        <f>+VLOOKUP(I900,[1]SKU!$H$2:$I$97,2,0)</f>
        <v>#N/A</v>
      </c>
    </row>
    <row r="901" spans="24:27">
      <c r="X901" s="8" t="str">
        <f>+IFERROR(VLOOKUP(N901,[1]Hoja1!$B$2:$F$52,4,0)*P901,"")</f>
        <v/>
      </c>
      <c r="Y901" s="8" t="e">
        <f>+VLOOKUP(M901,[1]SKU!$B$3:$E$81,4,0)</f>
        <v>#N/A</v>
      </c>
      <c r="Z901" s="8" t="str">
        <f t="shared" si="14"/>
        <v>FLEX</v>
      </c>
      <c r="AA901" s="8" t="e">
        <f>+VLOOKUP(I901,[1]SKU!$H$2:$I$97,2,0)</f>
        <v>#N/A</v>
      </c>
    </row>
    <row r="902" spans="24:27">
      <c r="X902" s="8" t="str">
        <f>+IFERROR(VLOOKUP(N902,[1]Hoja1!$B$2:$F$52,4,0)*P902,"")</f>
        <v/>
      </c>
      <c r="Y902" s="8" t="e">
        <f>+VLOOKUP(M902,[1]SKU!$B$3:$E$81,4,0)</f>
        <v>#N/A</v>
      </c>
      <c r="Z902" s="8" t="str">
        <f t="shared" si="14"/>
        <v>FLEX</v>
      </c>
      <c r="AA902" s="8" t="e">
        <f>+VLOOKUP(I902,[1]SKU!$H$2:$I$97,2,0)</f>
        <v>#N/A</v>
      </c>
    </row>
    <row r="903" spans="24:27">
      <c r="X903" s="8" t="str">
        <f>+IFERROR(VLOOKUP(N903,[1]Hoja1!$B$2:$F$52,4,0)*P903,"")</f>
        <v/>
      </c>
      <c r="Y903" s="8" t="e">
        <f>+VLOOKUP(M903,[1]SKU!$B$3:$E$81,4,0)</f>
        <v>#N/A</v>
      </c>
      <c r="Z903" s="8" t="str">
        <f t="shared" si="14"/>
        <v>FLEX</v>
      </c>
      <c r="AA903" s="8" t="e">
        <f>+VLOOKUP(I903,[1]SKU!$H$2:$I$97,2,0)</f>
        <v>#N/A</v>
      </c>
    </row>
    <row r="904" spans="24:27">
      <c r="X904" s="8" t="str">
        <f>+IFERROR(VLOOKUP(N904,[1]Hoja1!$B$2:$F$52,4,0)*P904,"")</f>
        <v/>
      </c>
      <c r="Y904" s="8" t="e">
        <f>+VLOOKUP(M904,[1]SKU!$B$3:$E$81,4,0)</f>
        <v>#N/A</v>
      </c>
      <c r="Z904" s="8" t="str">
        <f t="shared" si="14"/>
        <v>FLEX</v>
      </c>
      <c r="AA904" s="8" t="e">
        <f>+VLOOKUP(I904,[1]SKU!$H$2:$I$97,2,0)</f>
        <v>#N/A</v>
      </c>
    </row>
    <row r="905" spans="24:27">
      <c r="X905" s="8" t="str">
        <f>+IFERROR(VLOOKUP(N905,[1]Hoja1!$B$2:$F$52,4,0)*P905,"")</f>
        <v/>
      </c>
      <c r="Y905" s="8" t="e">
        <f>+VLOOKUP(M905,[1]SKU!$B$3:$E$81,4,0)</f>
        <v>#N/A</v>
      </c>
      <c r="Z905" s="8" t="str">
        <f t="shared" si="14"/>
        <v>FLEX</v>
      </c>
      <c r="AA905" s="8" t="e">
        <f>+VLOOKUP(I905,[1]SKU!$H$2:$I$97,2,0)</f>
        <v>#N/A</v>
      </c>
    </row>
    <row r="906" spans="24:27">
      <c r="X906" s="8" t="str">
        <f>+IFERROR(VLOOKUP(N906,[1]Hoja1!$B$2:$F$52,4,0)*P906,"")</f>
        <v/>
      </c>
      <c r="Y906" s="8" t="e">
        <f>+VLOOKUP(M906,[1]SKU!$B$3:$E$81,4,0)</f>
        <v>#N/A</v>
      </c>
      <c r="Z906" s="8" t="str">
        <f t="shared" si="14"/>
        <v>FLEX</v>
      </c>
      <c r="AA906" s="8" t="e">
        <f>+VLOOKUP(I906,[1]SKU!$H$2:$I$97,2,0)</f>
        <v>#N/A</v>
      </c>
    </row>
    <row r="907" spans="24:27">
      <c r="X907" s="8" t="str">
        <f>+IFERROR(VLOOKUP(N907,[1]Hoja1!$B$2:$F$52,4,0)*P907,"")</f>
        <v/>
      </c>
      <c r="Y907" s="8" t="e">
        <f>+VLOOKUP(M907,[1]SKU!$B$3:$E$81,4,0)</f>
        <v>#N/A</v>
      </c>
      <c r="Z907" s="8" t="str">
        <f t="shared" si="14"/>
        <v>FLEX</v>
      </c>
      <c r="AA907" s="8" t="e">
        <f>+VLOOKUP(I907,[1]SKU!$H$2:$I$97,2,0)</f>
        <v>#N/A</v>
      </c>
    </row>
    <row r="908" spans="24:27">
      <c r="X908" s="8" t="str">
        <f>+IFERROR(VLOOKUP(N908,[1]Hoja1!$B$2:$F$52,4,0)*P908,"")</f>
        <v/>
      </c>
      <c r="Y908" s="8" t="e">
        <f>+VLOOKUP(M908,[1]SKU!$B$3:$E$81,4,0)</f>
        <v>#N/A</v>
      </c>
      <c r="Z908" s="8" t="str">
        <f t="shared" si="14"/>
        <v>FLEX</v>
      </c>
      <c r="AA908" s="8" t="e">
        <f>+VLOOKUP(I908,[1]SKU!$H$2:$I$97,2,0)</f>
        <v>#N/A</v>
      </c>
    </row>
    <row r="909" spans="24:27">
      <c r="X909" s="8" t="str">
        <f>+IFERROR(VLOOKUP(N909,[1]Hoja1!$B$2:$F$52,4,0)*P909,"")</f>
        <v/>
      </c>
      <c r="Y909" s="8" t="e">
        <f>+VLOOKUP(M909,[1]SKU!$B$3:$E$81,4,0)</f>
        <v>#N/A</v>
      </c>
      <c r="Z909" s="8" t="str">
        <f t="shared" si="14"/>
        <v>FLEX</v>
      </c>
      <c r="AA909" s="8" t="e">
        <f>+VLOOKUP(I909,[1]SKU!$H$2:$I$97,2,0)</f>
        <v>#N/A</v>
      </c>
    </row>
    <row r="910" spans="24:27">
      <c r="X910" s="8" t="str">
        <f>+IFERROR(VLOOKUP(N910,[1]Hoja1!$B$2:$F$52,4,0)*P910,"")</f>
        <v/>
      </c>
      <c r="Y910" s="8" t="e">
        <f>+VLOOKUP(M910,[1]SKU!$B$3:$E$81,4,0)</f>
        <v>#N/A</v>
      </c>
      <c r="Z910" s="8" t="str">
        <f t="shared" si="14"/>
        <v>FLEX</v>
      </c>
      <c r="AA910" s="8" t="e">
        <f>+VLOOKUP(I910,[1]SKU!$H$2:$I$97,2,0)</f>
        <v>#N/A</v>
      </c>
    </row>
    <row r="911" spans="24:27">
      <c r="X911" s="8" t="str">
        <f>+IFERROR(VLOOKUP(N911,[1]Hoja1!$B$2:$F$52,4,0)*P911,"")</f>
        <v/>
      </c>
      <c r="Y911" s="8" t="e">
        <f>+VLOOKUP(M911,[1]SKU!$B$3:$E$81,4,0)</f>
        <v>#N/A</v>
      </c>
      <c r="Z911" s="8" t="str">
        <f t="shared" si="14"/>
        <v>FLEX</v>
      </c>
      <c r="AA911" s="8" t="e">
        <f>+VLOOKUP(I911,[1]SKU!$H$2:$I$97,2,0)</f>
        <v>#N/A</v>
      </c>
    </row>
    <row r="912" spans="24:27">
      <c r="X912" s="8" t="str">
        <f>+IFERROR(VLOOKUP(N912,[1]Hoja1!$B$2:$F$52,4,0)*P912,"")</f>
        <v/>
      </c>
      <c r="Y912" s="8" t="e">
        <f>+VLOOKUP(M912,[1]SKU!$B$3:$E$81,4,0)</f>
        <v>#N/A</v>
      </c>
      <c r="Z912" s="8" t="str">
        <f t="shared" si="14"/>
        <v>FLEX</v>
      </c>
      <c r="AA912" s="8" t="e">
        <f>+VLOOKUP(I912,[1]SKU!$H$2:$I$97,2,0)</f>
        <v>#N/A</v>
      </c>
    </row>
    <row r="913" spans="24:27">
      <c r="X913" s="8" t="str">
        <f>+IFERROR(VLOOKUP(N913,[1]Hoja1!$B$2:$F$52,4,0)*P913,"")</f>
        <v/>
      </c>
      <c r="Y913" s="8" t="e">
        <f>+VLOOKUP(M913,[1]SKU!$B$3:$E$81,4,0)</f>
        <v>#N/A</v>
      </c>
      <c r="Z913" s="8" t="str">
        <f t="shared" si="14"/>
        <v>FLEX</v>
      </c>
      <c r="AA913" s="8" t="e">
        <f>+VLOOKUP(I913,[1]SKU!$H$2:$I$97,2,0)</f>
        <v>#N/A</v>
      </c>
    </row>
    <row r="914" spans="24:27">
      <c r="X914" s="8" t="str">
        <f>+IFERROR(VLOOKUP(N914,[1]Hoja1!$B$2:$F$52,4,0)*P914,"")</f>
        <v/>
      </c>
      <c r="Y914" s="8" t="e">
        <f>+VLOOKUP(M914,[1]SKU!$B$3:$E$81,4,0)</f>
        <v>#N/A</v>
      </c>
      <c r="Z914" s="8" t="str">
        <f t="shared" si="14"/>
        <v>FLEX</v>
      </c>
      <c r="AA914" s="8" t="e">
        <f>+VLOOKUP(I914,[1]SKU!$H$2:$I$97,2,0)</f>
        <v>#N/A</v>
      </c>
    </row>
    <row r="915" spans="24:27">
      <c r="X915" s="8" t="str">
        <f>+IFERROR(VLOOKUP(N915,[1]Hoja1!$B$2:$F$52,4,0)*P915,"")</f>
        <v/>
      </c>
      <c r="Y915" s="8" t="e">
        <f>+VLOOKUP(M915,[1]SKU!$B$3:$E$81,4,0)</f>
        <v>#N/A</v>
      </c>
      <c r="Z915" s="8" t="str">
        <f t="shared" si="14"/>
        <v>FLEX</v>
      </c>
      <c r="AA915" s="8" t="e">
        <f>+VLOOKUP(I915,[1]SKU!$H$2:$I$97,2,0)</f>
        <v>#N/A</v>
      </c>
    </row>
    <row r="916" spans="24:27">
      <c r="X916" s="8" t="str">
        <f>+IFERROR(VLOOKUP(N916,[1]Hoja1!$B$2:$F$52,4,0)*P916,"")</f>
        <v/>
      </c>
      <c r="Y916" s="8" t="e">
        <f>+VLOOKUP(M916,[1]SKU!$B$3:$E$81,4,0)</f>
        <v>#N/A</v>
      </c>
      <c r="Z916" s="8" t="str">
        <f t="shared" si="14"/>
        <v>FLEX</v>
      </c>
      <c r="AA916" s="8" t="e">
        <f>+VLOOKUP(I916,[1]SKU!$H$2:$I$97,2,0)</f>
        <v>#N/A</v>
      </c>
    </row>
    <row r="917" spans="24:27">
      <c r="X917" s="8" t="str">
        <f>+IFERROR(VLOOKUP(N917,[1]Hoja1!$B$2:$F$52,4,0)*P917,"")</f>
        <v/>
      </c>
      <c r="Y917" s="8" t="e">
        <f>+VLOOKUP(M917,[1]SKU!$B$3:$E$81,4,0)</f>
        <v>#N/A</v>
      </c>
      <c r="Z917" s="8" t="str">
        <f t="shared" si="14"/>
        <v>FLEX</v>
      </c>
      <c r="AA917" s="8" t="e">
        <f>+VLOOKUP(I917,[1]SKU!$H$2:$I$97,2,0)</f>
        <v>#N/A</v>
      </c>
    </row>
    <row r="918" spans="24:27">
      <c r="X918" s="8" t="str">
        <f>+IFERROR(VLOOKUP(N918,[1]Hoja1!$B$2:$F$52,4,0)*P918,"")</f>
        <v/>
      </c>
      <c r="Y918" s="8" t="e">
        <f>+VLOOKUP(M918,[1]SKU!$B$3:$E$81,4,0)</f>
        <v>#N/A</v>
      </c>
      <c r="Z918" s="8" t="str">
        <f t="shared" si="14"/>
        <v>FLEX</v>
      </c>
      <c r="AA918" s="8" t="e">
        <f>+VLOOKUP(I918,[1]SKU!$H$2:$I$97,2,0)</f>
        <v>#N/A</v>
      </c>
    </row>
    <row r="919" spans="24:27">
      <c r="X919" s="8" t="str">
        <f>+IFERROR(VLOOKUP(N919,[1]Hoja1!$B$2:$F$52,4,0)*P919,"")</f>
        <v/>
      </c>
      <c r="Y919" s="8" t="e">
        <f>+VLOOKUP(M919,[1]SKU!$B$3:$E$81,4,0)</f>
        <v>#N/A</v>
      </c>
      <c r="Z919" s="8" t="str">
        <f t="shared" si="14"/>
        <v>FLEX</v>
      </c>
      <c r="AA919" s="8" t="e">
        <f>+VLOOKUP(I919,[1]SKU!$H$2:$I$97,2,0)</f>
        <v>#N/A</v>
      </c>
    </row>
    <row r="920" spans="24:27">
      <c r="X920" s="8" t="str">
        <f>+IFERROR(VLOOKUP(N920,[1]Hoja1!$B$2:$F$52,4,0)*P920,"")</f>
        <v/>
      </c>
      <c r="Y920" s="8" t="e">
        <f>+VLOOKUP(M920,[1]SKU!$B$3:$E$81,4,0)</f>
        <v>#N/A</v>
      </c>
      <c r="Z920" s="8" t="str">
        <f t="shared" si="14"/>
        <v>FLEX</v>
      </c>
      <c r="AA920" s="8" t="e">
        <f>+VLOOKUP(I920,[1]SKU!$H$2:$I$97,2,0)</f>
        <v>#N/A</v>
      </c>
    </row>
    <row r="921" spans="24:27">
      <c r="X921" s="8" t="str">
        <f>+IFERROR(VLOOKUP(N921,[1]Hoja1!$B$2:$F$52,4,0)*P921,"")</f>
        <v/>
      </c>
      <c r="Y921" s="8" t="e">
        <f>+VLOOKUP(M921,[1]SKU!$B$3:$E$81,4,0)</f>
        <v>#N/A</v>
      </c>
      <c r="Z921" s="8" t="str">
        <f t="shared" si="14"/>
        <v>FLEX</v>
      </c>
      <c r="AA921" s="8" t="e">
        <f>+VLOOKUP(I921,[1]SKU!$H$2:$I$97,2,0)</f>
        <v>#N/A</v>
      </c>
    </row>
    <row r="922" spans="24:27">
      <c r="X922" s="8" t="str">
        <f>+IFERROR(VLOOKUP(N922,[1]Hoja1!$B$2:$F$52,4,0)*P922,"")</f>
        <v/>
      </c>
      <c r="Y922" s="8" t="e">
        <f>+VLOOKUP(M922,[1]SKU!$B$3:$E$81,4,0)</f>
        <v>#N/A</v>
      </c>
      <c r="Z922" s="8" t="str">
        <f t="shared" si="14"/>
        <v>FLEX</v>
      </c>
      <c r="AA922" s="8" t="e">
        <f>+VLOOKUP(I922,[1]SKU!$H$2:$I$97,2,0)</f>
        <v>#N/A</v>
      </c>
    </row>
    <row r="923" spans="24:27">
      <c r="X923" s="8" t="str">
        <f>+IFERROR(VLOOKUP(N923,[1]Hoja1!$B$2:$F$52,4,0)*P923,"")</f>
        <v/>
      </c>
      <c r="Y923" s="8" t="e">
        <f>+VLOOKUP(M923,[1]SKU!$B$3:$E$81,4,0)</f>
        <v>#N/A</v>
      </c>
      <c r="Z923" s="8" t="str">
        <f t="shared" si="14"/>
        <v>FLEX</v>
      </c>
      <c r="AA923" s="8" t="e">
        <f>+VLOOKUP(I923,[1]SKU!$H$2:$I$97,2,0)</f>
        <v>#N/A</v>
      </c>
    </row>
    <row r="924" spans="24:27">
      <c r="X924" s="8" t="str">
        <f>+IFERROR(VLOOKUP(N924,[1]Hoja1!$B$2:$F$52,4,0)*P924,"")</f>
        <v/>
      </c>
      <c r="Y924" s="8" t="e">
        <f>+VLOOKUP(M924,[1]SKU!$B$3:$E$81,4,0)</f>
        <v>#N/A</v>
      </c>
      <c r="Z924" s="8" t="str">
        <f t="shared" si="14"/>
        <v>FLEX</v>
      </c>
      <c r="AA924" s="8" t="e">
        <f>+VLOOKUP(I924,[1]SKU!$H$2:$I$97,2,0)</f>
        <v>#N/A</v>
      </c>
    </row>
    <row r="925" spans="24:27">
      <c r="X925" s="8" t="str">
        <f>+IFERROR(VLOOKUP(N925,[1]Hoja1!$B$2:$F$52,4,0)*P925,"")</f>
        <v/>
      </c>
      <c r="Y925" s="8" t="e">
        <f>+VLOOKUP(M925,[1]SKU!$B$3:$E$81,4,0)</f>
        <v>#N/A</v>
      </c>
      <c r="Z925" s="8" t="str">
        <f t="shared" si="14"/>
        <v>FLEX</v>
      </c>
      <c r="AA925" s="8" t="e">
        <f>+VLOOKUP(I925,[1]SKU!$H$2:$I$97,2,0)</f>
        <v>#N/A</v>
      </c>
    </row>
    <row r="926" spans="24:27">
      <c r="X926" s="8" t="str">
        <f>+IFERROR(VLOOKUP(N926,[1]Hoja1!$B$2:$F$52,4,0)*P926,"")</f>
        <v/>
      </c>
      <c r="Y926" s="8" t="e">
        <f>+VLOOKUP(M926,[1]SKU!$B$3:$E$81,4,0)</f>
        <v>#N/A</v>
      </c>
      <c r="Z926" s="8" t="str">
        <f t="shared" si="14"/>
        <v>FLEX</v>
      </c>
      <c r="AA926" s="8" t="e">
        <f>+VLOOKUP(I926,[1]SKU!$H$2:$I$97,2,0)</f>
        <v>#N/A</v>
      </c>
    </row>
    <row r="927" spans="24:27">
      <c r="X927" s="8" t="str">
        <f>+IFERROR(VLOOKUP(N927,[1]Hoja1!$B$2:$F$52,4,0)*P927,"")</f>
        <v/>
      </c>
      <c r="Y927" s="8" t="e">
        <f>+VLOOKUP(M927,[1]SKU!$B$3:$E$81,4,0)</f>
        <v>#N/A</v>
      </c>
      <c r="Z927" s="8" t="str">
        <f t="shared" si="14"/>
        <v>FLEX</v>
      </c>
      <c r="AA927" s="8" t="e">
        <f>+VLOOKUP(I927,[1]SKU!$H$2:$I$97,2,0)</f>
        <v>#N/A</v>
      </c>
    </row>
    <row r="928" spans="24:27">
      <c r="X928" s="8" t="str">
        <f>+IFERROR(VLOOKUP(N928,[1]Hoja1!$B$2:$F$52,4,0)*P928,"")</f>
        <v/>
      </c>
      <c r="Y928" s="8" t="e">
        <f>+VLOOKUP(M928,[1]SKU!$B$3:$E$81,4,0)</f>
        <v>#N/A</v>
      </c>
      <c r="Z928" s="8" t="str">
        <f t="shared" si="14"/>
        <v>FLEX</v>
      </c>
      <c r="AA928" s="8" t="e">
        <f>+VLOOKUP(I928,[1]SKU!$H$2:$I$97,2,0)</f>
        <v>#N/A</v>
      </c>
    </row>
    <row r="929" spans="24:27">
      <c r="X929" s="8" t="str">
        <f>+IFERROR(VLOOKUP(N929,[1]Hoja1!$B$2:$F$52,4,0)*P929,"")</f>
        <v/>
      </c>
      <c r="Y929" s="8" t="e">
        <f>+VLOOKUP(M929,[1]SKU!$B$3:$E$81,4,0)</f>
        <v>#N/A</v>
      </c>
      <c r="Z929" s="8" t="str">
        <f t="shared" si="14"/>
        <v>FLEX</v>
      </c>
      <c r="AA929" s="8" t="e">
        <f>+VLOOKUP(I929,[1]SKU!$H$2:$I$97,2,0)</f>
        <v>#N/A</v>
      </c>
    </row>
    <row r="930" spans="24:27">
      <c r="X930" s="8" t="str">
        <f>+IFERROR(VLOOKUP(N930,[1]Hoja1!$B$2:$F$52,4,0)*P930,"")</f>
        <v/>
      </c>
      <c r="Y930" s="8" t="e">
        <f>+VLOOKUP(M930,[1]SKU!$B$3:$E$81,4,0)</f>
        <v>#N/A</v>
      </c>
      <c r="Z930" s="8" t="str">
        <f t="shared" si="14"/>
        <v>FLEX</v>
      </c>
      <c r="AA930" s="8" t="e">
        <f>+VLOOKUP(I930,[1]SKU!$H$2:$I$97,2,0)</f>
        <v>#N/A</v>
      </c>
    </row>
    <row r="931" spans="24:27">
      <c r="X931" s="8" t="str">
        <f>+IFERROR(VLOOKUP(N931,[1]Hoja1!$B$2:$F$52,4,0)*P931,"")</f>
        <v/>
      </c>
      <c r="Y931" s="8" t="e">
        <f>+VLOOKUP(M931,[1]SKU!$B$3:$E$81,4,0)</f>
        <v>#N/A</v>
      </c>
      <c r="Z931" s="8" t="str">
        <f t="shared" si="14"/>
        <v>FLEX</v>
      </c>
      <c r="AA931" s="8" t="e">
        <f>+VLOOKUP(I931,[1]SKU!$H$2:$I$97,2,0)</f>
        <v>#N/A</v>
      </c>
    </row>
    <row r="932" spans="24:27">
      <c r="X932" s="8" t="str">
        <f>+IFERROR(VLOOKUP(N932,[1]Hoja1!$B$2:$F$52,4,0)*P932,"")</f>
        <v/>
      </c>
      <c r="Y932" s="8" t="e">
        <f>+VLOOKUP(M932,[1]SKU!$B$3:$E$81,4,0)</f>
        <v>#N/A</v>
      </c>
      <c r="Z932" s="8" t="str">
        <f t="shared" si="14"/>
        <v>FLEX</v>
      </c>
      <c r="AA932" s="8" t="e">
        <f>+VLOOKUP(I932,[1]SKU!$H$2:$I$97,2,0)</f>
        <v>#N/A</v>
      </c>
    </row>
    <row r="933" spans="24:27">
      <c r="X933" s="8" t="str">
        <f>+IFERROR(VLOOKUP(N933,[1]Hoja1!$B$2:$F$52,4,0)*P933,"")</f>
        <v/>
      </c>
      <c r="Y933" s="8" t="e">
        <f>+VLOOKUP(M933,[1]SKU!$B$3:$E$81,4,0)</f>
        <v>#N/A</v>
      </c>
      <c r="Z933" s="8" t="str">
        <f t="shared" si="14"/>
        <v>FLEX</v>
      </c>
      <c r="AA933" s="8" t="e">
        <f>+VLOOKUP(I933,[1]SKU!$H$2:$I$97,2,0)</f>
        <v>#N/A</v>
      </c>
    </row>
    <row r="934" spans="24:27">
      <c r="X934" s="8" t="str">
        <f>+IFERROR(VLOOKUP(N934,[1]Hoja1!$B$2:$F$52,4,0)*P934,"")</f>
        <v/>
      </c>
      <c r="Y934" s="8" t="e">
        <f>+VLOOKUP(M934,[1]SKU!$B$3:$E$81,4,0)</f>
        <v>#N/A</v>
      </c>
      <c r="Z934" s="8" t="str">
        <f t="shared" si="14"/>
        <v>FLEX</v>
      </c>
      <c r="AA934" s="8" t="e">
        <f>+VLOOKUP(I934,[1]SKU!$H$2:$I$97,2,0)</f>
        <v>#N/A</v>
      </c>
    </row>
    <row r="935" spans="24:27">
      <c r="X935" s="8" t="str">
        <f>+IFERROR(VLOOKUP(N935,[1]Hoja1!$B$2:$F$52,4,0)*P935,"")</f>
        <v/>
      </c>
      <c r="Y935" s="8" t="e">
        <f>+VLOOKUP(M935,[1]SKU!$B$3:$E$81,4,0)</f>
        <v>#N/A</v>
      </c>
      <c r="Z935" s="8" t="str">
        <f t="shared" si="14"/>
        <v>FLEX</v>
      </c>
      <c r="AA935" s="8" t="e">
        <f>+VLOOKUP(I935,[1]SKU!$H$2:$I$97,2,0)</f>
        <v>#N/A</v>
      </c>
    </row>
    <row r="936" spans="24:27">
      <c r="X936" s="8" t="str">
        <f>+IFERROR(VLOOKUP(N936,[1]Hoja1!$B$2:$F$52,4,0)*P936,"")</f>
        <v/>
      </c>
      <c r="Y936" s="8" t="e">
        <f>+VLOOKUP(M936,[1]SKU!$B$3:$E$81,4,0)</f>
        <v>#N/A</v>
      </c>
      <c r="Z936" s="8" t="str">
        <f t="shared" si="14"/>
        <v>FLEX</v>
      </c>
      <c r="AA936" s="8" t="e">
        <f>+VLOOKUP(I936,[1]SKU!$H$2:$I$97,2,0)</f>
        <v>#N/A</v>
      </c>
    </row>
    <row r="937" spans="24:27">
      <c r="X937" s="8" t="str">
        <f>+IFERROR(VLOOKUP(N937,[1]Hoja1!$B$2:$F$52,4,0)*P937,"")</f>
        <v/>
      </c>
      <c r="Y937" s="8" t="e">
        <f>+VLOOKUP(M937,[1]SKU!$B$3:$E$81,4,0)</f>
        <v>#N/A</v>
      </c>
      <c r="Z937" s="8" t="str">
        <f t="shared" si="14"/>
        <v>FLEX</v>
      </c>
      <c r="AA937" s="8" t="e">
        <f>+VLOOKUP(I937,[1]SKU!$H$2:$I$97,2,0)</f>
        <v>#N/A</v>
      </c>
    </row>
    <row r="938" spans="24:27">
      <c r="X938" s="8" t="str">
        <f>+IFERROR(VLOOKUP(N938,[1]Hoja1!$B$2:$F$52,4,0)*P938,"")</f>
        <v/>
      </c>
      <c r="Y938" s="8" t="e">
        <f>+VLOOKUP(M938,[1]SKU!$B$3:$E$81,4,0)</f>
        <v>#N/A</v>
      </c>
      <c r="Z938" s="8" t="str">
        <f t="shared" si="14"/>
        <v>FLEX</v>
      </c>
      <c r="AA938" s="8" t="e">
        <f>+VLOOKUP(I938,[1]SKU!$H$2:$I$97,2,0)</f>
        <v>#N/A</v>
      </c>
    </row>
    <row r="939" spans="24:27">
      <c r="X939" s="8" t="str">
        <f>+IFERROR(VLOOKUP(N939,[1]Hoja1!$B$2:$F$52,4,0)*P939,"")</f>
        <v/>
      </c>
      <c r="Y939" s="8" t="e">
        <f>+VLOOKUP(M939,[1]SKU!$B$3:$E$81,4,0)</f>
        <v>#N/A</v>
      </c>
      <c r="Z939" s="8" t="str">
        <f t="shared" si="14"/>
        <v>FLEX</v>
      </c>
      <c r="AA939" s="8" t="e">
        <f>+VLOOKUP(I939,[1]SKU!$H$2:$I$97,2,0)</f>
        <v>#N/A</v>
      </c>
    </row>
    <row r="940" spans="24:27">
      <c r="X940" s="8" t="str">
        <f>+IFERROR(VLOOKUP(N940,[1]Hoja1!$B$2:$F$52,4,0)*P940,"")</f>
        <v/>
      </c>
      <c r="Y940" s="8" t="e">
        <f>+VLOOKUP(M940,[1]SKU!$B$3:$E$81,4,0)</f>
        <v>#N/A</v>
      </c>
      <c r="Z940" s="8" t="str">
        <f t="shared" si="14"/>
        <v>FLEX</v>
      </c>
      <c r="AA940" s="8" t="e">
        <f>+VLOOKUP(I940,[1]SKU!$H$2:$I$97,2,0)</f>
        <v>#N/A</v>
      </c>
    </row>
    <row r="941" spans="24:27">
      <c r="X941" s="8" t="str">
        <f>+IFERROR(VLOOKUP(N941,[1]Hoja1!$B$2:$F$52,4,0)*P941,"")</f>
        <v/>
      </c>
      <c r="Y941" s="8" t="e">
        <f>+VLOOKUP(M941,[1]SKU!$B$3:$E$81,4,0)</f>
        <v>#N/A</v>
      </c>
      <c r="Z941" s="8" t="str">
        <f t="shared" si="14"/>
        <v>FLEX</v>
      </c>
      <c r="AA941" s="8" t="e">
        <f>+VLOOKUP(I941,[1]SKU!$H$2:$I$97,2,0)</f>
        <v>#N/A</v>
      </c>
    </row>
    <row r="942" spans="24:27">
      <c r="X942" s="8" t="str">
        <f>+IFERROR(VLOOKUP(N942,[1]Hoja1!$B$2:$F$52,4,0)*P942,"")</f>
        <v/>
      </c>
      <c r="Y942" s="8" t="e">
        <f>+VLOOKUP(M942,[1]SKU!$B$3:$E$81,4,0)</f>
        <v>#N/A</v>
      </c>
      <c r="Z942" s="8" t="str">
        <f t="shared" si="14"/>
        <v>FLEX</v>
      </c>
      <c r="AA942" s="8" t="e">
        <f>+VLOOKUP(I942,[1]SKU!$H$2:$I$97,2,0)</f>
        <v>#N/A</v>
      </c>
    </row>
    <row r="943" spans="24:27">
      <c r="X943" s="8" t="str">
        <f>+IFERROR(VLOOKUP(N943,[1]Hoja1!$B$2:$F$52,4,0)*P943,"")</f>
        <v/>
      </c>
      <c r="Y943" s="8" t="e">
        <f>+VLOOKUP(M943,[1]SKU!$B$3:$E$81,4,0)</f>
        <v>#N/A</v>
      </c>
      <c r="Z943" s="8" t="str">
        <f t="shared" si="14"/>
        <v>FLEX</v>
      </c>
      <c r="AA943" s="8" t="e">
        <f>+VLOOKUP(I943,[1]SKU!$H$2:$I$97,2,0)</f>
        <v>#N/A</v>
      </c>
    </row>
    <row r="944" spans="24:27">
      <c r="X944" s="8" t="str">
        <f>+IFERROR(VLOOKUP(N944,[1]Hoja1!$B$2:$F$52,4,0)*P944,"")</f>
        <v/>
      </c>
      <c r="Y944" s="8" t="e">
        <f>+VLOOKUP(M944,[1]SKU!$B$3:$E$81,4,0)</f>
        <v>#N/A</v>
      </c>
      <c r="Z944" s="8" t="str">
        <f t="shared" si="14"/>
        <v>FLEX</v>
      </c>
      <c r="AA944" s="8" t="e">
        <f>+VLOOKUP(I944,[1]SKU!$H$2:$I$97,2,0)</f>
        <v>#N/A</v>
      </c>
    </row>
    <row r="945" spans="24:27">
      <c r="X945" s="8" t="str">
        <f>+IFERROR(VLOOKUP(N945,[1]Hoja1!$B$2:$F$52,4,0)*P945,"")</f>
        <v/>
      </c>
      <c r="Y945" s="8" t="e">
        <f>+VLOOKUP(M945,[1]SKU!$B$3:$E$81,4,0)</f>
        <v>#N/A</v>
      </c>
      <c r="Z945" s="8" t="str">
        <f t="shared" si="14"/>
        <v>FLEX</v>
      </c>
      <c r="AA945" s="8" t="e">
        <f>+VLOOKUP(I945,[1]SKU!$H$2:$I$97,2,0)</f>
        <v>#N/A</v>
      </c>
    </row>
    <row r="946" spans="24:27">
      <c r="X946" s="8" t="str">
        <f>+IFERROR(VLOOKUP(N946,[1]Hoja1!$B$2:$F$52,4,0)*P946,"")</f>
        <v/>
      </c>
      <c r="Y946" s="8" t="e">
        <f>+VLOOKUP(M946,[1]SKU!$B$3:$E$81,4,0)</f>
        <v>#N/A</v>
      </c>
      <c r="Z946" s="8" t="str">
        <f t="shared" si="14"/>
        <v>FLEX</v>
      </c>
      <c r="AA946" s="8" t="e">
        <f>+VLOOKUP(I946,[1]SKU!$H$2:$I$97,2,0)</f>
        <v>#N/A</v>
      </c>
    </row>
    <row r="947" spans="24:27">
      <c r="X947" s="8" t="str">
        <f>+IFERROR(VLOOKUP(N947,[1]Hoja1!$B$2:$F$52,4,0)*P947,"")</f>
        <v/>
      </c>
      <c r="Y947" s="8" t="e">
        <f>+VLOOKUP(M947,[1]SKU!$B$3:$E$81,4,0)</f>
        <v>#N/A</v>
      </c>
      <c r="Z947" s="8" t="str">
        <f t="shared" si="14"/>
        <v>FLEX</v>
      </c>
      <c r="AA947" s="8" t="e">
        <f>+VLOOKUP(I947,[1]SKU!$H$2:$I$97,2,0)</f>
        <v>#N/A</v>
      </c>
    </row>
    <row r="948" spans="24:27">
      <c r="X948" s="8" t="str">
        <f>+IFERROR(VLOOKUP(N948,[1]Hoja1!$B$2:$F$52,4,0)*P948,"")</f>
        <v/>
      </c>
      <c r="Y948" s="8" t="e">
        <f>+VLOOKUP(M948,[1]SKU!$B$3:$E$81,4,0)</f>
        <v>#N/A</v>
      </c>
      <c r="Z948" s="8" t="str">
        <f t="shared" si="14"/>
        <v>FLEX</v>
      </c>
      <c r="AA948" s="8" t="e">
        <f>+VLOOKUP(I948,[1]SKU!$H$2:$I$97,2,0)</f>
        <v>#N/A</v>
      </c>
    </row>
    <row r="949" spans="24:27">
      <c r="X949" s="8" t="str">
        <f>+IFERROR(VLOOKUP(N949,[1]Hoja1!$B$2:$F$52,4,0)*P949,"")</f>
        <v/>
      </c>
      <c r="Y949" s="8" t="e">
        <f>+VLOOKUP(M949,[1]SKU!$B$3:$E$81,4,0)</f>
        <v>#N/A</v>
      </c>
      <c r="Z949" s="8" t="str">
        <f t="shared" si="14"/>
        <v>FLEX</v>
      </c>
      <c r="AA949" s="8" t="e">
        <f>+VLOOKUP(I949,[1]SKU!$H$2:$I$97,2,0)</f>
        <v>#N/A</v>
      </c>
    </row>
    <row r="950" spans="24:27">
      <c r="X950" s="8" t="str">
        <f>+IFERROR(VLOOKUP(N950,[1]Hoja1!$B$2:$F$52,4,0)*P950,"")</f>
        <v/>
      </c>
      <c r="Y950" s="8" t="e">
        <f>+VLOOKUP(M950,[1]SKU!$B$3:$E$81,4,0)</f>
        <v>#N/A</v>
      </c>
      <c r="Z950" s="8" t="str">
        <f t="shared" si="14"/>
        <v>FLEX</v>
      </c>
      <c r="AA950" s="8" t="e">
        <f>+VLOOKUP(I950,[1]SKU!$H$2:$I$97,2,0)</f>
        <v>#N/A</v>
      </c>
    </row>
    <row r="951" spans="24:27">
      <c r="X951" s="8" t="str">
        <f>+IFERROR(VLOOKUP(N951,[1]Hoja1!$B$2:$F$52,4,0)*P951,"")</f>
        <v/>
      </c>
      <c r="Y951" s="8" t="e">
        <f>+VLOOKUP(M951,[1]SKU!$B$3:$E$81,4,0)</f>
        <v>#N/A</v>
      </c>
      <c r="Z951" s="8" t="str">
        <f t="shared" si="14"/>
        <v>FLEX</v>
      </c>
      <c r="AA951" s="8" t="e">
        <f>+VLOOKUP(I951,[1]SKU!$H$2:$I$97,2,0)</f>
        <v>#N/A</v>
      </c>
    </row>
    <row r="952" spans="24:27">
      <c r="X952" s="8" t="str">
        <f>+IFERROR(VLOOKUP(N952,[1]Hoja1!$B$2:$F$52,4,0)*P952,"")</f>
        <v/>
      </c>
      <c r="Y952" s="8" t="e">
        <f>+VLOOKUP(M952,[1]SKU!$B$3:$E$81,4,0)</f>
        <v>#N/A</v>
      </c>
      <c r="Z952" s="8" t="str">
        <f t="shared" si="14"/>
        <v>FLEX</v>
      </c>
      <c r="AA952" s="8" t="e">
        <f>+VLOOKUP(I952,[1]SKU!$H$2:$I$97,2,0)</f>
        <v>#N/A</v>
      </c>
    </row>
    <row r="953" spans="24:27">
      <c r="X953" s="8" t="str">
        <f>+IFERROR(VLOOKUP(N953,[1]Hoja1!$B$2:$F$52,4,0)*P953,"")</f>
        <v/>
      </c>
      <c r="Y953" s="8" t="e">
        <f>+VLOOKUP(M953,[1]SKU!$B$3:$E$81,4,0)</f>
        <v>#N/A</v>
      </c>
      <c r="Z953" s="8" t="str">
        <f t="shared" si="14"/>
        <v>FLEX</v>
      </c>
      <c r="AA953" s="8" t="e">
        <f>+VLOOKUP(I953,[1]SKU!$H$2:$I$97,2,0)</f>
        <v>#N/A</v>
      </c>
    </row>
    <row r="954" spans="24:27">
      <c r="X954" s="8" t="str">
        <f>+IFERROR(VLOOKUP(N954,[1]Hoja1!$B$2:$F$52,4,0)*P954,"")</f>
        <v/>
      </c>
      <c r="Y954" s="8" t="e">
        <f>+VLOOKUP(M954,[1]SKU!$B$3:$E$81,4,0)</f>
        <v>#N/A</v>
      </c>
      <c r="Z954" s="8" t="str">
        <f t="shared" si="14"/>
        <v>FLEX</v>
      </c>
      <c r="AA954" s="8" t="e">
        <f>+VLOOKUP(I954,[1]SKU!$H$2:$I$97,2,0)</f>
        <v>#N/A</v>
      </c>
    </row>
    <row r="955" spans="24:27">
      <c r="X955" s="8" t="str">
        <f>+IFERROR(VLOOKUP(N955,[1]Hoja1!$B$2:$F$52,4,0)*P955,"")</f>
        <v/>
      </c>
      <c r="Y955" s="8" t="e">
        <f>+VLOOKUP(M955,[1]SKU!$B$3:$E$81,4,0)</f>
        <v>#N/A</v>
      </c>
      <c r="Z955" s="8" t="str">
        <f t="shared" si="14"/>
        <v>FLEX</v>
      </c>
      <c r="AA955" s="8" t="e">
        <f>+VLOOKUP(I955,[1]SKU!$H$2:$I$97,2,0)</f>
        <v>#N/A</v>
      </c>
    </row>
    <row r="956" spans="24:27">
      <c r="X956" s="8" t="str">
        <f>+IFERROR(VLOOKUP(N956,[1]Hoja1!$B$2:$F$52,4,0)*P956,"")</f>
        <v/>
      </c>
      <c r="Y956" s="8" t="e">
        <f>+VLOOKUP(M956,[1]SKU!$B$3:$E$81,4,0)</f>
        <v>#N/A</v>
      </c>
      <c r="Z956" s="8" t="str">
        <f t="shared" si="14"/>
        <v>FLEX</v>
      </c>
      <c r="AA956" s="8" t="e">
        <f>+VLOOKUP(I956,[1]SKU!$H$2:$I$97,2,0)</f>
        <v>#N/A</v>
      </c>
    </row>
    <row r="957" spans="24:27">
      <c r="X957" s="8" t="str">
        <f>+IFERROR(VLOOKUP(N957,[1]Hoja1!$B$2:$F$52,4,0)*P957,"")</f>
        <v/>
      </c>
      <c r="Y957" s="8" t="e">
        <f>+VLOOKUP(M957,[1]SKU!$B$3:$E$81,4,0)</f>
        <v>#N/A</v>
      </c>
      <c r="Z957" s="8" t="str">
        <f t="shared" si="14"/>
        <v>FLEX</v>
      </c>
      <c r="AA957" s="8" t="e">
        <f>+VLOOKUP(I957,[1]SKU!$H$2:$I$97,2,0)</f>
        <v>#N/A</v>
      </c>
    </row>
    <row r="958" spans="24:27">
      <c r="X958" s="8" t="str">
        <f>+IFERROR(VLOOKUP(N958,[1]Hoja1!$B$2:$F$52,4,0)*P958,"")</f>
        <v/>
      </c>
      <c r="Y958" s="8" t="e">
        <f>+VLOOKUP(M958,[1]SKU!$B$3:$E$81,4,0)</f>
        <v>#N/A</v>
      </c>
      <c r="Z958" s="8" t="str">
        <f t="shared" si="14"/>
        <v>FLEX</v>
      </c>
      <c r="AA958" s="8" t="e">
        <f>+VLOOKUP(I958,[1]SKU!$H$2:$I$97,2,0)</f>
        <v>#N/A</v>
      </c>
    </row>
    <row r="959" spans="24:27">
      <c r="X959" s="8" t="str">
        <f>+IFERROR(VLOOKUP(N959,[1]Hoja1!$B$2:$F$52,4,0)*P959,"")</f>
        <v/>
      </c>
      <c r="Y959" s="8" t="e">
        <f>+VLOOKUP(M959,[1]SKU!$B$3:$E$81,4,0)</f>
        <v>#N/A</v>
      </c>
      <c r="Z959" s="8" t="str">
        <f t="shared" si="14"/>
        <v>FLEX</v>
      </c>
      <c r="AA959" s="8" t="e">
        <f>+VLOOKUP(I959,[1]SKU!$H$2:$I$97,2,0)</f>
        <v>#N/A</v>
      </c>
    </row>
    <row r="960" spans="24:27">
      <c r="X960" s="8" t="str">
        <f>+IFERROR(VLOOKUP(N960,[1]Hoja1!$B$2:$F$52,4,0)*P960,"")</f>
        <v/>
      </c>
      <c r="Y960" s="8" t="e">
        <f>+VLOOKUP(M960,[1]SKU!$B$3:$E$81,4,0)</f>
        <v>#N/A</v>
      </c>
      <c r="Z960" s="8" t="str">
        <f t="shared" si="14"/>
        <v>FLEX</v>
      </c>
      <c r="AA960" s="8" t="e">
        <f>+VLOOKUP(I960,[1]SKU!$H$2:$I$97,2,0)</f>
        <v>#N/A</v>
      </c>
    </row>
    <row r="961" spans="24:27">
      <c r="X961" s="8" t="str">
        <f>+IFERROR(VLOOKUP(N961,[1]Hoja1!$B$2:$F$52,4,0)*P961,"")</f>
        <v/>
      </c>
      <c r="Y961" s="8" t="e">
        <f>+VLOOKUP(M961,[1]SKU!$B$3:$E$81,4,0)</f>
        <v>#N/A</v>
      </c>
      <c r="Z961" s="8" t="str">
        <f t="shared" si="14"/>
        <v>FLEX</v>
      </c>
      <c r="AA961" s="8" t="e">
        <f>+VLOOKUP(I961,[1]SKU!$H$2:$I$97,2,0)</f>
        <v>#N/A</v>
      </c>
    </row>
    <row r="962" spans="24:27">
      <c r="X962" s="8" t="str">
        <f>+IFERROR(VLOOKUP(N962,[1]Hoja1!$B$2:$F$52,4,0)*P962,"")</f>
        <v/>
      </c>
      <c r="Y962" s="8" t="e">
        <f>+VLOOKUP(M962,[1]SKU!$B$3:$E$81,4,0)</f>
        <v>#N/A</v>
      </c>
      <c r="Z962" s="8" t="str">
        <f t="shared" si="14"/>
        <v>FLEX</v>
      </c>
      <c r="AA962" s="8" t="e">
        <f>+VLOOKUP(I962,[1]SKU!$H$2:$I$97,2,0)</f>
        <v>#N/A</v>
      </c>
    </row>
    <row r="963" spans="24:27">
      <c r="X963" s="8" t="str">
        <f>+IFERROR(VLOOKUP(N963,[1]Hoja1!$B$2:$F$52,4,0)*P963,"")</f>
        <v/>
      </c>
      <c r="Y963" s="8" t="e">
        <f>+VLOOKUP(M963,[1]SKU!$B$3:$E$81,4,0)</f>
        <v>#N/A</v>
      </c>
      <c r="Z963" s="8" t="str">
        <f t="shared" ref="Z963:Z1026" si="15">+IF(J963="VB01                          ","BEES","FLEX")</f>
        <v>FLEX</v>
      </c>
      <c r="AA963" s="8" t="e">
        <f>+VLOOKUP(I963,[1]SKU!$H$2:$I$97,2,0)</f>
        <v>#N/A</v>
      </c>
    </row>
    <row r="964" spans="24:27">
      <c r="X964" s="8" t="str">
        <f>+IFERROR(VLOOKUP(N964,[1]Hoja1!$B$2:$F$52,4,0)*P964,"")</f>
        <v/>
      </c>
      <c r="Y964" s="8" t="e">
        <f>+VLOOKUP(M964,[1]SKU!$B$3:$E$81,4,0)</f>
        <v>#N/A</v>
      </c>
      <c r="Z964" s="8" t="str">
        <f t="shared" si="15"/>
        <v>FLEX</v>
      </c>
      <c r="AA964" s="8" t="e">
        <f>+VLOOKUP(I964,[1]SKU!$H$2:$I$97,2,0)</f>
        <v>#N/A</v>
      </c>
    </row>
    <row r="965" spans="24:27">
      <c r="X965" s="8" t="str">
        <f>+IFERROR(VLOOKUP(N965,[1]Hoja1!$B$2:$F$52,4,0)*P965,"")</f>
        <v/>
      </c>
      <c r="Y965" s="8" t="e">
        <f>+VLOOKUP(M965,[1]SKU!$B$3:$E$81,4,0)</f>
        <v>#N/A</v>
      </c>
      <c r="Z965" s="8" t="str">
        <f t="shared" si="15"/>
        <v>FLEX</v>
      </c>
      <c r="AA965" s="8" t="e">
        <f>+VLOOKUP(I965,[1]SKU!$H$2:$I$97,2,0)</f>
        <v>#N/A</v>
      </c>
    </row>
    <row r="966" spans="24:27">
      <c r="X966" s="8" t="str">
        <f>+IFERROR(VLOOKUP(N966,[1]Hoja1!$B$2:$F$52,4,0)*P966,"")</f>
        <v/>
      </c>
      <c r="Y966" s="8" t="e">
        <f>+VLOOKUP(M966,[1]SKU!$B$3:$E$81,4,0)</f>
        <v>#N/A</v>
      </c>
      <c r="Z966" s="8" t="str">
        <f t="shared" si="15"/>
        <v>FLEX</v>
      </c>
      <c r="AA966" s="8" t="e">
        <f>+VLOOKUP(I966,[1]SKU!$H$2:$I$97,2,0)</f>
        <v>#N/A</v>
      </c>
    </row>
    <row r="967" spans="24:27">
      <c r="X967" s="8" t="str">
        <f>+IFERROR(VLOOKUP(N967,[1]Hoja1!$B$2:$F$52,4,0)*P967,"")</f>
        <v/>
      </c>
      <c r="Y967" s="8" t="e">
        <f>+VLOOKUP(M967,[1]SKU!$B$3:$E$81,4,0)</f>
        <v>#N/A</v>
      </c>
      <c r="Z967" s="8" t="str">
        <f t="shared" si="15"/>
        <v>FLEX</v>
      </c>
      <c r="AA967" s="8" t="e">
        <f>+VLOOKUP(I967,[1]SKU!$H$2:$I$97,2,0)</f>
        <v>#N/A</v>
      </c>
    </row>
    <row r="968" spans="24:27">
      <c r="X968" s="8" t="str">
        <f>+IFERROR(VLOOKUP(N968,[1]Hoja1!$B$2:$F$52,4,0)*P968,"")</f>
        <v/>
      </c>
      <c r="Y968" s="8" t="e">
        <f>+VLOOKUP(M968,[1]SKU!$B$3:$E$81,4,0)</f>
        <v>#N/A</v>
      </c>
      <c r="Z968" s="8" t="str">
        <f t="shared" si="15"/>
        <v>FLEX</v>
      </c>
      <c r="AA968" s="8" t="e">
        <f>+VLOOKUP(I968,[1]SKU!$H$2:$I$97,2,0)</f>
        <v>#N/A</v>
      </c>
    </row>
    <row r="969" spans="24:27">
      <c r="X969" s="8" t="str">
        <f>+IFERROR(VLOOKUP(N969,[1]Hoja1!$B$2:$F$52,4,0)*P969,"")</f>
        <v/>
      </c>
      <c r="Y969" s="8" t="e">
        <f>+VLOOKUP(M969,[1]SKU!$B$3:$E$81,4,0)</f>
        <v>#N/A</v>
      </c>
      <c r="Z969" s="8" t="str">
        <f t="shared" si="15"/>
        <v>FLEX</v>
      </c>
      <c r="AA969" s="8" t="e">
        <f>+VLOOKUP(I969,[1]SKU!$H$2:$I$97,2,0)</f>
        <v>#N/A</v>
      </c>
    </row>
    <row r="970" spans="24:27">
      <c r="X970" s="8" t="str">
        <f>+IFERROR(VLOOKUP(N970,[1]Hoja1!$B$2:$F$52,4,0)*P970,"")</f>
        <v/>
      </c>
      <c r="Y970" s="8" t="e">
        <f>+VLOOKUP(M970,[1]SKU!$B$3:$E$81,4,0)</f>
        <v>#N/A</v>
      </c>
      <c r="Z970" s="8" t="str">
        <f t="shared" si="15"/>
        <v>FLEX</v>
      </c>
      <c r="AA970" s="8" t="e">
        <f>+VLOOKUP(I970,[1]SKU!$H$2:$I$97,2,0)</f>
        <v>#N/A</v>
      </c>
    </row>
    <row r="971" spans="24:27">
      <c r="X971" s="8" t="str">
        <f>+IFERROR(VLOOKUP(N971,[1]Hoja1!$B$2:$F$52,4,0)*P971,"")</f>
        <v/>
      </c>
      <c r="Y971" s="8" t="e">
        <f>+VLOOKUP(M971,[1]SKU!$B$3:$E$81,4,0)</f>
        <v>#N/A</v>
      </c>
      <c r="Z971" s="8" t="str">
        <f t="shared" si="15"/>
        <v>FLEX</v>
      </c>
      <c r="AA971" s="8" t="e">
        <f>+VLOOKUP(I971,[1]SKU!$H$2:$I$97,2,0)</f>
        <v>#N/A</v>
      </c>
    </row>
    <row r="972" spans="24:27">
      <c r="X972" s="8" t="str">
        <f>+IFERROR(VLOOKUP(N972,[1]Hoja1!$B$2:$F$52,4,0)*P972,"")</f>
        <v/>
      </c>
      <c r="Y972" s="8" t="e">
        <f>+VLOOKUP(M972,[1]SKU!$B$3:$E$81,4,0)</f>
        <v>#N/A</v>
      </c>
      <c r="Z972" s="8" t="str">
        <f t="shared" si="15"/>
        <v>FLEX</v>
      </c>
      <c r="AA972" s="8" t="e">
        <f>+VLOOKUP(I972,[1]SKU!$H$2:$I$97,2,0)</f>
        <v>#N/A</v>
      </c>
    </row>
    <row r="973" spans="24:27">
      <c r="X973" s="8" t="str">
        <f>+IFERROR(VLOOKUP(N973,[1]Hoja1!$B$2:$F$52,4,0)*P973,"")</f>
        <v/>
      </c>
      <c r="Y973" s="8" t="e">
        <f>+VLOOKUP(M973,[1]SKU!$B$3:$E$81,4,0)</f>
        <v>#N/A</v>
      </c>
      <c r="Z973" s="8" t="str">
        <f t="shared" si="15"/>
        <v>FLEX</v>
      </c>
      <c r="AA973" s="8" t="e">
        <f>+VLOOKUP(I973,[1]SKU!$H$2:$I$97,2,0)</f>
        <v>#N/A</v>
      </c>
    </row>
    <row r="974" spans="24:27">
      <c r="X974" s="8" t="str">
        <f>+IFERROR(VLOOKUP(N974,[1]Hoja1!$B$2:$F$52,4,0)*P974,"")</f>
        <v/>
      </c>
      <c r="Y974" s="8" t="e">
        <f>+VLOOKUP(M974,[1]SKU!$B$3:$E$81,4,0)</f>
        <v>#N/A</v>
      </c>
      <c r="Z974" s="8" t="str">
        <f t="shared" si="15"/>
        <v>FLEX</v>
      </c>
      <c r="AA974" s="8" t="e">
        <f>+VLOOKUP(I974,[1]SKU!$H$2:$I$97,2,0)</f>
        <v>#N/A</v>
      </c>
    </row>
    <row r="975" spans="24:27">
      <c r="X975" s="8" t="str">
        <f>+IFERROR(VLOOKUP(N975,[1]Hoja1!$B$2:$F$52,4,0)*P975,"")</f>
        <v/>
      </c>
      <c r="Y975" s="8" t="e">
        <f>+VLOOKUP(M975,[1]SKU!$B$3:$E$81,4,0)</f>
        <v>#N/A</v>
      </c>
      <c r="Z975" s="8" t="str">
        <f t="shared" si="15"/>
        <v>FLEX</v>
      </c>
      <c r="AA975" s="8" t="e">
        <f>+VLOOKUP(I975,[1]SKU!$H$2:$I$97,2,0)</f>
        <v>#N/A</v>
      </c>
    </row>
    <row r="976" spans="24:27">
      <c r="X976" s="8" t="str">
        <f>+IFERROR(VLOOKUP(N976,[1]Hoja1!$B$2:$F$52,4,0)*P976,"")</f>
        <v/>
      </c>
      <c r="Y976" s="8" t="e">
        <f>+VLOOKUP(M976,[1]SKU!$B$3:$E$81,4,0)</f>
        <v>#N/A</v>
      </c>
      <c r="Z976" s="8" t="str">
        <f t="shared" si="15"/>
        <v>FLEX</v>
      </c>
      <c r="AA976" s="8" t="e">
        <f>+VLOOKUP(I976,[1]SKU!$H$2:$I$97,2,0)</f>
        <v>#N/A</v>
      </c>
    </row>
    <row r="977" spans="24:27">
      <c r="X977" s="8" t="str">
        <f>+IFERROR(VLOOKUP(N977,[1]Hoja1!$B$2:$F$52,4,0)*P977,"")</f>
        <v/>
      </c>
      <c r="Y977" s="8" t="e">
        <f>+VLOOKUP(M977,[1]SKU!$B$3:$E$81,4,0)</f>
        <v>#N/A</v>
      </c>
      <c r="Z977" s="8" t="str">
        <f t="shared" si="15"/>
        <v>FLEX</v>
      </c>
      <c r="AA977" s="8" t="e">
        <f>+VLOOKUP(I977,[1]SKU!$H$2:$I$97,2,0)</f>
        <v>#N/A</v>
      </c>
    </row>
    <row r="978" spans="24:27">
      <c r="X978" s="8" t="str">
        <f>+IFERROR(VLOOKUP(N978,[1]Hoja1!$B$2:$F$52,4,0)*P978,"")</f>
        <v/>
      </c>
      <c r="Y978" s="8" t="e">
        <f>+VLOOKUP(M978,[1]SKU!$B$3:$E$81,4,0)</f>
        <v>#N/A</v>
      </c>
      <c r="Z978" s="8" t="str">
        <f t="shared" si="15"/>
        <v>FLEX</v>
      </c>
      <c r="AA978" s="8" t="e">
        <f>+VLOOKUP(I978,[1]SKU!$H$2:$I$97,2,0)</f>
        <v>#N/A</v>
      </c>
    </row>
    <row r="979" spans="24:27">
      <c r="X979" s="8" t="str">
        <f>+IFERROR(VLOOKUP(N979,[1]Hoja1!$B$2:$F$52,4,0)*P979,"")</f>
        <v/>
      </c>
      <c r="Y979" s="8" t="e">
        <f>+VLOOKUP(M979,[1]SKU!$B$3:$E$81,4,0)</f>
        <v>#N/A</v>
      </c>
      <c r="Z979" s="8" t="str">
        <f t="shared" si="15"/>
        <v>FLEX</v>
      </c>
      <c r="AA979" s="8" t="e">
        <f>+VLOOKUP(I979,[1]SKU!$H$2:$I$97,2,0)</f>
        <v>#N/A</v>
      </c>
    </row>
    <row r="980" spans="24:27">
      <c r="X980" s="8" t="str">
        <f>+IFERROR(VLOOKUP(N980,[1]Hoja1!$B$2:$F$52,4,0)*P980,"")</f>
        <v/>
      </c>
      <c r="Y980" s="8" t="e">
        <f>+VLOOKUP(M980,[1]SKU!$B$3:$E$81,4,0)</f>
        <v>#N/A</v>
      </c>
      <c r="Z980" s="8" t="str">
        <f t="shared" si="15"/>
        <v>FLEX</v>
      </c>
      <c r="AA980" s="8" t="e">
        <f>+VLOOKUP(I980,[1]SKU!$H$2:$I$97,2,0)</f>
        <v>#N/A</v>
      </c>
    </row>
    <row r="981" spans="24:27">
      <c r="X981" s="8" t="str">
        <f>+IFERROR(VLOOKUP(N981,[1]Hoja1!$B$2:$F$52,4,0)*P981,"")</f>
        <v/>
      </c>
      <c r="Y981" s="8" t="e">
        <f>+VLOOKUP(M981,[1]SKU!$B$3:$E$81,4,0)</f>
        <v>#N/A</v>
      </c>
      <c r="Z981" s="8" t="str">
        <f t="shared" si="15"/>
        <v>FLEX</v>
      </c>
      <c r="AA981" s="8" t="e">
        <f>+VLOOKUP(I981,[1]SKU!$H$2:$I$97,2,0)</f>
        <v>#N/A</v>
      </c>
    </row>
    <row r="982" spans="24:27">
      <c r="X982" s="8" t="str">
        <f>+IFERROR(VLOOKUP(N982,[1]Hoja1!$B$2:$F$52,4,0)*P982,"")</f>
        <v/>
      </c>
      <c r="Y982" s="8" t="e">
        <f>+VLOOKUP(M982,[1]SKU!$B$3:$E$81,4,0)</f>
        <v>#N/A</v>
      </c>
      <c r="Z982" s="8" t="str">
        <f t="shared" si="15"/>
        <v>FLEX</v>
      </c>
      <c r="AA982" s="8" t="e">
        <f>+VLOOKUP(I982,[1]SKU!$H$2:$I$97,2,0)</f>
        <v>#N/A</v>
      </c>
    </row>
    <row r="983" spans="24:27">
      <c r="X983" s="8" t="str">
        <f>+IFERROR(VLOOKUP(N983,[1]Hoja1!$B$2:$F$52,4,0)*P983,"")</f>
        <v/>
      </c>
      <c r="Y983" s="8" t="e">
        <f>+VLOOKUP(M983,[1]SKU!$B$3:$E$81,4,0)</f>
        <v>#N/A</v>
      </c>
      <c r="Z983" s="8" t="str">
        <f t="shared" si="15"/>
        <v>FLEX</v>
      </c>
      <c r="AA983" s="8" t="e">
        <f>+VLOOKUP(I983,[1]SKU!$H$2:$I$97,2,0)</f>
        <v>#N/A</v>
      </c>
    </row>
    <row r="984" spans="24:27">
      <c r="X984" s="8" t="str">
        <f>+IFERROR(VLOOKUP(N984,[1]Hoja1!$B$2:$F$52,4,0)*P984,"")</f>
        <v/>
      </c>
      <c r="Y984" s="8" t="e">
        <f>+VLOOKUP(M984,[1]SKU!$B$3:$E$81,4,0)</f>
        <v>#N/A</v>
      </c>
      <c r="Z984" s="8" t="str">
        <f t="shared" si="15"/>
        <v>FLEX</v>
      </c>
      <c r="AA984" s="8" t="e">
        <f>+VLOOKUP(I984,[1]SKU!$H$2:$I$97,2,0)</f>
        <v>#N/A</v>
      </c>
    </row>
    <row r="985" spans="24:27">
      <c r="X985" s="8" t="str">
        <f>+IFERROR(VLOOKUP(N985,[1]Hoja1!$B$2:$F$52,4,0)*P985,"")</f>
        <v/>
      </c>
      <c r="Y985" s="8" t="e">
        <f>+VLOOKUP(M985,[1]SKU!$B$3:$E$81,4,0)</f>
        <v>#N/A</v>
      </c>
      <c r="Z985" s="8" t="str">
        <f t="shared" si="15"/>
        <v>FLEX</v>
      </c>
      <c r="AA985" s="8" t="e">
        <f>+VLOOKUP(I985,[1]SKU!$H$2:$I$97,2,0)</f>
        <v>#N/A</v>
      </c>
    </row>
    <row r="986" spans="24:27">
      <c r="X986" s="8" t="str">
        <f>+IFERROR(VLOOKUP(N986,[1]Hoja1!$B$2:$F$52,4,0)*P986,"")</f>
        <v/>
      </c>
      <c r="Y986" s="8" t="e">
        <f>+VLOOKUP(M986,[1]SKU!$B$3:$E$81,4,0)</f>
        <v>#N/A</v>
      </c>
      <c r="Z986" s="8" t="str">
        <f t="shared" si="15"/>
        <v>FLEX</v>
      </c>
      <c r="AA986" s="8" t="e">
        <f>+VLOOKUP(I986,[1]SKU!$H$2:$I$97,2,0)</f>
        <v>#N/A</v>
      </c>
    </row>
    <row r="987" spans="24:27">
      <c r="X987" s="8" t="str">
        <f>+IFERROR(VLOOKUP(N987,[1]Hoja1!$B$2:$F$52,4,0)*P987,"")</f>
        <v/>
      </c>
      <c r="Y987" s="8" t="e">
        <f>+VLOOKUP(M987,[1]SKU!$B$3:$E$81,4,0)</f>
        <v>#N/A</v>
      </c>
      <c r="Z987" s="8" t="str">
        <f t="shared" si="15"/>
        <v>FLEX</v>
      </c>
      <c r="AA987" s="8" t="e">
        <f>+VLOOKUP(I987,[1]SKU!$H$2:$I$97,2,0)</f>
        <v>#N/A</v>
      </c>
    </row>
    <row r="988" spans="24:27">
      <c r="X988" s="8" t="str">
        <f>+IFERROR(VLOOKUP(N988,[1]Hoja1!$B$2:$F$52,4,0)*P988,"")</f>
        <v/>
      </c>
      <c r="Y988" s="8" t="e">
        <f>+VLOOKUP(M988,[1]SKU!$B$3:$E$81,4,0)</f>
        <v>#N/A</v>
      </c>
      <c r="Z988" s="8" t="str">
        <f t="shared" si="15"/>
        <v>FLEX</v>
      </c>
      <c r="AA988" s="8" t="e">
        <f>+VLOOKUP(I988,[1]SKU!$H$2:$I$97,2,0)</f>
        <v>#N/A</v>
      </c>
    </row>
    <row r="989" spans="24:27">
      <c r="X989" s="8" t="str">
        <f>+IFERROR(VLOOKUP(N989,[1]Hoja1!$B$2:$F$52,4,0)*P989,"")</f>
        <v/>
      </c>
      <c r="Y989" s="8" t="e">
        <f>+VLOOKUP(M989,[1]SKU!$B$3:$E$81,4,0)</f>
        <v>#N/A</v>
      </c>
      <c r="Z989" s="8" t="str">
        <f t="shared" si="15"/>
        <v>FLEX</v>
      </c>
      <c r="AA989" s="8" t="e">
        <f>+VLOOKUP(I989,[1]SKU!$H$2:$I$97,2,0)</f>
        <v>#N/A</v>
      </c>
    </row>
    <row r="990" spans="24:27">
      <c r="X990" s="8" t="str">
        <f>+IFERROR(VLOOKUP(N990,[1]Hoja1!$B$2:$F$52,4,0)*P990,"")</f>
        <v/>
      </c>
      <c r="Y990" s="8" t="e">
        <f>+VLOOKUP(M990,[1]SKU!$B$3:$E$81,4,0)</f>
        <v>#N/A</v>
      </c>
      <c r="Z990" s="8" t="str">
        <f t="shared" si="15"/>
        <v>FLEX</v>
      </c>
      <c r="AA990" s="8" t="e">
        <f>+VLOOKUP(I990,[1]SKU!$H$2:$I$97,2,0)</f>
        <v>#N/A</v>
      </c>
    </row>
    <row r="991" spans="24:27">
      <c r="X991" s="8" t="str">
        <f>+IFERROR(VLOOKUP(N991,[1]Hoja1!$B$2:$F$52,4,0)*P991,"")</f>
        <v/>
      </c>
      <c r="Y991" s="8" t="e">
        <f>+VLOOKUP(M991,[1]SKU!$B$3:$E$81,4,0)</f>
        <v>#N/A</v>
      </c>
      <c r="Z991" s="8" t="str">
        <f t="shared" si="15"/>
        <v>FLEX</v>
      </c>
      <c r="AA991" s="8" t="e">
        <f>+VLOOKUP(I991,[1]SKU!$H$2:$I$97,2,0)</f>
        <v>#N/A</v>
      </c>
    </row>
    <row r="992" spans="24:27">
      <c r="X992" s="8" t="str">
        <f>+IFERROR(VLOOKUP(N992,[1]Hoja1!$B$2:$F$52,4,0)*P992,"")</f>
        <v/>
      </c>
      <c r="Y992" s="8" t="e">
        <f>+VLOOKUP(M992,[1]SKU!$B$3:$E$81,4,0)</f>
        <v>#N/A</v>
      </c>
      <c r="Z992" s="8" t="str">
        <f t="shared" si="15"/>
        <v>FLEX</v>
      </c>
      <c r="AA992" s="8" t="e">
        <f>+VLOOKUP(I992,[1]SKU!$H$2:$I$97,2,0)</f>
        <v>#N/A</v>
      </c>
    </row>
    <row r="993" spans="24:27">
      <c r="X993" s="8" t="str">
        <f>+IFERROR(VLOOKUP(N993,[1]Hoja1!$B$2:$F$52,4,0)*P993,"")</f>
        <v/>
      </c>
      <c r="Y993" s="8" t="e">
        <f>+VLOOKUP(M993,[1]SKU!$B$3:$E$81,4,0)</f>
        <v>#N/A</v>
      </c>
      <c r="Z993" s="8" t="str">
        <f t="shared" si="15"/>
        <v>FLEX</v>
      </c>
      <c r="AA993" s="8" t="e">
        <f>+VLOOKUP(I993,[1]SKU!$H$2:$I$97,2,0)</f>
        <v>#N/A</v>
      </c>
    </row>
    <row r="994" spans="24:27">
      <c r="X994" s="8" t="str">
        <f>+IFERROR(VLOOKUP(N994,[1]Hoja1!$B$2:$F$52,4,0)*P994,"")</f>
        <v/>
      </c>
      <c r="Y994" s="8" t="e">
        <f>+VLOOKUP(M994,[1]SKU!$B$3:$E$81,4,0)</f>
        <v>#N/A</v>
      </c>
      <c r="Z994" s="8" t="str">
        <f t="shared" si="15"/>
        <v>FLEX</v>
      </c>
      <c r="AA994" s="8" t="e">
        <f>+VLOOKUP(I994,[1]SKU!$H$2:$I$97,2,0)</f>
        <v>#N/A</v>
      </c>
    </row>
    <row r="995" spans="24:27">
      <c r="X995" s="8" t="str">
        <f>+IFERROR(VLOOKUP(N995,[1]Hoja1!$B$2:$F$52,4,0)*P995,"")</f>
        <v/>
      </c>
      <c r="Y995" s="8" t="e">
        <f>+VLOOKUP(M995,[1]SKU!$B$3:$E$81,4,0)</f>
        <v>#N/A</v>
      </c>
      <c r="Z995" s="8" t="str">
        <f t="shared" si="15"/>
        <v>FLEX</v>
      </c>
      <c r="AA995" s="8" t="e">
        <f>+VLOOKUP(I995,[1]SKU!$H$2:$I$97,2,0)</f>
        <v>#N/A</v>
      </c>
    </row>
    <row r="996" spans="24:27">
      <c r="X996" s="8" t="str">
        <f>+IFERROR(VLOOKUP(N996,[1]Hoja1!$B$2:$F$52,4,0)*P996,"")</f>
        <v/>
      </c>
      <c r="Y996" s="8" t="e">
        <f>+VLOOKUP(M996,[1]SKU!$B$3:$E$81,4,0)</f>
        <v>#N/A</v>
      </c>
      <c r="Z996" s="8" t="str">
        <f t="shared" si="15"/>
        <v>FLEX</v>
      </c>
      <c r="AA996" s="8" t="e">
        <f>+VLOOKUP(I996,[1]SKU!$H$2:$I$97,2,0)</f>
        <v>#N/A</v>
      </c>
    </row>
    <row r="997" spans="24:27">
      <c r="X997" s="8" t="str">
        <f>+IFERROR(VLOOKUP(N997,[1]Hoja1!$B$2:$F$52,4,0)*P997,"")</f>
        <v/>
      </c>
      <c r="Y997" s="8" t="e">
        <f>+VLOOKUP(M997,[1]SKU!$B$3:$E$81,4,0)</f>
        <v>#N/A</v>
      </c>
      <c r="Z997" s="8" t="str">
        <f t="shared" si="15"/>
        <v>FLEX</v>
      </c>
      <c r="AA997" s="8" t="e">
        <f>+VLOOKUP(I997,[1]SKU!$H$2:$I$97,2,0)</f>
        <v>#N/A</v>
      </c>
    </row>
    <row r="998" spans="24:27">
      <c r="X998" s="8" t="str">
        <f>+IFERROR(VLOOKUP(N998,[1]Hoja1!$B$2:$F$52,4,0)*P998,"")</f>
        <v/>
      </c>
      <c r="Y998" s="8" t="e">
        <f>+VLOOKUP(M998,[1]SKU!$B$3:$E$81,4,0)</f>
        <v>#N/A</v>
      </c>
      <c r="Z998" s="8" t="str">
        <f t="shared" si="15"/>
        <v>FLEX</v>
      </c>
      <c r="AA998" s="8" t="e">
        <f>+VLOOKUP(I998,[1]SKU!$H$2:$I$97,2,0)</f>
        <v>#N/A</v>
      </c>
    </row>
    <row r="999" spans="24:27">
      <c r="X999" s="8" t="str">
        <f>+IFERROR(VLOOKUP(N999,[1]Hoja1!$B$2:$F$52,4,0)*P999,"")</f>
        <v/>
      </c>
      <c r="Y999" s="8" t="e">
        <f>+VLOOKUP(M999,[1]SKU!$B$3:$E$81,4,0)</f>
        <v>#N/A</v>
      </c>
      <c r="Z999" s="8" t="str">
        <f t="shared" si="15"/>
        <v>FLEX</v>
      </c>
      <c r="AA999" s="8" t="e">
        <f>+VLOOKUP(I999,[1]SKU!$H$2:$I$97,2,0)</f>
        <v>#N/A</v>
      </c>
    </row>
    <row r="1000" spans="24:27">
      <c r="X1000" s="8" t="str">
        <f>+IFERROR(VLOOKUP(N1000,[1]Hoja1!$B$2:$F$52,4,0)*P1000,"")</f>
        <v/>
      </c>
      <c r="Y1000" s="8" t="e">
        <f>+VLOOKUP(M1000,[1]SKU!$B$3:$E$81,4,0)</f>
        <v>#N/A</v>
      </c>
      <c r="Z1000" s="8" t="str">
        <f t="shared" si="15"/>
        <v>FLEX</v>
      </c>
      <c r="AA1000" s="8" t="e">
        <f>+VLOOKUP(I1000,[1]SKU!$H$2:$I$97,2,0)</f>
        <v>#N/A</v>
      </c>
    </row>
    <row r="1001" spans="24:27">
      <c r="X1001" s="8" t="str">
        <f>+IFERROR(VLOOKUP(N1001,[1]Hoja1!$B$2:$F$52,4,0)*P1001,"")</f>
        <v/>
      </c>
      <c r="Y1001" s="8" t="e">
        <f>+VLOOKUP(M1001,[1]SKU!$B$3:$E$81,4,0)</f>
        <v>#N/A</v>
      </c>
      <c r="Z1001" s="8" t="str">
        <f t="shared" si="15"/>
        <v>FLEX</v>
      </c>
      <c r="AA1001" s="8" t="e">
        <f>+VLOOKUP(I1001,[1]SKU!$H$2:$I$97,2,0)</f>
        <v>#N/A</v>
      </c>
    </row>
    <row r="1002" spans="24:27">
      <c r="X1002" s="8" t="str">
        <f>+IFERROR(VLOOKUP(N1002,[1]Hoja1!$B$2:$F$52,4,0)*P1002,"")</f>
        <v/>
      </c>
      <c r="Y1002" s="8" t="e">
        <f>+VLOOKUP(M1002,[1]SKU!$B$3:$E$81,4,0)</f>
        <v>#N/A</v>
      </c>
      <c r="Z1002" s="8" t="str">
        <f t="shared" si="15"/>
        <v>FLEX</v>
      </c>
      <c r="AA1002" s="8" t="e">
        <f>+VLOOKUP(I1002,[1]SKU!$H$2:$I$97,2,0)</f>
        <v>#N/A</v>
      </c>
    </row>
    <row r="1003" spans="24:27">
      <c r="X1003" s="8" t="str">
        <f>+IFERROR(VLOOKUP(N1003,[1]Hoja1!$B$2:$F$52,4,0)*P1003,"")</f>
        <v/>
      </c>
      <c r="Y1003" s="8" t="e">
        <f>+VLOOKUP(M1003,[1]SKU!$B$3:$E$81,4,0)</f>
        <v>#N/A</v>
      </c>
      <c r="Z1003" s="8" t="str">
        <f t="shared" si="15"/>
        <v>FLEX</v>
      </c>
      <c r="AA1003" s="8" t="e">
        <f>+VLOOKUP(I1003,[1]SKU!$H$2:$I$97,2,0)</f>
        <v>#N/A</v>
      </c>
    </row>
    <row r="1004" spans="24:27">
      <c r="X1004" s="8" t="str">
        <f>+IFERROR(VLOOKUP(N1004,[1]Hoja1!$B$2:$F$52,4,0)*P1004,"")</f>
        <v/>
      </c>
      <c r="Y1004" s="8" t="e">
        <f>+VLOOKUP(M1004,[1]SKU!$B$3:$E$81,4,0)</f>
        <v>#N/A</v>
      </c>
      <c r="Z1004" s="8" t="str">
        <f t="shared" si="15"/>
        <v>FLEX</v>
      </c>
      <c r="AA1004" s="8" t="e">
        <f>+VLOOKUP(I1004,[1]SKU!$H$2:$I$97,2,0)</f>
        <v>#N/A</v>
      </c>
    </row>
    <row r="1005" spans="24:27">
      <c r="X1005" s="8" t="str">
        <f>+IFERROR(VLOOKUP(N1005,[1]Hoja1!$B$2:$F$52,4,0)*P1005,"")</f>
        <v/>
      </c>
      <c r="Y1005" s="8" t="e">
        <f>+VLOOKUP(M1005,[1]SKU!$B$3:$E$81,4,0)</f>
        <v>#N/A</v>
      </c>
      <c r="Z1005" s="8" t="str">
        <f t="shared" si="15"/>
        <v>FLEX</v>
      </c>
      <c r="AA1005" s="8" t="e">
        <f>+VLOOKUP(I1005,[1]SKU!$H$2:$I$97,2,0)</f>
        <v>#N/A</v>
      </c>
    </row>
    <row r="1006" spans="24:27">
      <c r="X1006" s="8" t="str">
        <f>+IFERROR(VLOOKUP(N1006,[1]Hoja1!$B$2:$F$52,4,0)*P1006,"")</f>
        <v/>
      </c>
      <c r="Y1006" s="8" t="e">
        <f>+VLOOKUP(M1006,[1]SKU!$B$3:$E$81,4,0)</f>
        <v>#N/A</v>
      </c>
      <c r="Z1006" s="8" t="str">
        <f t="shared" si="15"/>
        <v>FLEX</v>
      </c>
      <c r="AA1006" s="8" t="e">
        <f>+VLOOKUP(I1006,[1]SKU!$H$2:$I$97,2,0)</f>
        <v>#N/A</v>
      </c>
    </row>
    <row r="1007" spans="24:27">
      <c r="X1007" s="8" t="str">
        <f>+IFERROR(VLOOKUP(N1007,[1]Hoja1!$B$2:$F$52,4,0)*P1007,"")</f>
        <v/>
      </c>
      <c r="Y1007" s="8" t="e">
        <f>+VLOOKUP(M1007,[1]SKU!$B$3:$E$81,4,0)</f>
        <v>#N/A</v>
      </c>
      <c r="Z1007" s="8" t="str">
        <f t="shared" si="15"/>
        <v>FLEX</v>
      </c>
      <c r="AA1007" s="8" t="e">
        <f>+VLOOKUP(I1007,[1]SKU!$H$2:$I$97,2,0)</f>
        <v>#N/A</v>
      </c>
    </row>
    <row r="1008" spans="24:27">
      <c r="X1008" s="8" t="str">
        <f>+IFERROR(VLOOKUP(N1008,[1]Hoja1!$B$2:$F$52,4,0)*P1008,"")</f>
        <v/>
      </c>
      <c r="Y1008" s="8" t="e">
        <f>+VLOOKUP(M1008,[1]SKU!$B$3:$E$81,4,0)</f>
        <v>#N/A</v>
      </c>
      <c r="Z1008" s="8" t="str">
        <f t="shared" si="15"/>
        <v>FLEX</v>
      </c>
      <c r="AA1008" s="8" t="e">
        <f>+VLOOKUP(I1008,[1]SKU!$H$2:$I$97,2,0)</f>
        <v>#N/A</v>
      </c>
    </row>
    <row r="1009" spans="24:27">
      <c r="X1009" s="8" t="str">
        <f>+IFERROR(VLOOKUP(N1009,[1]Hoja1!$B$2:$F$52,4,0)*P1009,"")</f>
        <v/>
      </c>
      <c r="Y1009" s="8" t="e">
        <f>+VLOOKUP(M1009,[1]SKU!$B$3:$E$81,4,0)</f>
        <v>#N/A</v>
      </c>
      <c r="Z1009" s="8" t="str">
        <f t="shared" si="15"/>
        <v>FLEX</v>
      </c>
      <c r="AA1009" s="8" t="e">
        <f>+VLOOKUP(I1009,[1]SKU!$H$2:$I$97,2,0)</f>
        <v>#N/A</v>
      </c>
    </row>
    <row r="1010" spans="24:27">
      <c r="X1010" s="8" t="str">
        <f>+IFERROR(VLOOKUP(N1010,[1]Hoja1!$B$2:$F$52,4,0)*P1010,"")</f>
        <v/>
      </c>
      <c r="Y1010" s="8" t="e">
        <f>+VLOOKUP(M1010,[1]SKU!$B$3:$E$81,4,0)</f>
        <v>#N/A</v>
      </c>
      <c r="Z1010" s="8" t="str">
        <f t="shared" si="15"/>
        <v>FLEX</v>
      </c>
      <c r="AA1010" s="8" t="e">
        <f>+VLOOKUP(I1010,[1]SKU!$H$2:$I$97,2,0)</f>
        <v>#N/A</v>
      </c>
    </row>
    <row r="1011" spans="24:27">
      <c r="X1011" s="8" t="str">
        <f>+IFERROR(VLOOKUP(N1011,[1]Hoja1!$B$2:$F$52,4,0)*P1011,"")</f>
        <v/>
      </c>
      <c r="Y1011" s="8" t="e">
        <f>+VLOOKUP(M1011,[1]SKU!$B$3:$E$81,4,0)</f>
        <v>#N/A</v>
      </c>
      <c r="Z1011" s="8" t="str">
        <f t="shared" si="15"/>
        <v>FLEX</v>
      </c>
      <c r="AA1011" s="8" t="e">
        <f>+VLOOKUP(I1011,[1]SKU!$H$2:$I$97,2,0)</f>
        <v>#N/A</v>
      </c>
    </row>
    <row r="1012" spans="24:27">
      <c r="X1012" s="8" t="str">
        <f>+IFERROR(VLOOKUP(N1012,[1]Hoja1!$B$2:$F$52,4,0)*P1012,"")</f>
        <v/>
      </c>
      <c r="Y1012" s="8" t="e">
        <f>+VLOOKUP(M1012,[1]SKU!$B$3:$E$81,4,0)</f>
        <v>#N/A</v>
      </c>
      <c r="Z1012" s="8" t="str">
        <f t="shared" si="15"/>
        <v>FLEX</v>
      </c>
      <c r="AA1012" s="8" t="e">
        <f>+VLOOKUP(I1012,[1]SKU!$H$2:$I$97,2,0)</f>
        <v>#N/A</v>
      </c>
    </row>
    <row r="1013" spans="24:27">
      <c r="X1013" s="8" t="str">
        <f>+IFERROR(VLOOKUP(N1013,[1]Hoja1!$B$2:$F$52,4,0)*P1013,"")</f>
        <v/>
      </c>
      <c r="Y1013" s="8" t="e">
        <f>+VLOOKUP(M1013,[1]SKU!$B$3:$E$81,4,0)</f>
        <v>#N/A</v>
      </c>
      <c r="Z1013" s="8" t="str">
        <f t="shared" si="15"/>
        <v>FLEX</v>
      </c>
      <c r="AA1013" s="8" t="e">
        <f>+VLOOKUP(I1013,[1]SKU!$H$2:$I$97,2,0)</f>
        <v>#N/A</v>
      </c>
    </row>
    <row r="1014" spans="24:27">
      <c r="X1014" s="8" t="str">
        <f>+IFERROR(VLOOKUP(N1014,[1]Hoja1!$B$2:$F$52,4,0)*P1014,"")</f>
        <v/>
      </c>
      <c r="Y1014" s="8" t="e">
        <f>+VLOOKUP(M1014,[1]SKU!$B$3:$E$81,4,0)</f>
        <v>#N/A</v>
      </c>
      <c r="Z1014" s="8" t="str">
        <f t="shared" si="15"/>
        <v>FLEX</v>
      </c>
      <c r="AA1014" s="8" t="e">
        <f>+VLOOKUP(I1014,[1]SKU!$H$2:$I$97,2,0)</f>
        <v>#N/A</v>
      </c>
    </row>
    <row r="1015" spans="24:27">
      <c r="X1015" s="8" t="str">
        <f>+IFERROR(VLOOKUP(N1015,[1]Hoja1!$B$2:$F$52,4,0)*P1015,"")</f>
        <v/>
      </c>
      <c r="Y1015" s="8" t="e">
        <f>+VLOOKUP(M1015,[1]SKU!$B$3:$E$81,4,0)</f>
        <v>#N/A</v>
      </c>
      <c r="Z1015" s="8" t="str">
        <f t="shared" si="15"/>
        <v>FLEX</v>
      </c>
      <c r="AA1015" s="8" t="e">
        <f>+VLOOKUP(I1015,[1]SKU!$H$2:$I$97,2,0)</f>
        <v>#N/A</v>
      </c>
    </row>
    <row r="1016" spans="24:27">
      <c r="X1016" s="8" t="str">
        <f>+IFERROR(VLOOKUP(N1016,[1]Hoja1!$B$2:$F$52,4,0)*P1016,"")</f>
        <v/>
      </c>
      <c r="Y1016" s="8" t="e">
        <f>+VLOOKUP(M1016,[1]SKU!$B$3:$E$81,4,0)</f>
        <v>#N/A</v>
      </c>
      <c r="Z1016" s="8" t="str">
        <f t="shared" si="15"/>
        <v>FLEX</v>
      </c>
      <c r="AA1016" s="8" t="e">
        <f>+VLOOKUP(I1016,[1]SKU!$H$2:$I$97,2,0)</f>
        <v>#N/A</v>
      </c>
    </row>
    <row r="1017" spans="24:27">
      <c r="X1017" s="8" t="str">
        <f>+IFERROR(VLOOKUP(N1017,[1]Hoja1!$B$2:$F$52,4,0)*P1017,"")</f>
        <v/>
      </c>
      <c r="Y1017" s="8" t="e">
        <f>+VLOOKUP(M1017,[1]SKU!$B$3:$E$81,4,0)</f>
        <v>#N/A</v>
      </c>
      <c r="Z1017" s="8" t="str">
        <f t="shared" si="15"/>
        <v>FLEX</v>
      </c>
      <c r="AA1017" s="8" t="e">
        <f>+VLOOKUP(I1017,[1]SKU!$H$2:$I$97,2,0)</f>
        <v>#N/A</v>
      </c>
    </row>
    <row r="1018" spans="24:27">
      <c r="X1018" s="8" t="str">
        <f>+IFERROR(VLOOKUP(N1018,[1]Hoja1!$B$2:$F$52,4,0)*P1018,"")</f>
        <v/>
      </c>
      <c r="Y1018" s="8" t="e">
        <f>+VLOOKUP(M1018,[1]SKU!$B$3:$E$81,4,0)</f>
        <v>#N/A</v>
      </c>
      <c r="Z1018" s="8" t="str">
        <f t="shared" si="15"/>
        <v>FLEX</v>
      </c>
      <c r="AA1018" s="8" t="e">
        <f>+VLOOKUP(I1018,[1]SKU!$H$2:$I$97,2,0)</f>
        <v>#N/A</v>
      </c>
    </row>
    <row r="1019" spans="24:27">
      <c r="X1019" s="8" t="str">
        <f>+IFERROR(VLOOKUP(N1019,[1]Hoja1!$B$2:$F$52,4,0)*P1019,"")</f>
        <v/>
      </c>
      <c r="Y1019" s="8" t="e">
        <f>+VLOOKUP(M1019,[1]SKU!$B$3:$E$81,4,0)</f>
        <v>#N/A</v>
      </c>
      <c r="Z1019" s="8" t="str">
        <f t="shared" si="15"/>
        <v>FLEX</v>
      </c>
      <c r="AA1019" s="8" t="e">
        <f>+VLOOKUP(I1019,[1]SKU!$H$2:$I$97,2,0)</f>
        <v>#N/A</v>
      </c>
    </row>
    <row r="1020" spans="24:27">
      <c r="X1020" s="8" t="str">
        <f>+IFERROR(VLOOKUP(N1020,[1]Hoja1!$B$2:$F$52,4,0)*P1020,"")</f>
        <v/>
      </c>
      <c r="Y1020" s="8" t="e">
        <f>+VLOOKUP(M1020,[1]SKU!$B$3:$E$81,4,0)</f>
        <v>#N/A</v>
      </c>
      <c r="Z1020" s="8" t="str">
        <f t="shared" si="15"/>
        <v>FLEX</v>
      </c>
      <c r="AA1020" s="8" t="e">
        <f>+VLOOKUP(I1020,[1]SKU!$H$2:$I$97,2,0)</f>
        <v>#N/A</v>
      </c>
    </row>
    <row r="1021" spans="24:27">
      <c r="X1021" s="8" t="str">
        <f>+IFERROR(VLOOKUP(N1021,[1]Hoja1!$B$2:$F$52,4,0)*P1021,"")</f>
        <v/>
      </c>
      <c r="Y1021" s="8" t="e">
        <f>+VLOOKUP(M1021,[1]SKU!$B$3:$E$81,4,0)</f>
        <v>#N/A</v>
      </c>
      <c r="Z1021" s="8" t="str">
        <f t="shared" si="15"/>
        <v>FLEX</v>
      </c>
      <c r="AA1021" s="8" t="e">
        <f>+VLOOKUP(I1021,[1]SKU!$H$2:$I$97,2,0)</f>
        <v>#N/A</v>
      </c>
    </row>
    <row r="1022" spans="24:27">
      <c r="X1022" s="8" t="str">
        <f>+IFERROR(VLOOKUP(N1022,[1]Hoja1!$B$2:$F$52,4,0)*P1022,"")</f>
        <v/>
      </c>
      <c r="Y1022" s="8" t="e">
        <f>+VLOOKUP(M1022,[1]SKU!$B$3:$E$81,4,0)</f>
        <v>#N/A</v>
      </c>
      <c r="Z1022" s="8" t="str">
        <f t="shared" si="15"/>
        <v>FLEX</v>
      </c>
      <c r="AA1022" s="8" t="e">
        <f>+VLOOKUP(I1022,[1]SKU!$H$2:$I$97,2,0)</f>
        <v>#N/A</v>
      </c>
    </row>
    <row r="1023" spans="24:27">
      <c r="X1023" s="8" t="str">
        <f>+IFERROR(VLOOKUP(N1023,[1]Hoja1!$B$2:$F$52,4,0)*P1023,"")</f>
        <v/>
      </c>
      <c r="Y1023" s="8" t="e">
        <f>+VLOOKUP(M1023,[1]SKU!$B$3:$E$81,4,0)</f>
        <v>#N/A</v>
      </c>
      <c r="Z1023" s="8" t="str">
        <f t="shared" si="15"/>
        <v>FLEX</v>
      </c>
      <c r="AA1023" s="8" t="e">
        <f>+VLOOKUP(I1023,[1]SKU!$H$2:$I$97,2,0)</f>
        <v>#N/A</v>
      </c>
    </row>
    <row r="1024" spans="24:27">
      <c r="X1024" s="8" t="str">
        <f>+IFERROR(VLOOKUP(N1024,[1]Hoja1!$B$2:$F$52,4,0)*P1024,"")</f>
        <v/>
      </c>
      <c r="Y1024" s="8" t="e">
        <f>+VLOOKUP(M1024,[1]SKU!$B$3:$E$81,4,0)</f>
        <v>#N/A</v>
      </c>
      <c r="Z1024" s="8" t="str">
        <f t="shared" si="15"/>
        <v>FLEX</v>
      </c>
      <c r="AA1024" s="8" t="e">
        <f>+VLOOKUP(I1024,[1]SKU!$H$2:$I$97,2,0)</f>
        <v>#N/A</v>
      </c>
    </row>
    <row r="1025" spans="24:27">
      <c r="X1025" s="8" t="str">
        <f>+IFERROR(VLOOKUP(N1025,[1]Hoja1!$B$2:$F$52,4,0)*P1025,"")</f>
        <v/>
      </c>
      <c r="Y1025" s="8" t="e">
        <f>+VLOOKUP(M1025,[1]SKU!$B$3:$E$81,4,0)</f>
        <v>#N/A</v>
      </c>
      <c r="Z1025" s="8" t="str">
        <f t="shared" si="15"/>
        <v>FLEX</v>
      </c>
      <c r="AA1025" s="8" t="e">
        <f>+VLOOKUP(I1025,[1]SKU!$H$2:$I$97,2,0)</f>
        <v>#N/A</v>
      </c>
    </row>
    <row r="1026" spans="24:27">
      <c r="X1026" s="8" t="str">
        <f>+IFERROR(VLOOKUP(N1026,[1]Hoja1!$B$2:$F$52,4,0)*P1026,"")</f>
        <v/>
      </c>
      <c r="Y1026" s="8" t="e">
        <f>+VLOOKUP(M1026,[1]SKU!$B$3:$E$81,4,0)</f>
        <v>#N/A</v>
      </c>
      <c r="Z1026" s="8" t="str">
        <f t="shared" si="15"/>
        <v>FLEX</v>
      </c>
      <c r="AA1026" s="8" t="e">
        <f>+VLOOKUP(I1026,[1]SKU!$H$2:$I$97,2,0)</f>
        <v>#N/A</v>
      </c>
    </row>
    <row r="1027" spans="24:27">
      <c r="X1027" s="8" t="str">
        <f>+IFERROR(VLOOKUP(N1027,[1]Hoja1!$B$2:$F$52,4,0)*P1027,"")</f>
        <v/>
      </c>
      <c r="Y1027" s="8" t="e">
        <f>+VLOOKUP(M1027,[1]SKU!$B$3:$E$81,4,0)</f>
        <v>#N/A</v>
      </c>
      <c r="Z1027" s="8" t="str">
        <f t="shared" ref="Z1027:Z1090" si="16">+IF(J1027="VB01                          ","BEES","FLEX")</f>
        <v>FLEX</v>
      </c>
      <c r="AA1027" s="8" t="e">
        <f>+VLOOKUP(I1027,[1]SKU!$H$2:$I$97,2,0)</f>
        <v>#N/A</v>
      </c>
    </row>
    <row r="1028" spans="24:27">
      <c r="X1028" s="8" t="str">
        <f>+IFERROR(VLOOKUP(N1028,[1]Hoja1!$B$2:$F$52,4,0)*P1028,"")</f>
        <v/>
      </c>
      <c r="Y1028" s="8" t="e">
        <f>+VLOOKUP(M1028,[1]SKU!$B$3:$E$81,4,0)</f>
        <v>#N/A</v>
      </c>
      <c r="Z1028" s="8" t="str">
        <f t="shared" si="16"/>
        <v>FLEX</v>
      </c>
      <c r="AA1028" s="8" t="e">
        <f>+VLOOKUP(I1028,[1]SKU!$H$2:$I$97,2,0)</f>
        <v>#N/A</v>
      </c>
    </row>
    <row r="1029" spans="24:27">
      <c r="X1029" s="8" t="str">
        <f>+IFERROR(VLOOKUP(N1029,[1]Hoja1!$B$2:$F$52,4,0)*P1029,"")</f>
        <v/>
      </c>
      <c r="Y1029" s="8" t="e">
        <f>+VLOOKUP(M1029,[1]SKU!$B$3:$E$81,4,0)</f>
        <v>#N/A</v>
      </c>
      <c r="Z1029" s="8" t="str">
        <f t="shared" si="16"/>
        <v>FLEX</v>
      </c>
      <c r="AA1029" s="8" t="e">
        <f>+VLOOKUP(I1029,[1]SKU!$H$2:$I$97,2,0)</f>
        <v>#N/A</v>
      </c>
    </row>
    <row r="1030" spans="24:27">
      <c r="X1030" s="8" t="str">
        <f>+IFERROR(VLOOKUP(N1030,[1]Hoja1!$B$2:$F$52,4,0)*P1030,"")</f>
        <v/>
      </c>
      <c r="Y1030" s="8" t="e">
        <f>+VLOOKUP(M1030,[1]SKU!$B$3:$E$81,4,0)</f>
        <v>#N/A</v>
      </c>
      <c r="Z1030" s="8" t="str">
        <f t="shared" si="16"/>
        <v>FLEX</v>
      </c>
      <c r="AA1030" s="8" t="e">
        <f>+VLOOKUP(I1030,[1]SKU!$H$2:$I$97,2,0)</f>
        <v>#N/A</v>
      </c>
    </row>
    <row r="1031" spans="24:27">
      <c r="X1031" s="8" t="str">
        <f>+IFERROR(VLOOKUP(N1031,[1]Hoja1!$B$2:$F$52,4,0)*P1031,"")</f>
        <v/>
      </c>
      <c r="Y1031" s="8" t="e">
        <f>+VLOOKUP(M1031,[1]SKU!$B$3:$E$81,4,0)</f>
        <v>#N/A</v>
      </c>
      <c r="Z1031" s="8" t="str">
        <f t="shared" si="16"/>
        <v>FLEX</v>
      </c>
      <c r="AA1031" s="8" t="e">
        <f>+VLOOKUP(I1031,[1]SKU!$H$2:$I$97,2,0)</f>
        <v>#N/A</v>
      </c>
    </row>
    <row r="1032" spans="24:27">
      <c r="X1032" s="8" t="str">
        <f>+IFERROR(VLOOKUP(N1032,[1]Hoja1!$B$2:$F$52,4,0)*P1032,"")</f>
        <v/>
      </c>
      <c r="Y1032" s="8" t="e">
        <f>+VLOOKUP(M1032,[1]SKU!$B$3:$E$81,4,0)</f>
        <v>#N/A</v>
      </c>
      <c r="Z1032" s="8" t="str">
        <f t="shared" si="16"/>
        <v>FLEX</v>
      </c>
      <c r="AA1032" s="8" t="e">
        <f>+VLOOKUP(I1032,[1]SKU!$H$2:$I$97,2,0)</f>
        <v>#N/A</v>
      </c>
    </row>
    <row r="1033" spans="24:27">
      <c r="X1033" s="8" t="str">
        <f>+IFERROR(VLOOKUP(N1033,[1]Hoja1!$B$2:$F$52,4,0)*P1033,"")</f>
        <v/>
      </c>
      <c r="Y1033" s="8" t="e">
        <f>+VLOOKUP(M1033,[1]SKU!$B$3:$E$81,4,0)</f>
        <v>#N/A</v>
      </c>
      <c r="Z1033" s="8" t="str">
        <f t="shared" si="16"/>
        <v>FLEX</v>
      </c>
      <c r="AA1033" s="8" t="e">
        <f>+VLOOKUP(I1033,[1]SKU!$H$2:$I$97,2,0)</f>
        <v>#N/A</v>
      </c>
    </row>
    <row r="1034" spans="24:27">
      <c r="X1034" s="8" t="str">
        <f>+IFERROR(VLOOKUP(N1034,[1]Hoja1!$B$2:$F$52,4,0)*P1034,"")</f>
        <v/>
      </c>
      <c r="Y1034" s="8" t="e">
        <f>+VLOOKUP(M1034,[1]SKU!$B$3:$E$81,4,0)</f>
        <v>#N/A</v>
      </c>
      <c r="Z1034" s="8" t="str">
        <f t="shared" si="16"/>
        <v>FLEX</v>
      </c>
      <c r="AA1034" s="8" t="e">
        <f>+VLOOKUP(I1034,[1]SKU!$H$2:$I$97,2,0)</f>
        <v>#N/A</v>
      </c>
    </row>
    <row r="1035" spans="24:27">
      <c r="X1035" s="8" t="str">
        <f>+IFERROR(VLOOKUP(N1035,[1]Hoja1!$B$2:$F$52,4,0)*P1035,"")</f>
        <v/>
      </c>
      <c r="Y1035" s="8" t="e">
        <f>+VLOOKUP(M1035,[1]SKU!$B$3:$E$81,4,0)</f>
        <v>#N/A</v>
      </c>
      <c r="Z1035" s="8" t="str">
        <f t="shared" si="16"/>
        <v>FLEX</v>
      </c>
      <c r="AA1035" s="8" t="e">
        <f>+VLOOKUP(I1035,[1]SKU!$H$2:$I$97,2,0)</f>
        <v>#N/A</v>
      </c>
    </row>
    <row r="1036" spans="24:27">
      <c r="X1036" s="8" t="str">
        <f>+IFERROR(VLOOKUP(N1036,[1]Hoja1!$B$2:$F$52,4,0)*P1036,"")</f>
        <v/>
      </c>
      <c r="Y1036" s="8" t="e">
        <f>+VLOOKUP(M1036,[1]SKU!$B$3:$E$81,4,0)</f>
        <v>#N/A</v>
      </c>
      <c r="Z1036" s="8" t="str">
        <f t="shared" si="16"/>
        <v>FLEX</v>
      </c>
      <c r="AA1036" s="8" t="e">
        <f>+VLOOKUP(I1036,[1]SKU!$H$2:$I$97,2,0)</f>
        <v>#N/A</v>
      </c>
    </row>
    <row r="1037" spans="24:27">
      <c r="X1037" s="8" t="str">
        <f>+IFERROR(VLOOKUP(N1037,[1]Hoja1!$B$2:$F$52,4,0)*P1037,"")</f>
        <v/>
      </c>
      <c r="Y1037" s="8" t="e">
        <f>+VLOOKUP(M1037,[1]SKU!$B$3:$E$81,4,0)</f>
        <v>#N/A</v>
      </c>
      <c r="Z1037" s="8" t="str">
        <f t="shared" si="16"/>
        <v>FLEX</v>
      </c>
      <c r="AA1037" s="8" t="e">
        <f>+VLOOKUP(I1037,[1]SKU!$H$2:$I$97,2,0)</f>
        <v>#N/A</v>
      </c>
    </row>
    <row r="1038" spans="24:27">
      <c r="X1038" s="8" t="str">
        <f>+IFERROR(VLOOKUP(N1038,[1]Hoja1!$B$2:$F$52,4,0)*P1038,"")</f>
        <v/>
      </c>
      <c r="Y1038" s="8" t="e">
        <f>+VLOOKUP(M1038,[1]SKU!$B$3:$E$81,4,0)</f>
        <v>#N/A</v>
      </c>
      <c r="Z1038" s="8" t="str">
        <f t="shared" si="16"/>
        <v>FLEX</v>
      </c>
      <c r="AA1038" s="8" t="e">
        <f>+VLOOKUP(I1038,[1]SKU!$H$2:$I$97,2,0)</f>
        <v>#N/A</v>
      </c>
    </row>
    <row r="1039" spans="24:27">
      <c r="X1039" s="8" t="str">
        <f>+IFERROR(VLOOKUP(N1039,[1]Hoja1!$B$2:$F$52,4,0)*P1039,"")</f>
        <v/>
      </c>
      <c r="Y1039" s="8" t="e">
        <f>+VLOOKUP(M1039,[1]SKU!$B$3:$E$81,4,0)</f>
        <v>#N/A</v>
      </c>
      <c r="Z1039" s="8" t="str">
        <f t="shared" si="16"/>
        <v>FLEX</v>
      </c>
      <c r="AA1039" s="8" t="e">
        <f>+VLOOKUP(I1039,[1]SKU!$H$2:$I$97,2,0)</f>
        <v>#N/A</v>
      </c>
    </row>
    <row r="1040" spans="24:27">
      <c r="X1040" s="8" t="str">
        <f>+IFERROR(VLOOKUP(N1040,[1]Hoja1!$B$2:$F$52,4,0)*P1040,"")</f>
        <v/>
      </c>
      <c r="Y1040" s="8" t="e">
        <f>+VLOOKUP(M1040,[1]SKU!$B$3:$E$81,4,0)</f>
        <v>#N/A</v>
      </c>
      <c r="Z1040" s="8" t="str">
        <f t="shared" si="16"/>
        <v>FLEX</v>
      </c>
      <c r="AA1040" s="8" t="e">
        <f>+VLOOKUP(I1040,[1]SKU!$H$2:$I$97,2,0)</f>
        <v>#N/A</v>
      </c>
    </row>
    <row r="1041" spans="24:27">
      <c r="X1041" s="8" t="str">
        <f>+IFERROR(VLOOKUP(N1041,[1]Hoja1!$B$2:$F$52,4,0)*P1041,"")</f>
        <v/>
      </c>
      <c r="Y1041" s="8" t="e">
        <f>+VLOOKUP(M1041,[1]SKU!$B$3:$E$81,4,0)</f>
        <v>#N/A</v>
      </c>
      <c r="Z1041" s="8" t="str">
        <f t="shared" si="16"/>
        <v>FLEX</v>
      </c>
      <c r="AA1041" s="8" t="e">
        <f>+VLOOKUP(I1041,[1]SKU!$H$2:$I$97,2,0)</f>
        <v>#N/A</v>
      </c>
    </row>
    <row r="1042" spans="24:27">
      <c r="X1042" s="8" t="str">
        <f>+IFERROR(VLOOKUP(N1042,[1]Hoja1!$B$2:$F$52,4,0)*P1042,"")</f>
        <v/>
      </c>
      <c r="Y1042" s="8" t="e">
        <f>+VLOOKUP(M1042,[1]SKU!$B$3:$E$81,4,0)</f>
        <v>#N/A</v>
      </c>
      <c r="Z1042" s="8" t="str">
        <f t="shared" si="16"/>
        <v>FLEX</v>
      </c>
      <c r="AA1042" s="8" t="e">
        <f>+VLOOKUP(I1042,[1]SKU!$H$2:$I$97,2,0)</f>
        <v>#N/A</v>
      </c>
    </row>
    <row r="1043" spans="24:27">
      <c r="X1043" s="8" t="str">
        <f>+IFERROR(VLOOKUP(N1043,[1]Hoja1!$B$2:$F$52,4,0)*P1043,"")</f>
        <v/>
      </c>
      <c r="Y1043" s="8" t="e">
        <f>+VLOOKUP(M1043,[1]SKU!$B$3:$E$81,4,0)</f>
        <v>#N/A</v>
      </c>
      <c r="Z1043" s="8" t="str">
        <f t="shared" si="16"/>
        <v>FLEX</v>
      </c>
      <c r="AA1043" s="8" t="e">
        <f>+VLOOKUP(I1043,[1]SKU!$H$2:$I$97,2,0)</f>
        <v>#N/A</v>
      </c>
    </row>
    <row r="1044" spans="24:27">
      <c r="X1044" s="8" t="str">
        <f>+IFERROR(VLOOKUP(N1044,[1]Hoja1!$B$2:$F$52,4,0)*P1044,"")</f>
        <v/>
      </c>
      <c r="Y1044" s="8" t="e">
        <f>+VLOOKUP(M1044,[1]SKU!$B$3:$E$81,4,0)</f>
        <v>#N/A</v>
      </c>
      <c r="Z1044" s="8" t="str">
        <f t="shared" si="16"/>
        <v>FLEX</v>
      </c>
      <c r="AA1044" s="8" t="e">
        <f>+VLOOKUP(I1044,[1]SKU!$H$2:$I$97,2,0)</f>
        <v>#N/A</v>
      </c>
    </row>
    <row r="1045" spans="24:27">
      <c r="X1045" s="8" t="str">
        <f>+IFERROR(VLOOKUP(N1045,[1]Hoja1!$B$2:$F$52,4,0)*P1045,"")</f>
        <v/>
      </c>
      <c r="Y1045" s="8" t="e">
        <f>+VLOOKUP(M1045,[1]SKU!$B$3:$E$81,4,0)</f>
        <v>#N/A</v>
      </c>
      <c r="Z1045" s="8" t="str">
        <f t="shared" si="16"/>
        <v>FLEX</v>
      </c>
      <c r="AA1045" s="8" t="e">
        <f>+VLOOKUP(I1045,[1]SKU!$H$2:$I$97,2,0)</f>
        <v>#N/A</v>
      </c>
    </row>
    <row r="1046" spans="24:27">
      <c r="X1046" s="8" t="str">
        <f>+IFERROR(VLOOKUP(N1046,[1]Hoja1!$B$2:$F$52,4,0)*P1046,"")</f>
        <v/>
      </c>
      <c r="Y1046" s="8" t="e">
        <f>+VLOOKUP(M1046,[1]SKU!$B$3:$E$81,4,0)</f>
        <v>#N/A</v>
      </c>
      <c r="Z1046" s="8" t="str">
        <f t="shared" si="16"/>
        <v>FLEX</v>
      </c>
      <c r="AA1046" s="8" t="e">
        <f>+VLOOKUP(I1046,[1]SKU!$H$2:$I$97,2,0)</f>
        <v>#N/A</v>
      </c>
    </row>
    <row r="1047" spans="24:27">
      <c r="X1047" s="8" t="str">
        <f>+IFERROR(VLOOKUP(N1047,[1]Hoja1!$B$2:$F$52,4,0)*P1047,"")</f>
        <v/>
      </c>
      <c r="Y1047" s="8" t="e">
        <f>+VLOOKUP(M1047,[1]SKU!$B$3:$E$81,4,0)</f>
        <v>#N/A</v>
      </c>
      <c r="Z1047" s="8" t="str">
        <f t="shared" si="16"/>
        <v>FLEX</v>
      </c>
      <c r="AA1047" s="8" t="e">
        <f>+VLOOKUP(I1047,[1]SKU!$H$2:$I$97,2,0)</f>
        <v>#N/A</v>
      </c>
    </row>
    <row r="1048" spans="24:27">
      <c r="X1048" s="8" t="str">
        <f>+IFERROR(VLOOKUP(N1048,[1]Hoja1!$B$2:$F$52,4,0)*P1048,"")</f>
        <v/>
      </c>
      <c r="Y1048" s="8" t="e">
        <f>+VLOOKUP(M1048,[1]SKU!$B$3:$E$81,4,0)</f>
        <v>#N/A</v>
      </c>
      <c r="Z1048" s="8" t="str">
        <f t="shared" si="16"/>
        <v>FLEX</v>
      </c>
      <c r="AA1048" s="8" t="e">
        <f>+VLOOKUP(I1048,[1]SKU!$H$2:$I$97,2,0)</f>
        <v>#N/A</v>
      </c>
    </row>
    <row r="1049" spans="24:27">
      <c r="X1049" s="8" t="str">
        <f>+IFERROR(VLOOKUP(N1049,[1]Hoja1!$B$2:$F$52,4,0)*P1049,"")</f>
        <v/>
      </c>
      <c r="Y1049" s="8" t="e">
        <f>+VLOOKUP(M1049,[1]SKU!$B$3:$E$81,4,0)</f>
        <v>#N/A</v>
      </c>
      <c r="Z1049" s="8" t="str">
        <f t="shared" si="16"/>
        <v>FLEX</v>
      </c>
      <c r="AA1049" s="8" t="e">
        <f>+VLOOKUP(I1049,[1]SKU!$H$2:$I$97,2,0)</f>
        <v>#N/A</v>
      </c>
    </row>
    <row r="1050" spans="24:27">
      <c r="X1050" s="8" t="str">
        <f>+IFERROR(VLOOKUP(N1050,[1]Hoja1!$B$2:$F$52,4,0)*P1050,"")</f>
        <v/>
      </c>
      <c r="Y1050" s="8" t="e">
        <f>+VLOOKUP(M1050,[1]SKU!$B$3:$E$81,4,0)</f>
        <v>#N/A</v>
      </c>
      <c r="Z1050" s="8" t="str">
        <f t="shared" si="16"/>
        <v>FLEX</v>
      </c>
      <c r="AA1050" s="8" t="e">
        <f>+VLOOKUP(I1050,[1]SKU!$H$2:$I$97,2,0)</f>
        <v>#N/A</v>
      </c>
    </row>
    <row r="1051" spans="24:27">
      <c r="X1051" s="8" t="str">
        <f>+IFERROR(VLOOKUP(N1051,[1]Hoja1!$B$2:$F$52,4,0)*P1051,"")</f>
        <v/>
      </c>
      <c r="Y1051" s="8" t="e">
        <f>+VLOOKUP(M1051,[1]SKU!$B$3:$E$81,4,0)</f>
        <v>#N/A</v>
      </c>
      <c r="Z1051" s="8" t="str">
        <f t="shared" si="16"/>
        <v>FLEX</v>
      </c>
      <c r="AA1051" s="8" t="e">
        <f>+VLOOKUP(I1051,[1]SKU!$H$2:$I$97,2,0)</f>
        <v>#N/A</v>
      </c>
    </row>
    <row r="1052" spans="24:27">
      <c r="X1052" s="8" t="str">
        <f>+IFERROR(VLOOKUP(N1052,[1]Hoja1!$B$2:$F$52,4,0)*P1052,"")</f>
        <v/>
      </c>
      <c r="Y1052" s="8" t="e">
        <f>+VLOOKUP(M1052,[1]SKU!$B$3:$E$81,4,0)</f>
        <v>#N/A</v>
      </c>
      <c r="Z1052" s="8" t="str">
        <f t="shared" si="16"/>
        <v>FLEX</v>
      </c>
      <c r="AA1052" s="8" t="e">
        <f>+VLOOKUP(I1052,[1]SKU!$H$2:$I$97,2,0)</f>
        <v>#N/A</v>
      </c>
    </row>
    <row r="1053" spans="24:27">
      <c r="X1053" s="8" t="str">
        <f>+IFERROR(VLOOKUP(N1053,[1]Hoja1!$B$2:$F$52,4,0)*P1053,"")</f>
        <v/>
      </c>
      <c r="Y1053" s="8" t="e">
        <f>+VLOOKUP(M1053,[1]SKU!$B$3:$E$81,4,0)</f>
        <v>#N/A</v>
      </c>
      <c r="Z1053" s="8" t="str">
        <f t="shared" si="16"/>
        <v>FLEX</v>
      </c>
      <c r="AA1053" s="8" t="e">
        <f>+VLOOKUP(I1053,[1]SKU!$H$2:$I$97,2,0)</f>
        <v>#N/A</v>
      </c>
    </row>
    <row r="1054" spans="24:27">
      <c r="X1054" s="8" t="str">
        <f>+IFERROR(VLOOKUP(N1054,[1]Hoja1!$B$2:$F$52,4,0)*P1054,"")</f>
        <v/>
      </c>
      <c r="Y1054" s="8" t="e">
        <f>+VLOOKUP(M1054,[1]SKU!$B$3:$E$81,4,0)</f>
        <v>#N/A</v>
      </c>
      <c r="Z1054" s="8" t="str">
        <f t="shared" si="16"/>
        <v>FLEX</v>
      </c>
      <c r="AA1054" s="8" t="e">
        <f>+VLOOKUP(I1054,[1]SKU!$H$2:$I$97,2,0)</f>
        <v>#N/A</v>
      </c>
    </row>
    <row r="1055" spans="24:27">
      <c r="X1055" s="8" t="str">
        <f>+IFERROR(VLOOKUP(N1055,[1]Hoja1!$B$2:$F$52,4,0)*P1055,"")</f>
        <v/>
      </c>
      <c r="Y1055" s="8" t="e">
        <f>+VLOOKUP(M1055,[1]SKU!$B$3:$E$81,4,0)</f>
        <v>#N/A</v>
      </c>
      <c r="Z1055" s="8" t="str">
        <f t="shared" si="16"/>
        <v>FLEX</v>
      </c>
      <c r="AA1055" s="8" t="e">
        <f>+VLOOKUP(I1055,[1]SKU!$H$2:$I$97,2,0)</f>
        <v>#N/A</v>
      </c>
    </row>
    <row r="1056" spans="24:27">
      <c r="X1056" s="8" t="str">
        <f>+IFERROR(VLOOKUP(N1056,[1]Hoja1!$B$2:$F$52,4,0)*P1056,"")</f>
        <v/>
      </c>
      <c r="Y1056" s="8" t="e">
        <f>+VLOOKUP(M1056,[1]SKU!$B$3:$E$81,4,0)</f>
        <v>#N/A</v>
      </c>
      <c r="Z1056" s="8" t="str">
        <f t="shared" si="16"/>
        <v>FLEX</v>
      </c>
      <c r="AA1056" s="8" t="e">
        <f>+VLOOKUP(I1056,[1]SKU!$H$2:$I$97,2,0)</f>
        <v>#N/A</v>
      </c>
    </row>
    <row r="1057" spans="24:27">
      <c r="X1057" s="8" t="str">
        <f>+IFERROR(VLOOKUP(N1057,[1]Hoja1!$B$2:$F$52,4,0)*P1057,"")</f>
        <v/>
      </c>
      <c r="Y1057" s="8" t="e">
        <f>+VLOOKUP(M1057,[1]SKU!$B$3:$E$81,4,0)</f>
        <v>#N/A</v>
      </c>
      <c r="Z1057" s="8" t="str">
        <f t="shared" si="16"/>
        <v>FLEX</v>
      </c>
      <c r="AA1057" s="8" t="e">
        <f>+VLOOKUP(I1057,[1]SKU!$H$2:$I$97,2,0)</f>
        <v>#N/A</v>
      </c>
    </row>
    <row r="1058" spans="24:27">
      <c r="X1058" s="8" t="str">
        <f>+IFERROR(VLOOKUP(N1058,[1]Hoja1!$B$2:$F$52,4,0)*P1058,"")</f>
        <v/>
      </c>
      <c r="Y1058" s="8" t="e">
        <f>+VLOOKUP(M1058,[1]SKU!$B$3:$E$81,4,0)</f>
        <v>#N/A</v>
      </c>
      <c r="Z1058" s="8" t="str">
        <f t="shared" si="16"/>
        <v>FLEX</v>
      </c>
      <c r="AA1058" s="8" t="e">
        <f>+VLOOKUP(I1058,[1]SKU!$H$2:$I$97,2,0)</f>
        <v>#N/A</v>
      </c>
    </row>
    <row r="1059" spans="24:27">
      <c r="X1059" s="8" t="str">
        <f>+IFERROR(VLOOKUP(N1059,[1]Hoja1!$B$2:$F$52,4,0)*P1059,"")</f>
        <v/>
      </c>
      <c r="Y1059" s="8" t="e">
        <f>+VLOOKUP(M1059,[1]SKU!$B$3:$E$81,4,0)</f>
        <v>#N/A</v>
      </c>
      <c r="Z1059" s="8" t="str">
        <f t="shared" si="16"/>
        <v>FLEX</v>
      </c>
      <c r="AA1059" s="8" t="e">
        <f>+VLOOKUP(I1059,[1]SKU!$H$2:$I$97,2,0)</f>
        <v>#N/A</v>
      </c>
    </row>
    <row r="1060" spans="24:27">
      <c r="X1060" s="8" t="str">
        <f>+IFERROR(VLOOKUP(N1060,[1]Hoja1!$B$2:$F$52,4,0)*P1060,"")</f>
        <v/>
      </c>
      <c r="Y1060" s="8" t="e">
        <f>+VLOOKUP(M1060,[1]SKU!$B$3:$E$81,4,0)</f>
        <v>#N/A</v>
      </c>
      <c r="Z1060" s="8" t="str">
        <f t="shared" si="16"/>
        <v>FLEX</v>
      </c>
      <c r="AA1060" s="8" t="e">
        <f>+VLOOKUP(I1060,[1]SKU!$H$2:$I$97,2,0)</f>
        <v>#N/A</v>
      </c>
    </row>
    <row r="1061" spans="24:27">
      <c r="X1061" s="8" t="str">
        <f>+IFERROR(VLOOKUP(N1061,[1]Hoja1!$B$2:$F$52,4,0)*P1061,"")</f>
        <v/>
      </c>
      <c r="Y1061" s="8" t="e">
        <f>+VLOOKUP(M1061,[1]SKU!$B$3:$E$81,4,0)</f>
        <v>#N/A</v>
      </c>
      <c r="Z1061" s="8" t="str">
        <f t="shared" si="16"/>
        <v>FLEX</v>
      </c>
      <c r="AA1061" s="8" t="e">
        <f>+VLOOKUP(I1061,[1]SKU!$H$2:$I$97,2,0)</f>
        <v>#N/A</v>
      </c>
    </row>
    <row r="1062" spans="24:27">
      <c r="X1062" s="8" t="str">
        <f>+IFERROR(VLOOKUP(N1062,[1]Hoja1!$B$2:$F$52,4,0)*P1062,"")</f>
        <v/>
      </c>
      <c r="Y1062" s="8" t="e">
        <f>+VLOOKUP(M1062,[1]SKU!$B$3:$E$81,4,0)</f>
        <v>#N/A</v>
      </c>
      <c r="Z1062" s="8" t="str">
        <f t="shared" si="16"/>
        <v>FLEX</v>
      </c>
      <c r="AA1062" s="8" t="e">
        <f>+VLOOKUP(I1062,[1]SKU!$H$2:$I$97,2,0)</f>
        <v>#N/A</v>
      </c>
    </row>
    <row r="1063" spans="24:27">
      <c r="X1063" s="8" t="str">
        <f>+IFERROR(VLOOKUP(N1063,[1]Hoja1!$B$2:$F$52,4,0)*P1063,"")</f>
        <v/>
      </c>
      <c r="Y1063" s="8" t="e">
        <f>+VLOOKUP(M1063,[1]SKU!$B$3:$E$81,4,0)</f>
        <v>#N/A</v>
      </c>
      <c r="Z1063" s="8" t="str">
        <f t="shared" si="16"/>
        <v>FLEX</v>
      </c>
      <c r="AA1063" s="8" t="e">
        <f>+VLOOKUP(I1063,[1]SKU!$H$2:$I$97,2,0)</f>
        <v>#N/A</v>
      </c>
    </row>
    <row r="1064" spans="24:27">
      <c r="X1064" s="8" t="str">
        <f>+IFERROR(VLOOKUP(N1064,[1]Hoja1!$B$2:$F$52,4,0)*P1064,"")</f>
        <v/>
      </c>
      <c r="Y1064" s="8" t="e">
        <f>+VLOOKUP(M1064,[1]SKU!$B$3:$E$81,4,0)</f>
        <v>#N/A</v>
      </c>
      <c r="Z1064" s="8" t="str">
        <f t="shared" si="16"/>
        <v>FLEX</v>
      </c>
      <c r="AA1064" s="8" t="e">
        <f>+VLOOKUP(I1064,[1]SKU!$H$2:$I$97,2,0)</f>
        <v>#N/A</v>
      </c>
    </row>
    <row r="1065" spans="24:27">
      <c r="X1065" s="8" t="str">
        <f>+IFERROR(VLOOKUP(N1065,[1]Hoja1!$B$2:$F$52,4,0)*P1065,"")</f>
        <v/>
      </c>
      <c r="Y1065" s="8" t="e">
        <f>+VLOOKUP(M1065,[1]SKU!$B$3:$E$81,4,0)</f>
        <v>#N/A</v>
      </c>
      <c r="Z1065" s="8" t="str">
        <f t="shared" si="16"/>
        <v>FLEX</v>
      </c>
      <c r="AA1065" s="8" t="e">
        <f>+VLOOKUP(I1065,[1]SKU!$H$2:$I$97,2,0)</f>
        <v>#N/A</v>
      </c>
    </row>
    <row r="1066" spans="24:27">
      <c r="X1066" s="8" t="str">
        <f>+IFERROR(VLOOKUP(N1066,[1]Hoja1!$B$2:$F$52,4,0)*P1066,"")</f>
        <v/>
      </c>
      <c r="Y1066" s="8" t="e">
        <f>+VLOOKUP(M1066,[1]SKU!$B$3:$E$81,4,0)</f>
        <v>#N/A</v>
      </c>
      <c r="Z1066" s="8" t="str">
        <f t="shared" si="16"/>
        <v>FLEX</v>
      </c>
      <c r="AA1066" s="8" t="e">
        <f>+VLOOKUP(I1066,[1]SKU!$H$2:$I$97,2,0)</f>
        <v>#N/A</v>
      </c>
    </row>
    <row r="1067" spans="24:27">
      <c r="X1067" s="8" t="str">
        <f>+IFERROR(VLOOKUP(N1067,[1]Hoja1!$B$2:$F$52,4,0)*P1067,"")</f>
        <v/>
      </c>
      <c r="Y1067" s="8" t="e">
        <f>+VLOOKUP(M1067,[1]SKU!$B$3:$E$81,4,0)</f>
        <v>#N/A</v>
      </c>
      <c r="Z1067" s="8" t="str">
        <f t="shared" si="16"/>
        <v>FLEX</v>
      </c>
      <c r="AA1067" s="8" t="e">
        <f>+VLOOKUP(I1067,[1]SKU!$H$2:$I$97,2,0)</f>
        <v>#N/A</v>
      </c>
    </row>
    <row r="1068" spans="24:27">
      <c r="X1068" s="8" t="str">
        <f>+IFERROR(VLOOKUP(N1068,[1]Hoja1!$B$2:$F$52,4,0)*P1068,"")</f>
        <v/>
      </c>
      <c r="Y1068" s="8" t="e">
        <f>+VLOOKUP(M1068,[1]SKU!$B$3:$E$81,4,0)</f>
        <v>#N/A</v>
      </c>
      <c r="Z1068" s="8" t="str">
        <f t="shared" si="16"/>
        <v>FLEX</v>
      </c>
      <c r="AA1068" s="8" t="e">
        <f>+VLOOKUP(I1068,[1]SKU!$H$2:$I$97,2,0)</f>
        <v>#N/A</v>
      </c>
    </row>
    <row r="1069" spans="24:27">
      <c r="X1069" s="8" t="str">
        <f>+IFERROR(VLOOKUP(N1069,[1]Hoja1!$B$2:$F$52,4,0)*P1069,"")</f>
        <v/>
      </c>
      <c r="Y1069" s="8" t="e">
        <f>+VLOOKUP(M1069,[1]SKU!$B$3:$E$81,4,0)</f>
        <v>#N/A</v>
      </c>
      <c r="Z1069" s="8" t="str">
        <f t="shared" si="16"/>
        <v>FLEX</v>
      </c>
      <c r="AA1069" s="8" t="e">
        <f>+VLOOKUP(I1069,[1]SKU!$H$2:$I$97,2,0)</f>
        <v>#N/A</v>
      </c>
    </row>
    <row r="1070" spans="24:27">
      <c r="X1070" s="8" t="str">
        <f>+IFERROR(VLOOKUP(N1070,[1]Hoja1!$B$2:$F$52,4,0)*P1070,"")</f>
        <v/>
      </c>
      <c r="Y1070" s="8" t="e">
        <f>+VLOOKUP(M1070,[1]SKU!$B$3:$E$81,4,0)</f>
        <v>#N/A</v>
      </c>
      <c r="Z1070" s="8" t="str">
        <f t="shared" si="16"/>
        <v>FLEX</v>
      </c>
      <c r="AA1070" s="8" t="e">
        <f>+VLOOKUP(I1070,[1]SKU!$H$2:$I$97,2,0)</f>
        <v>#N/A</v>
      </c>
    </row>
    <row r="1071" spans="24:27">
      <c r="X1071" s="8" t="str">
        <f>+IFERROR(VLOOKUP(N1071,[1]Hoja1!$B$2:$F$52,4,0)*P1071,"")</f>
        <v/>
      </c>
      <c r="Y1071" s="8" t="e">
        <f>+VLOOKUP(M1071,[1]SKU!$B$3:$E$81,4,0)</f>
        <v>#N/A</v>
      </c>
      <c r="Z1071" s="8" t="str">
        <f t="shared" si="16"/>
        <v>FLEX</v>
      </c>
      <c r="AA1071" s="8" t="e">
        <f>+VLOOKUP(I1071,[1]SKU!$H$2:$I$97,2,0)</f>
        <v>#N/A</v>
      </c>
    </row>
    <row r="1072" spans="24:27">
      <c r="X1072" s="8" t="str">
        <f>+IFERROR(VLOOKUP(N1072,[1]Hoja1!$B$2:$F$52,4,0)*P1072,"")</f>
        <v/>
      </c>
      <c r="Y1072" s="8" t="e">
        <f>+VLOOKUP(M1072,[1]SKU!$B$3:$E$81,4,0)</f>
        <v>#N/A</v>
      </c>
      <c r="Z1072" s="8" t="str">
        <f t="shared" si="16"/>
        <v>FLEX</v>
      </c>
      <c r="AA1072" s="8" t="e">
        <f>+VLOOKUP(I1072,[1]SKU!$H$2:$I$97,2,0)</f>
        <v>#N/A</v>
      </c>
    </row>
    <row r="1073" spans="24:27">
      <c r="X1073" s="8" t="str">
        <f>+IFERROR(VLOOKUP(N1073,[1]Hoja1!$B$2:$F$52,4,0)*P1073,"")</f>
        <v/>
      </c>
      <c r="Y1073" s="8" t="e">
        <f>+VLOOKUP(M1073,[1]SKU!$B$3:$E$81,4,0)</f>
        <v>#N/A</v>
      </c>
      <c r="Z1073" s="8" t="str">
        <f t="shared" si="16"/>
        <v>FLEX</v>
      </c>
      <c r="AA1073" s="8" t="e">
        <f>+VLOOKUP(I1073,[1]SKU!$H$2:$I$97,2,0)</f>
        <v>#N/A</v>
      </c>
    </row>
    <row r="1074" spans="24:27">
      <c r="X1074" s="8" t="str">
        <f>+IFERROR(VLOOKUP(N1074,[1]Hoja1!$B$2:$F$52,4,0)*P1074,"")</f>
        <v/>
      </c>
      <c r="Y1074" s="8" t="e">
        <f>+VLOOKUP(M1074,[1]SKU!$B$3:$E$81,4,0)</f>
        <v>#N/A</v>
      </c>
      <c r="Z1074" s="8" t="str">
        <f t="shared" si="16"/>
        <v>FLEX</v>
      </c>
      <c r="AA1074" s="8" t="e">
        <f>+VLOOKUP(I1074,[1]SKU!$H$2:$I$97,2,0)</f>
        <v>#N/A</v>
      </c>
    </row>
    <row r="1075" spans="24:27">
      <c r="X1075" s="8" t="str">
        <f>+IFERROR(VLOOKUP(N1075,[1]Hoja1!$B$2:$F$52,4,0)*P1075,"")</f>
        <v/>
      </c>
      <c r="Y1075" s="8" t="e">
        <f>+VLOOKUP(M1075,[1]SKU!$B$3:$E$81,4,0)</f>
        <v>#N/A</v>
      </c>
      <c r="Z1075" s="8" t="str">
        <f t="shared" si="16"/>
        <v>FLEX</v>
      </c>
      <c r="AA1075" s="8" t="e">
        <f>+VLOOKUP(I1075,[1]SKU!$H$2:$I$97,2,0)</f>
        <v>#N/A</v>
      </c>
    </row>
    <row r="1076" spans="24:27">
      <c r="X1076" s="8" t="str">
        <f>+IFERROR(VLOOKUP(N1076,[1]Hoja1!$B$2:$F$52,4,0)*P1076,"")</f>
        <v/>
      </c>
      <c r="Y1076" s="8" t="e">
        <f>+VLOOKUP(M1076,[1]SKU!$B$3:$E$81,4,0)</f>
        <v>#N/A</v>
      </c>
      <c r="Z1076" s="8" t="str">
        <f t="shared" si="16"/>
        <v>FLEX</v>
      </c>
      <c r="AA1076" s="8" t="e">
        <f>+VLOOKUP(I1076,[1]SKU!$H$2:$I$97,2,0)</f>
        <v>#N/A</v>
      </c>
    </row>
    <row r="1077" spans="24:27">
      <c r="X1077" s="8" t="str">
        <f>+IFERROR(VLOOKUP(N1077,[1]Hoja1!$B$2:$F$52,4,0)*P1077,"")</f>
        <v/>
      </c>
      <c r="Y1077" s="8" t="e">
        <f>+VLOOKUP(M1077,[1]SKU!$B$3:$E$81,4,0)</f>
        <v>#N/A</v>
      </c>
      <c r="Z1077" s="8" t="str">
        <f t="shared" si="16"/>
        <v>FLEX</v>
      </c>
      <c r="AA1077" s="8" t="e">
        <f>+VLOOKUP(I1077,[1]SKU!$H$2:$I$97,2,0)</f>
        <v>#N/A</v>
      </c>
    </row>
    <row r="1078" spans="24:27">
      <c r="X1078" s="8" t="str">
        <f>+IFERROR(VLOOKUP(N1078,[1]Hoja1!$B$2:$F$52,4,0)*P1078,"")</f>
        <v/>
      </c>
      <c r="Y1078" s="8" t="e">
        <f>+VLOOKUP(M1078,[1]SKU!$B$3:$E$81,4,0)</f>
        <v>#N/A</v>
      </c>
      <c r="Z1078" s="8" t="str">
        <f t="shared" si="16"/>
        <v>FLEX</v>
      </c>
      <c r="AA1078" s="8" t="e">
        <f>+VLOOKUP(I1078,[1]SKU!$H$2:$I$97,2,0)</f>
        <v>#N/A</v>
      </c>
    </row>
    <row r="1079" spans="24:27">
      <c r="X1079" s="8" t="str">
        <f>+IFERROR(VLOOKUP(N1079,[1]Hoja1!$B$2:$F$52,4,0)*P1079,"")</f>
        <v/>
      </c>
      <c r="Y1079" s="8" t="e">
        <f>+VLOOKUP(M1079,[1]SKU!$B$3:$E$81,4,0)</f>
        <v>#N/A</v>
      </c>
      <c r="Z1079" s="8" t="str">
        <f t="shared" si="16"/>
        <v>FLEX</v>
      </c>
      <c r="AA1079" s="8" t="e">
        <f>+VLOOKUP(I1079,[1]SKU!$H$2:$I$97,2,0)</f>
        <v>#N/A</v>
      </c>
    </row>
    <row r="1080" spans="24:27">
      <c r="X1080" s="8" t="str">
        <f>+IFERROR(VLOOKUP(N1080,[1]Hoja1!$B$2:$F$52,4,0)*P1080,"")</f>
        <v/>
      </c>
      <c r="Y1080" s="8" t="e">
        <f>+VLOOKUP(M1080,[1]SKU!$B$3:$E$81,4,0)</f>
        <v>#N/A</v>
      </c>
      <c r="Z1080" s="8" t="str">
        <f t="shared" si="16"/>
        <v>FLEX</v>
      </c>
      <c r="AA1080" s="8" t="e">
        <f>+VLOOKUP(I1080,[1]SKU!$H$2:$I$97,2,0)</f>
        <v>#N/A</v>
      </c>
    </row>
    <row r="1081" spans="24:27">
      <c r="X1081" s="8" t="str">
        <f>+IFERROR(VLOOKUP(N1081,[1]Hoja1!$B$2:$F$52,4,0)*P1081,"")</f>
        <v/>
      </c>
      <c r="Y1081" s="8" t="e">
        <f>+VLOOKUP(M1081,[1]SKU!$B$3:$E$81,4,0)</f>
        <v>#N/A</v>
      </c>
      <c r="Z1081" s="8" t="str">
        <f t="shared" si="16"/>
        <v>FLEX</v>
      </c>
      <c r="AA1081" s="8" t="e">
        <f>+VLOOKUP(I1081,[1]SKU!$H$2:$I$97,2,0)</f>
        <v>#N/A</v>
      </c>
    </row>
    <row r="1082" spans="24:27">
      <c r="X1082" s="8" t="str">
        <f>+IFERROR(VLOOKUP(N1082,[1]Hoja1!$B$2:$F$52,4,0)*P1082,"")</f>
        <v/>
      </c>
      <c r="Y1082" s="8" t="e">
        <f>+VLOOKUP(M1082,[1]SKU!$B$3:$E$81,4,0)</f>
        <v>#N/A</v>
      </c>
      <c r="Z1082" s="8" t="str">
        <f t="shared" si="16"/>
        <v>FLEX</v>
      </c>
      <c r="AA1082" s="8" t="e">
        <f>+VLOOKUP(I1082,[1]SKU!$H$2:$I$97,2,0)</f>
        <v>#N/A</v>
      </c>
    </row>
    <row r="1083" spans="24:27">
      <c r="X1083" s="8" t="str">
        <f>+IFERROR(VLOOKUP(N1083,[1]Hoja1!$B$2:$F$52,4,0)*P1083,"")</f>
        <v/>
      </c>
      <c r="Y1083" s="8" t="e">
        <f>+VLOOKUP(M1083,[1]SKU!$B$3:$E$81,4,0)</f>
        <v>#N/A</v>
      </c>
      <c r="Z1083" s="8" t="str">
        <f t="shared" si="16"/>
        <v>FLEX</v>
      </c>
      <c r="AA1083" s="8" t="e">
        <f>+VLOOKUP(I1083,[1]SKU!$H$2:$I$97,2,0)</f>
        <v>#N/A</v>
      </c>
    </row>
    <row r="1084" spans="24:27">
      <c r="X1084" s="8" t="str">
        <f>+IFERROR(VLOOKUP(N1084,[1]Hoja1!$B$2:$F$52,4,0)*P1084,"")</f>
        <v/>
      </c>
      <c r="Y1084" s="8" t="e">
        <f>+VLOOKUP(M1084,[1]SKU!$B$3:$E$81,4,0)</f>
        <v>#N/A</v>
      </c>
      <c r="Z1084" s="8" t="str">
        <f t="shared" si="16"/>
        <v>FLEX</v>
      </c>
      <c r="AA1084" s="8" t="e">
        <f>+VLOOKUP(I1084,[1]SKU!$H$2:$I$97,2,0)</f>
        <v>#N/A</v>
      </c>
    </row>
    <row r="1085" spans="24:27">
      <c r="X1085" s="8" t="str">
        <f>+IFERROR(VLOOKUP(N1085,[1]Hoja1!$B$2:$F$52,4,0)*P1085,"")</f>
        <v/>
      </c>
      <c r="Y1085" s="8" t="e">
        <f>+VLOOKUP(M1085,[1]SKU!$B$3:$E$81,4,0)</f>
        <v>#N/A</v>
      </c>
      <c r="Z1085" s="8" t="str">
        <f t="shared" si="16"/>
        <v>FLEX</v>
      </c>
      <c r="AA1085" s="8" t="e">
        <f>+VLOOKUP(I1085,[1]SKU!$H$2:$I$97,2,0)</f>
        <v>#N/A</v>
      </c>
    </row>
    <row r="1086" spans="24:27">
      <c r="X1086" s="8" t="str">
        <f>+IFERROR(VLOOKUP(N1086,[1]Hoja1!$B$2:$F$52,4,0)*P1086,"")</f>
        <v/>
      </c>
      <c r="Y1086" s="8" t="e">
        <f>+VLOOKUP(M1086,[1]SKU!$B$3:$E$81,4,0)</f>
        <v>#N/A</v>
      </c>
      <c r="Z1086" s="8" t="str">
        <f t="shared" si="16"/>
        <v>FLEX</v>
      </c>
      <c r="AA1086" s="8" t="e">
        <f>+VLOOKUP(I1086,[1]SKU!$H$2:$I$97,2,0)</f>
        <v>#N/A</v>
      </c>
    </row>
    <row r="1087" spans="24:27">
      <c r="X1087" s="8" t="str">
        <f>+IFERROR(VLOOKUP(N1087,[1]Hoja1!$B$2:$F$52,4,0)*P1087,"")</f>
        <v/>
      </c>
      <c r="Y1087" s="8" t="e">
        <f>+VLOOKUP(M1087,[1]SKU!$B$3:$E$81,4,0)</f>
        <v>#N/A</v>
      </c>
      <c r="Z1087" s="8" t="str">
        <f t="shared" si="16"/>
        <v>FLEX</v>
      </c>
      <c r="AA1087" s="8" t="e">
        <f>+VLOOKUP(I1087,[1]SKU!$H$2:$I$97,2,0)</f>
        <v>#N/A</v>
      </c>
    </row>
    <row r="1088" spans="24:27">
      <c r="X1088" s="8" t="str">
        <f>+IFERROR(VLOOKUP(N1088,[1]Hoja1!$B$2:$F$52,4,0)*P1088,"")</f>
        <v/>
      </c>
      <c r="Y1088" s="8" t="e">
        <f>+VLOOKUP(M1088,[1]SKU!$B$3:$E$81,4,0)</f>
        <v>#N/A</v>
      </c>
      <c r="Z1088" s="8" t="str">
        <f t="shared" si="16"/>
        <v>FLEX</v>
      </c>
      <c r="AA1088" s="8" t="e">
        <f>+VLOOKUP(I1088,[1]SKU!$H$2:$I$97,2,0)</f>
        <v>#N/A</v>
      </c>
    </row>
    <row r="1089" spans="24:27">
      <c r="X1089" s="8" t="str">
        <f>+IFERROR(VLOOKUP(N1089,[1]Hoja1!$B$2:$F$52,4,0)*P1089,"")</f>
        <v/>
      </c>
      <c r="Y1089" s="8" t="e">
        <f>+VLOOKUP(M1089,[1]SKU!$B$3:$E$81,4,0)</f>
        <v>#N/A</v>
      </c>
      <c r="Z1089" s="8" t="str">
        <f t="shared" si="16"/>
        <v>FLEX</v>
      </c>
      <c r="AA1089" s="8" t="e">
        <f>+VLOOKUP(I1089,[1]SKU!$H$2:$I$97,2,0)</f>
        <v>#N/A</v>
      </c>
    </row>
    <row r="1090" spans="24:27">
      <c r="X1090" s="8" t="str">
        <f>+IFERROR(VLOOKUP(N1090,[1]Hoja1!$B$2:$F$52,4,0)*P1090,"")</f>
        <v/>
      </c>
      <c r="Y1090" s="8" t="e">
        <f>+VLOOKUP(M1090,[1]SKU!$B$3:$E$81,4,0)</f>
        <v>#N/A</v>
      </c>
      <c r="Z1090" s="8" t="str">
        <f t="shared" si="16"/>
        <v>FLEX</v>
      </c>
      <c r="AA1090" s="8" t="e">
        <f>+VLOOKUP(I1090,[1]SKU!$H$2:$I$97,2,0)</f>
        <v>#N/A</v>
      </c>
    </row>
    <row r="1091" spans="24:27">
      <c r="X1091" s="8" t="str">
        <f>+IFERROR(VLOOKUP(N1091,[1]Hoja1!$B$2:$F$52,4,0)*P1091,"")</f>
        <v/>
      </c>
      <c r="Y1091" s="8" t="e">
        <f>+VLOOKUP(M1091,[1]SKU!$B$3:$E$81,4,0)</f>
        <v>#N/A</v>
      </c>
      <c r="Z1091" s="8" t="str">
        <f t="shared" ref="Z1091:Z1154" si="17">+IF(J1091="VB01                          ","BEES","FLEX")</f>
        <v>FLEX</v>
      </c>
      <c r="AA1091" s="8" t="e">
        <f>+VLOOKUP(I1091,[1]SKU!$H$2:$I$97,2,0)</f>
        <v>#N/A</v>
      </c>
    </row>
    <row r="1092" spans="24:27">
      <c r="X1092" s="8" t="str">
        <f>+IFERROR(VLOOKUP(N1092,[1]Hoja1!$B$2:$F$52,4,0)*P1092,"")</f>
        <v/>
      </c>
      <c r="Y1092" s="8" t="e">
        <f>+VLOOKUP(M1092,[1]SKU!$B$3:$E$81,4,0)</f>
        <v>#N/A</v>
      </c>
      <c r="Z1092" s="8" t="str">
        <f t="shared" si="17"/>
        <v>FLEX</v>
      </c>
      <c r="AA1092" s="8" t="e">
        <f>+VLOOKUP(I1092,[1]SKU!$H$2:$I$97,2,0)</f>
        <v>#N/A</v>
      </c>
    </row>
    <row r="1093" spans="24:27">
      <c r="X1093" s="8" t="str">
        <f>+IFERROR(VLOOKUP(N1093,[1]Hoja1!$B$2:$F$52,4,0)*P1093,"")</f>
        <v/>
      </c>
      <c r="Y1093" s="8" t="e">
        <f>+VLOOKUP(M1093,[1]SKU!$B$3:$E$81,4,0)</f>
        <v>#N/A</v>
      </c>
      <c r="Z1093" s="8" t="str">
        <f t="shared" si="17"/>
        <v>FLEX</v>
      </c>
      <c r="AA1093" s="8" t="e">
        <f>+VLOOKUP(I1093,[1]SKU!$H$2:$I$97,2,0)</f>
        <v>#N/A</v>
      </c>
    </row>
    <row r="1094" spans="24:27">
      <c r="X1094" s="8" t="str">
        <f>+IFERROR(VLOOKUP(N1094,[1]Hoja1!$B$2:$F$52,4,0)*P1094,"")</f>
        <v/>
      </c>
      <c r="Y1094" s="8" t="e">
        <f>+VLOOKUP(M1094,[1]SKU!$B$3:$E$81,4,0)</f>
        <v>#N/A</v>
      </c>
      <c r="Z1094" s="8" t="str">
        <f t="shared" si="17"/>
        <v>FLEX</v>
      </c>
      <c r="AA1094" s="8" t="e">
        <f>+VLOOKUP(I1094,[1]SKU!$H$2:$I$97,2,0)</f>
        <v>#N/A</v>
      </c>
    </row>
    <row r="1095" spans="24:27">
      <c r="X1095" s="8" t="str">
        <f>+IFERROR(VLOOKUP(N1095,[1]Hoja1!$B$2:$F$52,4,0)*P1095,"")</f>
        <v/>
      </c>
      <c r="Y1095" s="8" t="e">
        <f>+VLOOKUP(M1095,[1]SKU!$B$3:$E$81,4,0)</f>
        <v>#N/A</v>
      </c>
      <c r="Z1095" s="8" t="str">
        <f t="shared" si="17"/>
        <v>FLEX</v>
      </c>
      <c r="AA1095" s="8" t="e">
        <f>+VLOOKUP(I1095,[1]SKU!$H$2:$I$97,2,0)</f>
        <v>#N/A</v>
      </c>
    </row>
    <row r="1096" spans="24:27">
      <c r="X1096" s="8" t="str">
        <f>+IFERROR(VLOOKUP(N1096,[1]Hoja1!$B$2:$F$52,4,0)*P1096,"")</f>
        <v/>
      </c>
      <c r="Y1096" s="8" t="e">
        <f>+VLOOKUP(M1096,[1]SKU!$B$3:$E$81,4,0)</f>
        <v>#N/A</v>
      </c>
      <c r="Z1096" s="8" t="str">
        <f t="shared" si="17"/>
        <v>FLEX</v>
      </c>
      <c r="AA1096" s="8" t="e">
        <f>+VLOOKUP(I1096,[1]SKU!$H$2:$I$97,2,0)</f>
        <v>#N/A</v>
      </c>
    </row>
    <row r="1097" spans="24:27">
      <c r="X1097" s="8" t="str">
        <f>+IFERROR(VLOOKUP(N1097,[1]Hoja1!$B$2:$F$52,4,0)*P1097,"")</f>
        <v/>
      </c>
      <c r="Y1097" s="8" t="e">
        <f>+VLOOKUP(M1097,[1]SKU!$B$3:$E$81,4,0)</f>
        <v>#N/A</v>
      </c>
      <c r="Z1097" s="8" t="str">
        <f t="shared" si="17"/>
        <v>FLEX</v>
      </c>
      <c r="AA1097" s="8" t="e">
        <f>+VLOOKUP(I1097,[1]SKU!$H$2:$I$97,2,0)</f>
        <v>#N/A</v>
      </c>
    </row>
    <row r="1098" spans="24:27">
      <c r="X1098" s="8" t="str">
        <f>+IFERROR(VLOOKUP(N1098,[1]Hoja1!$B$2:$F$52,4,0)*P1098,"")</f>
        <v/>
      </c>
      <c r="Y1098" s="8" t="e">
        <f>+VLOOKUP(M1098,[1]SKU!$B$3:$E$81,4,0)</f>
        <v>#N/A</v>
      </c>
      <c r="Z1098" s="8" t="str">
        <f t="shared" si="17"/>
        <v>FLEX</v>
      </c>
      <c r="AA1098" s="8" t="e">
        <f>+VLOOKUP(I1098,[1]SKU!$H$2:$I$97,2,0)</f>
        <v>#N/A</v>
      </c>
    </row>
    <row r="1099" spans="24:27">
      <c r="X1099" s="8" t="str">
        <f>+IFERROR(VLOOKUP(N1099,[1]Hoja1!$B$2:$F$52,4,0)*P1099,"")</f>
        <v/>
      </c>
      <c r="Y1099" s="8" t="e">
        <f>+VLOOKUP(M1099,[1]SKU!$B$3:$E$81,4,0)</f>
        <v>#N/A</v>
      </c>
      <c r="Z1099" s="8" t="str">
        <f t="shared" si="17"/>
        <v>FLEX</v>
      </c>
      <c r="AA1099" s="8" t="e">
        <f>+VLOOKUP(I1099,[1]SKU!$H$2:$I$97,2,0)</f>
        <v>#N/A</v>
      </c>
    </row>
    <row r="1100" spans="24:27">
      <c r="X1100" s="8" t="str">
        <f>+IFERROR(VLOOKUP(N1100,[1]Hoja1!$B$2:$F$52,4,0)*P1100,"")</f>
        <v/>
      </c>
      <c r="Y1100" s="8" t="e">
        <f>+VLOOKUP(M1100,[1]SKU!$B$3:$E$81,4,0)</f>
        <v>#N/A</v>
      </c>
      <c r="Z1100" s="8" t="str">
        <f t="shared" si="17"/>
        <v>FLEX</v>
      </c>
      <c r="AA1100" s="8" t="e">
        <f>+VLOOKUP(I1100,[1]SKU!$H$2:$I$97,2,0)</f>
        <v>#N/A</v>
      </c>
    </row>
    <row r="1101" spans="24:27">
      <c r="X1101" s="8" t="str">
        <f>+IFERROR(VLOOKUP(N1101,[1]Hoja1!$B$2:$F$52,4,0)*P1101,"")</f>
        <v/>
      </c>
      <c r="Y1101" s="8" t="e">
        <f>+VLOOKUP(M1101,[1]SKU!$B$3:$E$81,4,0)</f>
        <v>#N/A</v>
      </c>
      <c r="Z1101" s="8" t="str">
        <f t="shared" si="17"/>
        <v>FLEX</v>
      </c>
      <c r="AA1101" s="8" t="e">
        <f>+VLOOKUP(I1101,[1]SKU!$H$2:$I$97,2,0)</f>
        <v>#N/A</v>
      </c>
    </row>
    <row r="1102" spans="24:27">
      <c r="X1102" s="8" t="str">
        <f>+IFERROR(VLOOKUP(N1102,[1]Hoja1!$B$2:$F$52,4,0)*P1102,"")</f>
        <v/>
      </c>
      <c r="Y1102" s="8" t="e">
        <f>+VLOOKUP(M1102,[1]SKU!$B$3:$E$81,4,0)</f>
        <v>#N/A</v>
      </c>
      <c r="Z1102" s="8" t="str">
        <f t="shared" si="17"/>
        <v>FLEX</v>
      </c>
      <c r="AA1102" s="8" t="e">
        <f>+VLOOKUP(I1102,[1]SKU!$H$2:$I$97,2,0)</f>
        <v>#N/A</v>
      </c>
    </row>
    <row r="1103" spans="24:27">
      <c r="X1103" s="8" t="str">
        <f>+IFERROR(VLOOKUP(N1103,[1]Hoja1!$B$2:$F$52,4,0)*P1103,"")</f>
        <v/>
      </c>
      <c r="Y1103" s="8" t="e">
        <f>+VLOOKUP(M1103,[1]SKU!$B$3:$E$81,4,0)</f>
        <v>#N/A</v>
      </c>
      <c r="Z1103" s="8" t="str">
        <f t="shared" si="17"/>
        <v>FLEX</v>
      </c>
      <c r="AA1103" s="8" t="e">
        <f>+VLOOKUP(I1103,[1]SKU!$H$2:$I$97,2,0)</f>
        <v>#N/A</v>
      </c>
    </row>
    <row r="1104" spans="24:27">
      <c r="X1104" s="8" t="str">
        <f>+IFERROR(VLOOKUP(N1104,[1]Hoja1!$B$2:$F$52,4,0)*P1104,"")</f>
        <v/>
      </c>
      <c r="Y1104" s="8" t="e">
        <f>+VLOOKUP(M1104,[1]SKU!$B$3:$E$81,4,0)</f>
        <v>#N/A</v>
      </c>
      <c r="Z1104" s="8" t="str">
        <f t="shared" si="17"/>
        <v>FLEX</v>
      </c>
      <c r="AA1104" s="8" t="e">
        <f>+VLOOKUP(I1104,[1]SKU!$H$2:$I$97,2,0)</f>
        <v>#N/A</v>
      </c>
    </row>
    <row r="1105" spans="24:27">
      <c r="X1105" s="8" t="str">
        <f>+IFERROR(VLOOKUP(N1105,[1]Hoja1!$B$2:$F$52,4,0)*P1105,"")</f>
        <v/>
      </c>
      <c r="Y1105" s="8" t="e">
        <f>+VLOOKUP(M1105,[1]SKU!$B$3:$E$81,4,0)</f>
        <v>#N/A</v>
      </c>
      <c r="Z1105" s="8" t="str">
        <f t="shared" si="17"/>
        <v>FLEX</v>
      </c>
      <c r="AA1105" s="8" t="e">
        <f>+VLOOKUP(I1105,[1]SKU!$H$2:$I$97,2,0)</f>
        <v>#N/A</v>
      </c>
    </row>
    <row r="1106" spans="24:27">
      <c r="X1106" s="8" t="str">
        <f>+IFERROR(VLOOKUP(N1106,[1]Hoja1!$B$2:$F$52,4,0)*P1106,"")</f>
        <v/>
      </c>
      <c r="Y1106" s="8" t="e">
        <f>+VLOOKUP(M1106,[1]SKU!$B$3:$E$81,4,0)</f>
        <v>#N/A</v>
      </c>
      <c r="Z1106" s="8" t="str">
        <f t="shared" si="17"/>
        <v>FLEX</v>
      </c>
      <c r="AA1106" s="8" t="e">
        <f>+VLOOKUP(I1106,[1]SKU!$H$2:$I$97,2,0)</f>
        <v>#N/A</v>
      </c>
    </row>
    <row r="1107" spans="24:27">
      <c r="X1107" s="8" t="str">
        <f>+IFERROR(VLOOKUP(N1107,[1]Hoja1!$B$2:$F$52,4,0)*P1107,"")</f>
        <v/>
      </c>
      <c r="Y1107" s="8" t="e">
        <f>+VLOOKUP(M1107,[1]SKU!$B$3:$E$81,4,0)</f>
        <v>#N/A</v>
      </c>
      <c r="Z1107" s="8" t="str">
        <f t="shared" si="17"/>
        <v>FLEX</v>
      </c>
      <c r="AA1107" s="8" t="e">
        <f>+VLOOKUP(I1107,[1]SKU!$H$2:$I$97,2,0)</f>
        <v>#N/A</v>
      </c>
    </row>
    <row r="1108" spans="24:27">
      <c r="X1108" s="8" t="str">
        <f>+IFERROR(VLOOKUP(N1108,[1]Hoja1!$B$2:$F$52,4,0)*P1108,"")</f>
        <v/>
      </c>
      <c r="Y1108" s="8" t="e">
        <f>+VLOOKUP(M1108,[1]SKU!$B$3:$E$81,4,0)</f>
        <v>#N/A</v>
      </c>
      <c r="Z1108" s="8" t="str">
        <f t="shared" si="17"/>
        <v>FLEX</v>
      </c>
      <c r="AA1108" s="8" t="e">
        <f>+VLOOKUP(I1108,[1]SKU!$H$2:$I$97,2,0)</f>
        <v>#N/A</v>
      </c>
    </row>
    <row r="1109" spans="24:27">
      <c r="X1109" s="8" t="str">
        <f>+IFERROR(VLOOKUP(N1109,[1]Hoja1!$B$2:$F$52,4,0)*P1109,"")</f>
        <v/>
      </c>
      <c r="Y1109" s="8" t="e">
        <f>+VLOOKUP(M1109,[1]SKU!$B$3:$E$81,4,0)</f>
        <v>#N/A</v>
      </c>
      <c r="Z1109" s="8" t="str">
        <f t="shared" si="17"/>
        <v>FLEX</v>
      </c>
      <c r="AA1109" s="8" t="e">
        <f>+VLOOKUP(I1109,[1]SKU!$H$2:$I$97,2,0)</f>
        <v>#N/A</v>
      </c>
    </row>
    <row r="1110" spans="24:27">
      <c r="X1110" s="8" t="str">
        <f>+IFERROR(VLOOKUP(N1110,[1]Hoja1!$B$2:$F$52,4,0)*P1110,"")</f>
        <v/>
      </c>
      <c r="Y1110" s="8" t="e">
        <f>+VLOOKUP(M1110,[1]SKU!$B$3:$E$81,4,0)</f>
        <v>#N/A</v>
      </c>
      <c r="Z1110" s="8" t="str">
        <f t="shared" si="17"/>
        <v>FLEX</v>
      </c>
      <c r="AA1110" s="8" t="e">
        <f>+VLOOKUP(I1110,[1]SKU!$H$2:$I$97,2,0)</f>
        <v>#N/A</v>
      </c>
    </row>
    <row r="1111" spans="24:27">
      <c r="X1111" s="8" t="str">
        <f>+IFERROR(VLOOKUP(N1111,[1]Hoja1!$B$2:$F$52,4,0)*P1111,"")</f>
        <v/>
      </c>
      <c r="Y1111" s="8" t="e">
        <f>+VLOOKUP(M1111,[1]SKU!$B$3:$E$81,4,0)</f>
        <v>#N/A</v>
      </c>
      <c r="Z1111" s="8" t="str">
        <f t="shared" si="17"/>
        <v>FLEX</v>
      </c>
      <c r="AA1111" s="8" t="e">
        <f>+VLOOKUP(I1111,[1]SKU!$H$2:$I$97,2,0)</f>
        <v>#N/A</v>
      </c>
    </row>
    <row r="1112" spans="24:27">
      <c r="X1112" s="8" t="str">
        <f>+IFERROR(VLOOKUP(N1112,[1]Hoja1!$B$2:$F$52,4,0)*P1112,"")</f>
        <v/>
      </c>
      <c r="Y1112" s="8" t="e">
        <f>+VLOOKUP(M1112,[1]SKU!$B$3:$E$81,4,0)</f>
        <v>#N/A</v>
      </c>
      <c r="Z1112" s="8" t="str">
        <f t="shared" si="17"/>
        <v>FLEX</v>
      </c>
      <c r="AA1112" s="8" t="e">
        <f>+VLOOKUP(I1112,[1]SKU!$H$2:$I$97,2,0)</f>
        <v>#N/A</v>
      </c>
    </row>
    <row r="1113" spans="24:27">
      <c r="X1113" s="8" t="str">
        <f>+IFERROR(VLOOKUP(N1113,[1]Hoja1!$B$2:$F$52,4,0)*P1113,"")</f>
        <v/>
      </c>
      <c r="Y1113" s="8" t="e">
        <f>+VLOOKUP(M1113,[1]SKU!$B$3:$E$81,4,0)</f>
        <v>#N/A</v>
      </c>
      <c r="Z1113" s="8" t="str">
        <f t="shared" si="17"/>
        <v>FLEX</v>
      </c>
      <c r="AA1113" s="8" t="e">
        <f>+VLOOKUP(I1113,[1]SKU!$H$2:$I$97,2,0)</f>
        <v>#N/A</v>
      </c>
    </row>
    <row r="1114" spans="24:27">
      <c r="X1114" s="8" t="str">
        <f>+IFERROR(VLOOKUP(N1114,[1]Hoja1!$B$2:$F$52,4,0)*P1114,"")</f>
        <v/>
      </c>
      <c r="Y1114" s="8" t="e">
        <f>+VLOOKUP(M1114,[1]SKU!$B$3:$E$81,4,0)</f>
        <v>#N/A</v>
      </c>
      <c r="Z1114" s="8" t="str">
        <f t="shared" si="17"/>
        <v>FLEX</v>
      </c>
      <c r="AA1114" s="8" t="e">
        <f>+VLOOKUP(I1114,[1]SKU!$H$2:$I$97,2,0)</f>
        <v>#N/A</v>
      </c>
    </row>
    <row r="1115" spans="24:27">
      <c r="X1115" s="8" t="str">
        <f>+IFERROR(VLOOKUP(N1115,[1]Hoja1!$B$2:$F$52,4,0)*P1115,"")</f>
        <v/>
      </c>
      <c r="Y1115" s="8" t="e">
        <f>+VLOOKUP(M1115,[1]SKU!$B$3:$E$81,4,0)</f>
        <v>#N/A</v>
      </c>
      <c r="Z1115" s="8" t="str">
        <f t="shared" si="17"/>
        <v>FLEX</v>
      </c>
      <c r="AA1115" s="8" t="e">
        <f>+VLOOKUP(I1115,[1]SKU!$H$2:$I$97,2,0)</f>
        <v>#N/A</v>
      </c>
    </row>
    <row r="1116" spans="24:27">
      <c r="X1116" s="8" t="str">
        <f>+IFERROR(VLOOKUP(N1116,[1]Hoja1!$B$2:$F$52,4,0)*P1116,"")</f>
        <v/>
      </c>
      <c r="Y1116" s="8" t="e">
        <f>+VLOOKUP(M1116,[1]SKU!$B$3:$E$81,4,0)</f>
        <v>#N/A</v>
      </c>
      <c r="Z1116" s="8" t="str">
        <f t="shared" si="17"/>
        <v>FLEX</v>
      </c>
      <c r="AA1116" s="8" t="e">
        <f>+VLOOKUP(I1116,[1]SKU!$H$2:$I$97,2,0)</f>
        <v>#N/A</v>
      </c>
    </row>
    <row r="1117" spans="24:27">
      <c r="X1117" s="8" t="str">
        <f>+IFERROR(VLOOKUP(N1117,[1]Hoja1!$B$2:$F$52,4,0)*P1117,"")</f>
        <v/>
      </c>
      <c r="Y1117" s="8" t="e">
        <f>+VLOOKUP(M1117,[1]SKU!$B$3:$E$81,4,0)</f>
        <v>#N/A</v>
      </c>
      <c r="Z1117" s="8" t="str">
        <f t="shared" si="17"/>
        <v>FLEX</v>
      </c>
      <c r="AA1117" s="8" t="e">
        <f>+VLOOKUP(I1117,[1]SKU!$H$2:$I$97,2,0)</f>
        <v>#N/A</v>
      </c>
    </row>
    <row r="1118" spans="24:27">
      <c r="X1118" s="8" t="str">
        <f>+IFERROR(VLOOKUP(N1118,[1]Hoja1!$B$2:$F$52,4,0)*P1118,"")</f>
        <v/>
      </c>
      <c r="Y1118" s="8" t="e">
        <f>+VLOOKUP(M1118,[1]SKU!$B$3:$E$81,4,0)</f>
        <v>#N/A</v>
      </c>
      <c r="Z1118" s="8" t="str">
        <f t="shared" si="17"/>
        <v>FLEX</v>
      </c>
      <c r="AA1118" s="8" t="e">
        <f>+VLOOKUP(I1118,[1]SKU!$H$2:$I$97,2,0)</f>
        <v>#N/A</v>
      </c>
    </row>
    <row r="1119" spans="24:27">
      <c r="X1119" s="8" t="str">
        <f>+IFERROR(VLOOKUP(N1119,[1]Hoja1!$B$2:$F$52,4,0)*P1119,"")</f>
        <v/>
      </c>
      <c r="Y1119" s="8" t="e">
        <f>+VLOOKUP(M1119,[1]SKU!$B$3:$E$81,4,0)</f>
        <v>#N/A</v>
      </c>
      <c r="Z1119" s="8" t="str">
        <f t="shared" si="17"/>
        <v>FLEX</v>
      </c>
      <c r="AA1119" s="8" t="e">
        <f>+VLOOKUP(I1119,[1]SKU!$H$2:$I$97,2,0)</f>
        <v>#N/A</v>
      </c>
    </row>
    <row r="1120" spans="24:27">
      <c r="X1120" s="8" t="str">
        <f>+IFERROR(VLOOKUP(N1120,[1]Hoja1!$B$2:$F$52,4,0)*P1120,"")</f>
        <v/>
      </c>
      <c r="Y1120" s="8" t="e">
        <f>+VLOOKUP(M1120,[1]SKU!$B$3:$E$81,4,0)</f>
        <v>#N/A</v>
      </c>
      <c r="Z1120" s="8" t="str">
        <f t="shared" si="17"/>
        <v>FLEX</v>
      </c>
      <c r="AA1120" s="8" t="e">
        <f>+VLOOKUP(I1120,[1]SKU!$H$2:$I$97,2,0)</f>
        <v>#N/A</v>
      </c>
    </row>
    <row r="1121" spans="24:27">
      <c r="X1121" s="8" t="str">
        <f>+IFERROR(VLOOKUP(N1121,[1]Hoja1!$B$2:$F$52,4,0)*P1121,"")</f>
        <v/>
      </c>
      <c r="Y1121" s="8" t="e">
        <f>+VLOOKUP(M1121,[1]SKU!$B$3:$E$81,4,0)</f>
        <v>#N/A</v>
      </c>
      <c r="Z1121" s="8" t="str">
        <f t="shared" si="17"/>
        <v>FLEX</v>
      </c>
      <c r="AA1121" s="8" t="e">
        <f>+VLOOKUP(I1121,[1]SKU!$H$2:$I$97,2,0)</f>
        <v>#N/A</v>
      </c>
    </row>
    <row r="1122" spans="24:27">
      <c r="X1122" s="8" t="str">
        <f>+IFERROR(VLOOKUP(N1122,[1]Hoja1!$B$2:$F$52,4,0)*P1122,"")</f>
        <v/>
      </c>
      <c r="Y1122" s="8" t="e">
        <f>+VLOOKUP(M1122,[1]SKU!$B$3:$E$81,4,0)</f>
        <v>#N/A</v>
      </c>
      <c r="Z1122" s="8" t="str">
        <f t="shared" si="17"/>
        <v>FLEX</v>
      </c>
      <c r="AA1122" s="8" t="e">
        <f>+VLOOKUP(I1122,[1]SKU!$H$2:$I$97,2,0)</f>
        <v>#N/A</v>
      </c>
    </row>
    <row r="1123" spans="24:27">
      <c r="X1123" s="8" t="str">
        <f>+IFERROR(VLOOKUP(N1123,[1]Hoja1!$B$2:$F$52,4,0)*P1123,"")</f>
        <v/>
      </c>
      <c r="Y1123" s="8" t="e">
        <f>+VLOOKUP(M1123,[1]SKU!$B$3:$E$81,4,0)</f>
        <v>#N/A</v>
      </c>
      <c r="Z1123" s="8" t="str">
        <f t="shared" si="17"/>
        <v>FLEX</v>
      </c>
      <c r="AA1123" s="8" t="e">
        <f>+VLOOKUP(I1123,[1]SKU!$H$2:$I$97,2,0)</f>
        <v>#N/A</v>
      </c>
    </row>
    <row r="1124" spans="24:27">
      <c r="X1124" s="8" t="str">
        <f>+IFERROR(VLOOKUP(N1124,[1]Hoja1!$B$2:$F$52,4,0)*P1124,"")</f>
        <v/>
      </c>
      <c r="Y1124" s="8" t="e">
        <f>+VLOOKUP(M1124,[1]SKU!$B$3:$E$81,4,0)</f>
        <v>#N/A</v>
      </c>
      <c r="Z1124" s="8" t="str">
        <f t="shared" si="17"/>
        <v>FLEX</v>
      </c>
      <c r="AA1124" s="8" t="e">
        <f>+VLOOKUP(I1124,[1]SKU!$H$2:$I$97,2,0)</f>
        <v>#N/A</v>
      </c>
    </row>
    <row r="1125" spans="24:27">
      <c r="X1125" s="8" t="str">
        <f>+IFERROR(VLOOKUP(N1125,[1]Hoja1!$B$2:$F$52,4,0)*P1125,"")</f>
        <v/>
      </c>
      <c r="Y1125" s="8" t="e">
        <f>+VLOOKUP(M1125,[1]SKU!$B$3:$E$81,4,0)</f>
        <v>#N/A</v>
      </c>
      <c r="Z1125" s="8" t="str">
        <f t="shared" si="17"/>
        <v>FLEX</v>
      </c>
      <c r="AA1125" s="8" t="e">
        <f>+VLOOKUP(I1125,[1]SKU!$H$2:$I$97,2,0)</f>
        <v>#N/A</v>
      </c>
    </row>
    <row r="1126" spans="24:27">
      <c r="X1126" s="8" t="str">
        <f>+IFERROR(VLOOKUP(N1126,[1]Hoja1!$B$2:$F$52,4,0)*P1126,"")</f>
        <v/>
      </c>
      <c r="Y1126" s="8" t="e">
        <f>+VLOOKUP(M1126,[1]SKU!$B$3:$E$81,4,0)</f>
        <v>#N/A</v>
      </c>
      <c r="Z1126" s="8" t="str">
        <f t="shared" si="17"/>
        <v>FLEX</v>
      </c>
      <c r="AA1126" s="8" t="e">
        <f>+VLOOKUP(I1126,[1]SKU!$H$2:$I$97,2,0)</f>
        <v>#N/A</v>
      </c>
    </row>
    <row r="1127" spans="24:27">
      <c r="X1127" s="8" t="str">
        <f>+IFERROR(VLOOKUP(N1127,[1]Hoja1!$B$2:$F$52,4,0)*P1127,"")</f>
        <v/>
      </c>
      <c r="Y1127" s="8" t="e">
        <f>+VLOOKUP(M1127,[1]SKU!$B$3:$E$81,4,0)</f>
        <v>#N/A</v>
      </c>
      <c r="Z1127" s="8" t="str">
        <f t="shared" si="17"/>
        <v>FLEX</v>
      </c>
      <c r="AA1127" s="8" t="e">
        <f>+VLOOKUP(I1127,[1]SKU!$H$2:$I$97,2,0)</f>
        <v>#N/A</v>
      </c>
    </row>
    <row r="1128" spans="24:27">
      <c r="X1128" s="8" t="str">
        <f>+IFERROR(VLOOKUP(N1128,[1]Hoja1!$B$2:$F$52,4,0)*P1128,"")</f>
        <v/>
      </c>
      <c r="Y1128" s="8" t="e">
        <f>+VLOOKUP(M1128,[1]SKU!$B$3:$E$81,4,0)</f>
        <v>#N/A</v>
      </c>
      <c r="Z1128" s="8" t="str">
        <f t="shared" si="17"/>
        <v>FLEX</v>
      </c>
      <c r="AA1128" s="8" t="e">
        <f>+VLOOKUP(I1128,[1]SKU!$H$2:$I$97,2,0)</f>
        <v>#N/A</v>
      </c>
    </row>
    <row r="1129" spans="24:27">
      <c r="X1129" s="8" t="str">
        <f>+IFERROR(VLOOKUP(N1129,[1]Hoja1!$B$2:$F$52,4,0)*P1129,"")</f>
        <v/>
      </c>
      <c r="Y1129" s="8" t="e">
        <f>+VLOOKUP(M1129,[1]SKU!$B$3:$E$81,4,0)</f>
        <v>#N/A</v>
      </c>
      <c r="Z1129" s="8" t="str">
        <f t="shared" si="17"/>
        <v>FLEX</v>
      </c>
      <c r="AA1129" s="8" t="e">
        <f>+VLOOKUP(I1129,[1]SKU!$H$2:$I$97,2,0)</f>
        <v>#N/A</v>
      </c>
    </row>
    <row r="1130" spans="24:27">
      <c r="X1130" s="8" t="str">
        <f>+IFERROR(VLOOKUP(N1130,[1]Hoja1!$B$2:$F$52,4,0)*P1130,"")</f>
        <v/>
      </c>
      <c r="Y1130" s="8" t="e">
        <f>+VLOOKUP(M1130,[1]SKU!$B$3:$E$81,4,0)</f>
        <v>#N/A</v>
      </c>
      <c r="Z1130" s="8" t="str">
        <f t="shared" si="17"/>
        <v>FLEX</v>
      </c>
      <c r="AA1130" s="8" t="e">
        <f>+VLOOKUP(I1130,[1]SKU!$H$2:$I$97,2,0)</f>
        <v>#N/A</v>
      </c>
    </row>
    <row r="1131" spans="24:27">
      <c r="X1131" s="8" t="str">
        <f>+IFERROR(VLOOKUP(N1131,[1]Hoja1!$B$2:$F$52,4,0)*P1131,"")</f>
        <v/>
      </c>
      <c r="Y1131" s="8" t="e">
        <f>+VLOOKUP(M1131,[1]SKU!$B$3:$E$81,4,0)</f>
        <v>#N/A</v>
      </c>
      <c r="Z1131" s="8" t="str">
        <f t="shared" si="17"/>
        <v>FLEX</v>
      </c>
      <c r="AA1131" s="8" t="e">
        <f>+VLOOKUP(I1131,[1]SKU!$H$2:$I$97,2,0)</f>
        <v>#N/A</v>
      </c>
    </row>
    <row r="1132" spans="24:27">
      <c r="X1132" s="8" t="str">
        <f>+IFERROR(VLOOKUP(N1132,[1]Hoja1!$B$2:$F$52,4,0)*P1132,"")</f>
        <v/>
      </c>
      <c r="Y1132" s="8" t="e">
        <f>+VLOOKUP(M1132,[1]SKU!$B$3:$E$81,4,0)</f>
        <v>#N/A</v>
      </c>
      <c r="Z1132" s="8" t="str">
        <f t="shared" si="17"/>
        <v>FLEX</v>
      </c>
      <c r="AA1132" s="8" t="e">
        <f>+VLOOKUP(I1132,[1]SKU!$H$2:$I$97,2,0)</f>
        <v>#N/A</v>
      </c>
    </row>
    <row r="1133" spans="24:27">
      <c r="X1133" s="8" t="str">
        <f>+IFERROR(VLOOKUP(N1133,[1]Hoja1!$B$2:$F$52,4,0)*P1133,"")</f>
        <v/>
      </c>
      <c r="Y1133" s="8" t="e">
        <f>+VLOOKUP(M1133,[1]SKU!$B$3:$E$81,4,0)</f>
        <v>#N/A</v>
      </c>
      <c r="Z1133" s="8" t="str">
        <f t="shared" si="17"/>
        <v>FLEX</v>
      </c>
      <c r="AA1133" s="8" t="e">
        <f>+VLOOKUP(I1133,[1]SKU!$H$2:$I$97,2,0)</f>
        <v>#N/A</v>
      </c>
    </row>
    <row r="1134" spans="24:27">
      <c r="X1134" s="8" t="str">
        <f>+IFERROR(VLOOKUP(N1134,[1]Hoja1!$B$2:$F$52,4,0)*P1134,"")</f>
        <v/>
      </c>
      <c r="Y1134" s="8" t="e">
        <f>+VLOOKUP(M1134,[1]SKU!$B$3:$E$81,4,0)</f>
        <v>#N/A</v>
      </c>
      <c r="Z1134" s="8" t="str">
        <f t="shared" si="17"/>
        <v>FLEX</v>
      </c>
      <c r="AA1134" s="8" t="e">
        <f>+VLOOKUP(I1134,[1]SKU!$H$2:$I$97,2,0)</f>
        <v>#N/A</v>
      </c>
    </row>
    <row r="1135" spans="24:27">
      <c r="X1135" s="8" t="str">
        <f>+IFERROR(VLOOKUP(N1135,[1]Hoja1!$B$2:$F$52,4,0)*P1135,"")</f>
        <v/>
      </c>
      <c r="Y1135" s="8" t="e">
        <f>+VLOOKUP(M1135,[1]SKU!$B$3:$E$81,4,0)</f>
        <v>#N/A</v>
      </c>
      <c r="Z1135" s="8" t="str">
        <f t="shared" si="17"/>
        <v>FLEX</v>
      </c>
      <c r="AA1135" s="8" t="e">
        <f>+VLOOKUP(I1135,[1]SKU!$H$2:$I$97,2,0)</f>
        <v>#N/A</v>
      </c>
    </row>
    <row r="1136" spans="24:27">
      <c r="X1136" s="8" t="str">
        <f>+IFERROR(VLOOKUP(N1136,[1]Hoja1!$B$2:$F$52,4,0)*P1136,"")</f>
        <v/>
      </c>
      <c r="Y1136" s="8" t="e">
        <f>+VLOOKUP(M1136,[1]SKU!$B$3:$E$81,4,0)</f>
        <v>#N/A</v>
      </c>
      <c r="Z1136" s="8" t="str">
        <f t="shared" si="17"/>
        <v>FLEX</v>
      </c>
      <c r="AA1136" s="8" t="e">
        <f>+VLOOKUP(I1136,[1]SKU!$H$2:$I$97,2,0)</f>
        <v>#N/A</v>
      </c>
    </row>
    <row r="1137" spans="24:27">
      <c r="X1137" s="8" t="str">
        <f>+IFERROR(VLOOKUP(N1137,[1]Hoja1!$B$2:$F$52,4,0)*P1137,"")</f>
        <v/>
      </c>
      <c r="Y1137" s="8" t="e">
        <f>+VLOOKUP(M1137,[1]SKU!$B$3:$E$81,4,0)</f>
        <v>#N/A</v>
      </c>
      <c r="Z1137" s="8" t="str">
        <f t="shared" si="17"/>
        <v>FLEX</v>
      </c>
      <c r="AA1137" s="8" t="e">
        <f>+VLOOKUP(I1137,[1]SKU!$H$2:$I$97,2,0)</f>
        <v>#N/A</v>
      </c>
    </row>
    <row r="1138" spans="24:27">
      <c r="X1138" s="8" t="str">
        <f>+IFERROR(VLOOKUP(N1138,[1]Hoja1!$B$2:$F$52,4,0)*P1138,"")</f>
        <v/>
      </c>
      <c r="Y1138" s="8" t="e">
        <f>+VLOOKUP(M1138,[1]SKU!$B$3:$E$81,4,0)</f>
        <v>#N/A</v>
      </c>
      <c r="Z1138" s="8" t="str">
        <f t="shared" si="17"/>
        <v>FLEX</v>
      </c>
      <c r="AA1138" s="8" t="e">
        <f>+VLOOKUP(I1138,[1]SKU!$H$2:$I$97,2,0)</f>
        <v>#N/A</v>
      </c>
    </row>
    <row r="1139" spans="24:27">
      <c r="X1139" s="8" t="str">
        <f>+IFERROR(VLOOKUP(N1139,[1]Hoja1!$B$2:$F$52,4,0)*P1139,"")</f>
        <v/>
      </c>
      <c r="Y1139" s="8" t="e">
        <f>+VLOOKUP(M1139,[1]SKU!$B$3:$E$81,4,0)</f>
        <v>#N/A</v>
      </c>
      <c r="Z1139" s="8" t="str">
        <f t="shared" si="17"/>
        <v>FLEX</v>
      </c>
      <c r="AA1139" s="8" t="e">
        <f>+VLOOKUP(I1139,[1]SKU!$H$2:$I$97,2,0)</f>
        <v>#N/A</v>
      </c>
    </row>
    <row r="1140" spans="24:27">
      <c r="X1140" s="8" t="str">
        <f>+IFERROR(VLOOKUP(N1140,[1]Hoja1!$B$2:$F$52,4,0)*P1140,"")</f>
        <v/>
      </c>
      <c r="Y1140" s="8" t="e">
        <f>+VLOOKUP(M1140,[1]SKU!$B$3:$E$81,4,0)</f>
        <v>#N/A</v>
      </c>
      <c r="Z1140" s="8" t="str">
        <f t="shared" si="17"/>
        <v>FLEX</v>
      </c>
      <c r="AA1140" s="8" t="e">
        <f>+VLOOKUP(I1140,[1]SKU!$H$2:$I$97,2,0)</f>
        <v>#N/A</v>
      </c>
    </row>
    <row r="1141" spans="24:27">
      <c r="X1141" s="8" t="str">
        <f>+IFERROR(VLOOKUP(N1141,[1]Hoja1!$B$2:$F$52,4,0)*P1141,"")</f>
        <v/>
      </c>
      <c r="Y1141" s="8" t="e">
        <f>+VLOOKUP(M1141,[1]SKU!$B$3:$E$81,4,0)</f>
        <v>#N/A</v>
      </c>
      <c r="Z1141" s="8" t="str">
        <f t="shared" si="17"/>
        <v>FLEX</v>
      </c>
      <c r="AA1141" s="8" t="e">
        <f>+VLOOKUP(I1141,[1]SKU!$H$2:$I$97,2,0)</f>
        <v>#N/A</v>
      </c>
    </row>
    <row r="1142" spans="24:27">
      <c r="X1142" s="8" t="str">
        <f>+IFERROR(VLOOKUP(N1142,[1]Hoja1!$B$2:$F$52,4,0)*P1142,"")</f>
        <v/>
      </c>
      <c r="Y1142" s="8" t="e">
        <f>+VLOOKUP(M1142,[1]SKU!$B$3:$E$81,4,0)</f>
        <v>#N/A</v>
      </c>
      <c r="Z1142" s="8" t="str">
        <f t="shared" si="17"/>
        <v>FLEX</v>
      </c>
      <c r="AA1142" s="8" t="e">
        <f>+VLOOKUP(I1142,[1]SKU!$H$2:$I$97,2,0)</f>
        <v>#N/A</v>
      </c>
    </row>
    <row r="1143" spans="24:27">
      <c r="X1143" s="8" t="str">
        <f>+IFERROR(VLOOKUP(N1143,[1]Hoja1!$B$2:$F$52,4,0)*P1143,"")</f>
        <v/>
      </c>
      <c r="Y1143" s="8" t="e">
        <f>+VLOOKUP(M1143,[1]SKU!$B$3:$E$81,4,0)</f>
        <v>#N/A</v>
      </c>
      <c r="Z1143" s="8" t="str">
        <f t="shared" si="17"/>
        <v>FLEX</v>
      </c>
      <c r="AA1143" s="8" t="e">
        <f>+VLOOKUP(I1143,[1]SKU!$H$2:$I$97,2,0)</f>
        <v>#N/A</v>
      </c>
    </row>
    <row r="1144" spans="24:27">
      <c r="X1144" s="8" t="str">
        <f>+IFERROR(VLOOKUP(N1144,[1]Hoja1!$B$2:$F$52,4,0)*P1144,"")</f>
        <v/>
      </c>
      <c r="Y1144" s="8" t="e">
        <f>+VLOOKUP(M1144,[1]SKU!$B$3:$E$81,4,0)</f>
        <v>#N/A</v>
      </c>
      <c r="Z1144" s="8" t="str">
        <f t="shared" si="17"/>
        <v>FLEX</v>
      </c>
      <c r="AA1144" s="8" t="e">
        <f>+VLOOKUP(I1144,[1]SKU!$H$2:$I$97,2,0)</f>
        <v>#N/A</v>
      </c>
    </row>
    <row r="1145" spans="24:27">
      <c r="X1145" s="8" t="str">
        <f>+IFERROR(VLOOKUP(N1145,[1]Hoja1!$B$2:$F$52,4,0)*P1145,"")</f>
        <v/>
      </c>
      <c r="Y1145" s="8" t="e">
        <f>+VLOOKUP(M1145,[1]SKU!$B$3:$E$81,4,0)</f>
        <v>#N/A</v>
      </c>
      <c r="Z1145" s="8" t="str">
        <f t="shared" si="17"/>
        <v>FLEX</v>
      </c>
      <c r="AA1145" s="8" t="e">
        <f>+VLOOKUP(I1145,[1]SKU!$H$2:$I$97,2,0)</f>
        <v>#N/A</v>
      </c>
    </row>
    <row r="1146" spans="24:27">
      <c r="X1146" s="8" t="str">
        <f>+IFERROR(VLOOKUP(N1146,[1]Hoja1!$B$2:$F$52,4,0)*P1146,"")</f>
        <v/>
      </c>
      <c r="Y1146" s="8" t="e">
        <f>+VLOOKUP(M1146,[1]SKU!$B$3:$E$81,4,0)</f>
        <v>#N/A</v>
      </c>
      <c r="Z1146" s="8" t="str">
        <f t="shared" si="17"/>
        <v>FLEX</v>
      </c>
      <c r="AA1146" s="8" t="e">
        <f>+VLOOKUP(I1146,[1]SKU!$H$2:$I$97,2,0)</f>
        <v>#N/A</v>
      </c>
    </row>
    <row r="1147" spans="24:27">
      <c r="X1147" s="8" t="str">
        <f>+IFERROR(VLOOKUP(N1147,[1]Hoja1!$B$2:$F$52,4,0)*P1147,"")</f>
        <v/>
      </c>
      <c r="Y1147" s="8" t="e">
        <f>+VLOOKUP(M1147,[1]SKU!$B$3:$E$81,4,0)</f>
        <v>#N/A</v>
      </c>
      <c r="Z1147" s="8" t="str">
        <f t="shared" si="17"/>
        <v>FLEX</v>
      </c>
      <c r="AA1147" s="8" t="e">
        <f>+VLOOKUP(I1147,[1]SKU!$H$2:$I$97,2,0)</f>
        <v>#N/A</v>
      </c>
    </row>
    <row r="1148" spans="24:27">
      <c r="X1148" s="8" t="str">
        <f>+IFERROR(VLOOKUP(N1148,[1]Hoja1!$B$2:$F$52,4,0)*P1148,"")</f>
        <v/>
      </c>
      <c r="Y1148" s="8" t="e">
        <f>+VLOOKUP(M1148,[1]SKU!$B$3:$E$81,4,0)</f>
        <v>#N/A</v>
      </c>
      <c r="Z1148" s="8" t="str">
        <f t="shared" si="17"/>
        <v>FLEX</v>
      </c>
      <c r="AA1148" s="8" t="e">
        <f>+VLOOKUP(I1148,[1]SKU!$H$2:$I$97,2,0)</f>
        <v>#N/A</v>
      </c>
    </row>
    <row r="1149" spans="24:27">
      <c r="X1149" s="8" t="str">
        <f>+IFERROR(VLOOKUP(N1149,[1]Hoja1!$B$2:$F$52,4,0)*P1149,"")</f>
        <v/>
      </c>
      <c r="Y1149" s="8" t="e">
        <f>+VLOOKUP(M1149,[1]SKU!$B$3:$E$81,4,0)</f>
        <v>#N/A</v>
      </c>
      <c r="Z1149" s="8" t="str">
        <f t="shared" si="17"/>
        <v>FLEX</v>
      </c>
      <c r="AA1149" s="8" t="e">
        <f>+VLOOKUP(I1149,[1]SKU!$H$2:$I$97,2,0)</f>
        <v>#N/A</v>
      </c>
    </row>
    <row r="1150" spans="24:27">
      <c r="X1150" s="8" t="str">
        <f>+IFERROR(VLOOKUP(N1150,[1]Hoja1!$B$2:$F$52,4,0)*P1150,"")</f>
        <v/>
      </c>
      <c r="Y1150" s="8" t="e">
        <f>+VLOOKUP(M1150,[1]SKU!$B$3:$E$81,4,0)</f>
        <v>#N/A</v>
      </c>
      <c r="Z1150" s="8" t="str">
        <f t="shared" si="17"/>
        <v>FLEX</v>
      </c>
      <c r="AA1150" s="8" t="e">
        <f>+VLOOKUP(I1150,[1]SKU!$H$2:$I$97,2,0)</f>
        <v>#N/A</v>
      </c>
    </row>
    <row r="1151" spans="24:27">
      <c r="X1151" s="8" t="str">
        <f>+IFERROR(VLOOKUP(N1151,[1]Hoja1!$B$2:$F$52,4,0)*P1151,"")</f>
        <v/>
      </c>
      <c r="Y1151" s="8" t="e">
        <f>+VLOOKUP(M1151,[1]SKU!$B$3:$E$81,4,0)</f>
        <v>#N/A</v>
      </c>
      <c r="Z1151" s="8" t="str">
        <f t="shared" si="17"/>
        <v>FLEX</v>
      </c>
      <c r="AA1151" s="8" t="e">
        <f>+VLOOKUP(I1151,[1]SKU!$H$2:$I$97,2,0)</f>
        <v>#N/A</v>
      </c>
    </row>
    <row r="1152" spans="24:27">
      <c r="X1152" s="8" t="str">
        <f>+IFERROR(VLOOKUP(N1152,[1]Hoja1!$B$2:$F$52,4,0)*P1152,"")</f>
        <v/>
      </c>
      <c r="Y1152" s="8" t="e">
        <f>+VLOOKUP(M1152,[1]SKU!$B$3:$E$81,4,0)</f>
        <v>#N/A</v>
      </c>
      <c r="Z1152" s="8" t="str">
        <f t="shared" si="17"/>
        <v>FLEX</v>
      </c>
      <c r="AA1152" s="8" t="e">
        <f>+VLOOKUP(I1152,[1]SKU!$H$2:$I$97,2,0)</f>
        <v>#N/A</v>
      </c>
    </row>
    <row r="1153" spans="24:27">
      <c r="X1153" s="8" t="str">
        <f>+IFERROR(VLOOKUP(N1153,[1]Hoja1!$B$2:$F$52,4,0)*P1153,"")</f>
        <v/>
      </c>
      <c r="Y1153" s="8" t="e">
        <f>+VLOOKUP(M1153,[1]SKU!$B$3:$E$81,4,0)</f>
        <v>#N/A</v>
      </c>
      <c r="Z1153" s="8" t="str">
        <f t="shared" si="17"/>
        <v>FLEX</v>
      </c>
      <c r="AA1153" s="8" t="e">
        <f>+VLOOKUP(I1153,[1]SKU!$H$2:$I$97,2,0)</f>
        <v>#N/A</v>
      </c>
    </row>
    <row r="1154" spans="24:27">
      <c r="X1154" s="8" t="str">
        <f>+IFERROR(VLOOKUP(N1154,[1]Hoja1!$B$2:$F$52,4,0)*P1154,"")</f>
        <v/>
      </c>
      <c r="Y1154" s="8" t="e">
        <f>+VLOOKUP(M1154,[1]SKU!$B$3:$E$81,4,0)</f>
        <v>#N/A</v>
      </c>
      <c r="Z1154" s="8" t="str">
        <f t="shared" si="17"/>
        <v>FLEX</v>
      </c>
      <c r="AA1154" s="8" t="e">
        <f>+VLOOKUP(I1154,[1]SKU!$H$2:$I$97,2,0)</f>
        <v>#N/A</v>
      </c>
    </row>
    <row r="1155" spans="24:27">
      <c r="X1155" s="8" t="str">
        <f>+IFERROR(VLOOKUP(N1155,[1]Hoja1!$B$2:$F$52,4,0)*P1155,"")</f>
        <v/>
      </c>
      <c r="Y1155" s="8" t="e">
        <f>+VLOOKUP(M1155,[1]SKU!$B$3:$E$81,4,0)</f>
        <v>#N/A</v>
      </c>
      <c r="Z1155" s="8" t="str">
        <f t="shared" ref="Z1155:Z1218" si="18">+IF(J1155="VB01                          ","BEES","FLEX")</f>
        <v>FLEX</v>
      </c>
      <c r="AA1155" s="8" t="e">
        <f>+VLOOKUP(I1155,[1]SKU!$H$2:$I$97,2,0)</f>
        <v>#N/A</v>
      </c>
    </row>
    <row r="1156" spans="24:27">
      <c r="X1156" s="8" t="str">
        <f>+IFERROR(VLOOKUP(N1156,[1]Hoja1!$B$2:$F$52,4,0)*P1156,"")</f>
        <v/>
      </c>
      <c r="Y1156" s="8" t="e">
        <f>+VLOOKUP(M1156,[1]SKU!$B$3:$E$81,4,0)</f>
        <v>#N/A</v>
      </c>
      <c r="Z1156" s="8" t="str">
        <f t="shared" si="18"/>
        <v>FLEX</v>
      </c>
      <c r="AA1156" s="8" t="e">
        <f>+VLOOKUP(I1156,[1]SKU!$H$2:$I$97,2,0)</f>
        <v>#N/A</v>
      </c>
    </row>
    <row r="1157" spans="24:27">
      <c r="X1157" s="8" t="str">
        <f>+IFERROR(VLOOKUP(N1157,[1]Hoja1!$B$2:$F$52,4,0)*P1157,"")</f>
        <v/>
      </c>
      <c r="Y1157" s="8" t="e">
        <f>+VLOOKUP(M1157,[1]SKU!$B$3:$E$81,4,0)</f>
        <v>#N/A</v>
      </c>
      <c r="Z1157" s="8" t="str">
        <f t="shared" si="18"/>
        <v>FLEX</v>
      </c>
      <c r="AA1157" s="8" t="e">
        <f>+VLOOKUP(I1157,[1]SKU!$H$2:$I$97,2,0)</f>
        <v>#N/A</v>
      </c>
    </row>
    <row r="1158" spans="24:27">
      <c r="X1158" s="8" t="str">
        <f>+IFERROR(VLOOKUP(N1158,[1]Hoja1!$B$2:$F$52,4,0)*P1158,"")</f>
        <v/>
      </c>
      <c r="Y1158" s="8" t="e">
        <f>+VLOOKUP(M1158,[1]SKU!$B$3:$E$81,4,0)</f>
        <v>#N/A</v>
      </c>
      <c r="Z1158" s="8" t="str">
        <f t="shared" si="18"/>
        <v>FLEX</v>
      </c>
      <c r="AA1158" s="8" t="e">
        <f>+VLOOKUP(I1158,[1]SKU!$H$2:$I$97,2,0)</f>
        <v>#N/A</v>
      </c>
    </row>
    <row r="1159" spans="24:27">
      <c r="X1159" s="8" t="str">
        <f>+IFERROR(VLOOKUP(N1159,[1]Hoja1!$B$2:$F$52,4,0)*P1159,"")</f>
        <v/>
      </c>
      <c r="Y1159" s="8" t="e">
        <f>+VLOOKUP(M1159,[1]SKU!$B$3:$E$81,4,0)</f>
        <v>#N/A</v>
      </c>
      <c r="Z1159" s="8" t="str">
        <f t="shared" si="18"/>
        <v>FLEX</v>
      </c>
      <c r="AA1159" s="8" t="e">
        <f>+VLOOKUP(I1159,[1]SKU!$H$2:$I$97,2,0)</f>
        <v>#N/A</v>
      </c>
    </row>
    <row r="1160" spans="24:27">
      <c r="X1160" s="8" t="str">
        <f>+IFERROR(VLOOKUP(N1160,[1]Hoja1!$B$2:$F$52,4,0)*P1160,"")</f>
        <v/>
      </c>
      <c r="Y1160" s="8" t="e">
        <f>+VLOOKUP(M1160,[1]SKU!$B$3:$E$81,4,0)</f>
        <v>#N/A</v>
      </c>
      <c r="Z1160" s="8" t="str">
        <f t="shared" si="18"/>
        <v>FLEX</v>
      </c>
      <c r="AA1160" s="8" t="e">
        <f>+VLOOKUP(I1160,[1]SKU!$H$2:$I$97,2,0)</f>
        <v>#N/A</v>
      </c>
    </row>
    <row r="1161" spans="24:27">
      <c r="X1161" s="8" t="str">
        <f>+IFERROR(VLOOKUP(N1161,[1]Hoja1!$B$2:$F$52,4,0)*P1161,"")</f>
        <v/>
      </c>
      <c r="Y1161" s="8" t="e">
        <f>+VLOOKUP(M1161,[1]SKU!$B$3:$E$81,4,0)</f>
        <v>#N/A</v>
      </c>
      <c r="Z1161" s="8" t="str">
        <f t="shared" si="18"/>
        <v>FLEX</v>
      </c>
      <c r="AA1161" s="8" t="e">
        <f>+VLOOKUP(I1161,[1]SKU!$H$2:$I$97,2,0)</f>
        <v>#N/A</v>
      </c>
    </row>
    <row r="1162" spans="24:27">
      <c r="X1162" s="8" t="str">
        <f>+IFERROR(VLOOKUP(N1162,[1]Hoja1!$B$2:$F$52,4,0)*P1162,"")</f>
        <v/>
      </c>
      <c r="Y1162" s="8" t="e">
        <f>+VLOOKUP(M1162,[1]SKU!$B$3:$E$81,4,0)</f>
        <v>#N/A</v>
      </c>
      <c r="Z1162" s="8" t="str">
        <f t="shared" si="18"/>
        <v>FLEX</v>
      </c>
      <c r="AA1162" s="8" t="e">
        <f>+VLOOKUP(I1162,[1]SKU!$H$2:$I$97,2,0)</f>
        <v>#N/A</v>
      </c>
    </row>
    <row r="1163" spans="24:27">
      <c r="X1163" s="8" t="str">
        <f>+IFERROR(VLOOKUP(N1163,[1]Hoja1!$B$2:$F$52,4,0)*P1163,"")</f>
        <v/>
      </c>
      <c r="Y1163" s="8" t="e">
        <f>+VLOOKUP(M1163,[1]SKU!$B$3:$E$81,4,0)</f>
        <v>#N/A</v>
      </c>
      <c r="Z1163" s="8" t="str">
        <f t="shared" si="18"/>
        <v>FLEX</v>
      </c>
      <c r="AA1163" s="8" t="e">
        <f>+VLOOKUP(I1163,[1]SKU!$H$2:$I$97,2,0)</f>
        <v>#N/A</v>
      </c>
    </row>
    <row r="1164" spans="24:27">
      <c r="X1164" s="8" t="str">
        <f>+IFERROR(VLOOKUP(N1164,[1]Hoja1!$B$2:$F$52,4,0)*P1164,"")</f>
        <v/>
      </c>
      <c r="Y1164" s="8" t="e">
        <f>+VLOOKUP(M1164,[1]SKU!$B$3:$E$81,4,0)</f>
        <v>#N/A</v>
      </c>
      <c r="Z1164" s="8" t="str">
        <f t="shared" si="18"/>
        <v>FLEX</v>
      </c>
      <c r="AA1164" s="8" t="e">
        <f>+VLOOKUP(I1164,[1]SKU!$H$2:$I$97,2,0)</f>
        <v>#N/A</v>
      </c>
    </row>
    <row r="1165" spans="24:27">
      <c r="X1165" s="8" t="str">
        <f>+IFERROR(VLOOKUP(N1165,[1]Hoja1!$B$2:$F$52,4,0)*P1165,"")</f>
        <v/>
      </c>
      <c r="Y1165" s="8" t="e">
        <f>+VLOOKUP(M1165,[1]SKU!$B$3:$E$81,4,0)</f>
        <v>#N/A</v>
      </c>
      <c r="Z1165" s="8" t="str">
        <f t="shared" si="18"/>
        <v>FLEX</v>
      </c>
      <c r="AA1165" s="8" t="e">
        <f>+VLOOKUP(I1165,[1]SKU!$H$2:$I$97,2,0)</f>
        <v>#N/A</v>
      </c>
    </row>
    <row r="1166" spans="24:27">
      <c r="X1166" s="8" t="str">
        <f>+IFERROR(VLOOKUP(N1166,[1]Hoja1!$B$2:$F$52,4,0)*P1166,"")</f>
        <v/>
      </c>
      <c r="Y1166" s="8" t="e">
        <f>+VLOOKUP(M1166,[1]SKU!$B$3:$E$81,4,0)</f>
        <v>#N/A</v>
      </c>
      <c r="Z1166" s="8" t="str">
        <f t="shared" si="18"/>
        <v>FLEX</v>
      </c>
      <c r="AA1166" s="8" t="e">
        <f>+VLOOKUP(I1166,[1]SKU!$H$2:$I$97,2,0)</f>
        <v>#N/A</v>
      </c>
    </row>
    <row r="1167" spans="24:27">
      <c r="X1167" s="8" t="str">
        <f>+IFERROR(VLOOKUP(N1167,[1]Hoja1!$B$2:$F$52,4,0)*P1167,"")</f>
        <v/>
      </c>
      <c r="Y1167" s="8" t="e">
        <f>+VLOOKUP(M1167,[1]SKU!$B$3:$E$81,4,0)</f>
        <v>#N/A</v>
      </c>
      <c r="Z1167" s="8" t="str">
        <f t="shared" si="18"/>
        <v>FLEX</v>
      </c>
      <c r="AA1167" s="8" t="e">
        <f>+VLOOKUP(I1167,[1]SKU!$H$2:$I$97,2,0)</f>
        <v>#N/A</v>
      </c>
    </row>
    <row r="1168" spans="24:27">
      <c r="X1168" s="8" t="str">
        <f>+IFERROR(VLOOKUP(N1168,[1]Hoja1!$B$2:$F$52,4,0)*P1168,"")</f>
        <v/>
      </c>
      <c r="Y1168" s="8" t="e">
        <f>+VLOOKUP(M1168,[1]SKU!$B$3:$E$81,4,0)</f>
        <v>#N/A</v>
      </c>
      <c r="Z1168" s="8" t="str">
        <f t="shared" si="18"/>
        <v>FLEX</v>
      </c>
      <c r="AA1168" s="8" t="e">
        <f>+VLOOKUP(I1168,[1]SKU!$H$2:$I$97,2,0)</f>
        <v>#N/A</v>
      </c>
    </row>
    <row r="1169" spans="24:27">
      <c r="X1169" s="8" t="str">
        <f>+IFERROR(VLOOKUP(N1169,[1]Hoja1!$B$2:$F$52,4,0)*P1169,"")</f>
        <v/>
      </c>
      <c r="Y1169" s="8" t="e">
        <f>+VLOOKUP(M1169,[1]SKU!$B$3:$E$81,4,0)</f>
        <v>#N/A</v>
      </c>
      <c r="Z1169" s="8" t="str">
        <f t="shared" si="18"/>
        <v>FLEX</v>
      </c>
      <c r="AA1169" s="8" t="e">
        <f>+VLOOKUP(I1169,[1]SKU!$H$2:$I$97,2,0)</f>
        <v>#N/A</v>
      </c>
    </row>
    <row r="1170" spans="24:27">
      <c r="X1170" s="8" t="str">
        <f>+IFERROR(VLOOKUP(N1170,[1]Hoja1!$B$2:$F$52,4,0)*P1170,"")</f>
        <v/>
      </c>
      <c r="Y1170" s="8" t="e">
        <f>+VLOOKUP(M1170,[1]SKU!$B$3:$E$81,4,0)</f>
        <v>#N/A</v>
      </c>
      <c r="Z1170" s="8" t="str">
        <f t="shared" si="18"/>
        <v>FLEX</v>
      </c>
      <c r="AA1170" s="8" t="e">
        <f>+VLOOKUP(I1170,[1]SKU!$H$2:$I$97,2,0)</f>
        <v>#N/A</v>
      </c>
    </row>
    <row r="1171" spans="24:27">
      <c r="X1171" s="8" t="str">
        <f>+IFERROR(VLOOKUP(N1171,[1]Hoja1!$B$2:$F$52,4,0)*P1171,"")</f>
        <v/>
      </c>
      <c r="Y1171" s="8" t="e">
        <f>+VLOOKUP(M1171,[1]SKU!$B$3:$E$81,4,0)</f>
        <v>#N/A</v>
      </c>
      <c r="Z1171" s="8" t="str">
        <f t="shared" si="18"/>
        <v>FLEX</v>
      </c>
      <c r="AA1171" s="8" t="e">
        <f>+VLOOKUP(I1171,[1]SKU!$H$2:$I$97,2,0)</f>
        <v>#N/A</v>
      </c>
    </row>
    <row r="1172" spans="24:27">
      <c r="X1172" s="8" t="str">
        <f>+IFERROR(VLOOKUP(N1172,[1]Hoja1!$B$2:$F$52,4,0)*P1172,"")</f>
        <v/>
      </c>
      <c r="Y1172" s="8" t="e">
        <f>+VLOOKUP(M1172,[1]SKU!$B$3:$E$81,4,0)</f>
        <v>#N/A</v>
      </c>
      <c r="Z1172" s="8" t="str">
        <f t="shared" si="18"/>
        <v>FLEX</v>
      </c>
      <c r="AA1172" s="8" t="e">
        <f>+VLOOKUP(I1172,[1]SKU!$H$2:$I$97,2,0)</f>
        <v>#N/A</v>
      </c>
    </row>
    <row r="1173" spans="24:27">
      <c r="X1173" s="8" t="str">
        <f>+IFERROR(VLOOKUP(N1173,[1]Hoja1!$B$2:$F$52,4,0)*P1173,"")</f>
        <v/>
      </c>
      <c r="Y1173" s="8" t="e">
        <f>+VLOOKUP(M1173,[1]SKU!$B$3:$E$81,4,0)</f>
        <v>#N/A</v>
      </c>
      <c r="Z1173" s="8" t="str">
        <f t="shared" si="18"/>
        <v>FLEX</v>
      </c>
      <c r="AA1173" s="8" t="e">
        <f>+VLOOKUP(I1173,[1]SKU!$H$2:$I$97,2,0)</f>
        <v>#N/A</v>
      </c>
    </row>
    <row r="1174" spans="24:27">
      <c r="X1174" s="8" t="str">
        <f>+IFERROR(VLOOKUP(N1174,[1]Hoja1!$B$2:$F$52,4,0)*P1174,"")</f>
        <v/>
      </c>
      <c r="Y1174" s="8" t="e">
        <f>+VLOOKUP(M1174,[1]SKU!$B$3:$E$81,4,0)</f>
        <v>#N/A</v>
      </c>
      <c r="Z1174" s="8" t="str">
        <f t="shared" si="18"/>
        <v>FLEX</v>
      </c>
      <c r="AA1174" s="8" t="e">
        <f>+VLOOKUP(I1174,[1]SKU!$H$2:$I$97,2,0)</f>
        <v>#N/A</v>
      </c>
    </row>
    <row r="1175" spans="24:27">
      <c r="X1175" s="8" t="str">
        <f>+IFERROR(VLOOKUP(N1175,[1]Hoja1!$B$2:$F$52,4,0)*P1175,"")</f>
        <v/>
      </c>
      <c r="Y1175" s="8" t="e">
        <f>+VLOOKUP(M1175,[1]SKU!$B$3:$E$81,4,0)</f>
        <v>#N/A</v>
      </c>
      <c r="Z1175" s="8" t="str">
        <f t="shared" si="18"/>
        <v>FLEX</v>
      </c>
      <c r="AA1175" s="8" t="e">
        <f>+VLOOKUP(I1175,[1]SKU!$H$2:$I$97,2,0)</f>
        <v>#N/A</v>
      </c>
    </row>
    <row r="1176" spans="24:27">
      <c r="X1176" s="8" t="str">
        <f>+IFERROR(VLOOKUP(N1176,[1]Hoja1!$B$2:$F$52,4,0)*P1176,"")</f>
        <v/>
      </c>
      <c r="Y1176" s="8" t="e">
        <f>+VLOOKUP(M1176,[1]SKU!$B$3:$E$81,4,0)</f>
        <v>#N/A</v>
      </c>
      <c r="Z1176" s="8" t="str">
        <f t="shared" si="18"/>
        <v>FLEX</v>
      </c>
      <c r="AA1176" s="8" t="e">
        <f>+VLOOKUP(I1176,[1]SKU!$H$2:$I$97,2,0)</f>
        <v>#N/A</v>
      </c>
    </row>
    <row r="1177" spans="24:27">
      <c r="X1177" s="8" t="str">
        <f>+IFERROR(VLOOKUP(N1177,[1]Hoja1!$B$2:$F$52,4,0)*P1177,"")</f>
        <v/>
      </c>
      <c r="Y1177" s="8" t="e">
        <f>+VLOOKUP(M1177,[1]SKU!$B$3:$E$81,4,0)</f>
        <v>#N/A</v>
      </c>
      <c r="Z1177" s="8" t="str">
        <f t="shared" si="18"/>
        <v>FLEX</v>
      </c>
      <c r="AA1177" s="8" t="e">
        <f>+VLOOKUP(I1177,[1]SKU!$H$2:$I$97,2,0)</f>
        <v>#N/A</v>
      </c>
    </row>
    <row r="1178" spans="24:27">
      <c r="X1178" s="8" t="str">
        <f>+IFERROR(VLOOKUP(N1178,[1]Hoja1!$B$2:$F$52,4,0)*P1178,"")</f>
        <v/>
      </c>
      <c r="Y1178" s="8" t="e">
        <f>+VLOOKUP(M1178,[1]SKU!$B$3:$E$81,4,0)</f>
        <v>#N/A</v>
      </c>
      <c r="Z1178" s="8" t="str">
        <f t="shared" si="18"/>
        <v>FLEX</v>
      </c>
      <c r="AA1178" s="8" t="e">
        <f>+VLOOKUP(I1178,[1]SKU!$H$2:$I$97,2,0)</f>
        <v>#N/A</v>
      </c>
    </row>
    <row r="1179" spans="24:27">
      <c r="X1179" s="8" t="str">
        <f>+IFERROR(VLOOKUP(N1179,[1]Hoja1!$B$2:$F$52,4,0)*P1179,"")</f>
        <v/>
      </c>
      <c r="Y1179" s="8" t="e">
        <f>+VLOOKUP(M1179,[1]SKU!$B$3:$E$81,4,0)</f>
        <v>#N/A</v>
      </c>
      <c r="Z1179" s="8" t="str">
        <f t="shared" si="18"/>
        <v>FLEX</v>
      </c>
      <c r="AA1179" s="8" t="e">
        <f>+VLOOKUP(I1179,[1]SKU!$H$2:$I$97,2,0)</f>
        <v>#N/A</v>
      </c>
    </row>
    <row r="1180" spans="24:27">
      <c r="X1180" s="8" t="str">
        <f>+IFERROR(VLOOKUP(N1180,[1]Hoja1!$B$2:$F$52,4,0)*P1180,"")</f>
        <v/>
      </c>
      <c r="Y1180" s="8" t="e">
        <f>+VLOOKUP(M1180,[1]SKU!$B$3:$E$81,4,0)</f>
        <v>#N/A</v>
      </c>
      <c r="Z1180" s="8" t="str">
        <f t="shared" si="18"/>
        <v>FLEX</v>
      </c>
      <c r="AA1180" s="8" t="e">
        <f>+VLOOKUP(I1180,[1]SKU!$H$2:$I$97,2,0)</f>
        <v>#N/A</v>
      </c>
    </row>
    <row r="1181" spans="24:27">
      <c r="X1181" s="8" t="str">
        <f>+IFERROR(VLOOKUP(N1181,[1]Hoja1!$B$2:$F$52,4,0)*P1181,"")</f>
        <v/>
      </c>
      <c r="Y1181" s="8" t="e">
        <f>+VLOOKUP(M1181,[1]SKU!$B$3:$E$81,4,0)</f>
        <v>#N/A</v>
      </c>
      <c r="Z1181" s="8" t="str">
        <f t="shared" si="18"/>
        <v>FLEX</v>
      </c>
      <c r="AA1181" s="8" t="e">
        <f>+VLOOKUP(I1181,[1]SKU!$H$2:$I$97,2,0)</f>
        <v>#N/A</v>
      </c>
    </row>
    <row r="1182" spans="24:27">
      <c r="X1182" s="8" t="str">
        <f>+IFERROR(VLOOKUP(N1182,[1]Hoja1!$B$2:$F$52,4,0)*P1182,"")</f>
        <v/>
      </c>
      <c r="Y1182" s="8" t="e">
        <f>+VLOOKUP(M1182,[1]SKU!$B$3:$E$81,4,0)</f>
        <v>#N/A</v>
      </c>
      <c r="Z1182" s="8" t="str">
        <f t="shared" si="18"/>
        <v>FLEX</v>
      </c>
      <c r="AA1182" s="8" t="e">
        <f>+VLOOKUP(I1182,[1]SKU!$H$2:$I$97,2,0)</f>
        <v>#N/A</v>
      </c>
    </row>
    <row r="1183" spans="24:27">
      <c r="X1183" s="8" t="str">
        <f>+IFERROR(VLOOKUP(N1183,[1]Hoja1!$B$2:$F$52,4,0)*P1183,"")</f>
        <v/>
      </c>
      <c r="Y1183" s="8" t="e">
        <f>+VLOOKUP(M1183,[1]SKU!$B$3:$E$81,4,0)</f>
        <v>#N/A</v>
      </c>
      <c r="Z1183" s="8" t="str">
        <f t="shared" si="18"/>
        <v>FLEX</v>
      </c>
      <c r="AA1183" s="8" t="e">
        <f>+VLOOKUP(I1183,[1]SKU!$H$2:$I$97,2,0)</f>
        <v>#N/A</v>
      </c>
    </row>
    <row r="1184" spans="24:27">
      <c r="X1184" s="8" t="str">
        <f>+IFERROR(VLOOKUP(N1184,[1]Hoja1!$B$2:$F$52,4,0)*P1184,"")</f>
        <v/>
      </c>
      <c r="Y1184" s="8" t="e">
        <f>+VLOOKUP(M1184,[1]SKU!$B$3:$E$81,4,0)</f>
        <v>#N/A</v>
      </c>
      <c r="Z1184" s="8" t="str">
        <f t="shared" si="18"/>
        <v>FLEX</v>
      </c>
      <c r="AA1184" s="8" t="e">
        <f>+VLOOKUP(I1184,[1]SKU!$H$2:$I$97,2,0)</f>
        <v>#N/A</v>
      </c>
    </row>
    <row r="1185" spans="24:27">
      <c r="X1185" s="8" t="str">
        <f>+IFERROR(VLOOKUP(N1185,[1]Hoja1!$B$2:$F$52,4,0)*P1185,"")</f>
        <v/>
      </c>
      <c r="Y1185" s="8" t="e">
        <f>+VLOOKUP(M1185,[1]SKU!$B$3:$E$81,4,0)</f>
        <v>#N/A</v>
      </c>
      <c r="Z1185" s="8" t="str">
        <f t="shared" si="18"/>
        <v>FLEX</v>
      </c>
      <c r="AA1185" s="8" t="e">
        <f>+VLOOKUP(I1185,[1]SKU!$H$2:$I$97,2,0)</f>
        <v>#N/A</v>
      </c>
    </row>
    <row r="1186" spans="24:27">
      <c r="X1186" s="8" t="str">
        <f>+IFERROR(VLOOKUP(N1186,[1]Hoja1!$B$2:$F$52,4,0)*P1186,"")</f>
        <v/>
      </c>
      <c r="Y1186" s="8" t="e">
        <f>+VLOOKUP(M1186,[1]SKU!$B$3:$E$81,4,0)</f>
        <v>#N/A</v>
      </c>
      <c r="Z1186" s="8" t="str">
        <f t="shared" si="18"/>
        <v>FLEX</v>
      </c>
      <c r="AA1186" s="8" t="e">
        <f>+VLOOKUP(I1186,[1]SKU!$H$2:$I$97,2,0)</f>
        <v>#N/A</v>
      </c>
    </row>
    <row r="1187" spans="24:27">
      <c r="X1187" s="8" t="str">
        <f>+IFERROR(VLOOKUP(N1187,[1]Hoja1!$B$2:$F$52,4,0)*P1187,"")</f>
        <v/>
      </c>
      <c r="Y1187" s="8" t="e">
        <f>+VLOOKUP(M1187,[1]SKU!$B$3:$E$81,4,0)</f>
        <v>#N/A</v>
      </c>
      <c r="Z1187" s="8" t="str">
        <f t="shared" si="18"/>
        <v>FLEX</v>
      </c>
      <c r="AA1187" s="8" t="e">
        <f>+VLOOKUP(I1187,[1]SKU!$H$2:$I$97,2,0)</f>
        <v>#N/A</v>
      </c>
    </row>
    <row r="1188" spans="24:27">
      <c r="X1188" s="8" t="str">
        <f>+IFERROR(VLOOKUP(N1188,[1]Hoja1!$B$2:$F$52,4,0)*P1188,"")</f>
        <v/>
      </c>
      <c r="Y1188" s="8" t="e">
        <f>+VLOOKUP(M1188,[1]SKU!$B$3:$E$81,4,0)</f>
        <v>#N/A</v>
      </c>
      <c r="Z1188" s="8" t="str">
        <f t="shared" si="18"/>
        <v>FLEX</v>
      </c>
      <c r="AA1188" s="8" t="e">
        <f>+VLOOKUP(I1188,[1]SKU!$H$2:$I$97,2,0)</f>
        <v>#N/A</v>
      </c>
    </row>
    <row r="1189" spans="24:27">
      <c r="X1189" s="8" t="str">
        <f>+IFERROR(VLOOKUP(N1189,[1]Hoja1!$B$2:$F$52,4,0)*P1189,"")</f>
        <v/>
      </c>
      <c r="Y1189" s="8" t="e">
        <f>+VLOOKUP(M1189,[1]SKU!$B$3:$E$81,4,0)</f>
        <v>#N/A</v>
      </c>
      <c r="Z1189" s="8" t="str">
        <f t="shared" si="18"/>
        <v>FLEX</v>
      </c>
      <c r="AA1189" s="8" t="e">
        <f>+VLOOKUP(I1189,[1]SKU!$H$2:$I$97,2,0)</f>
        <v>#N/A</v>
      </c>
    </row>
    <row r="1190" spans="24:27">
      <c r="X1190" s="8" t="str">
        <f>+IFERROR(VLOOKUP(N1190,[1]Hoja1!$B$2:$F$52,4,0)*P1190,"")</f>
        <v/>
      </c>
      <c r="Y1190" s="8" t="e">
        <f>+VLOOKUP(M1190,[1]SKU!$B$3:$E$81,4,0)</f>
        <v>#N/A</v>
      </c>
      <c r="Z1190" s="8" t="str">
        <f t="shared" si="18"/>
        <v>FLEX</v>
      </c>
      <c r="AA1190" s="8" t="e">
        <f>+VLOOKUP(I1190,[1]SKU!$H$2:$I$97,2,0)</f>
        <v>#N/A</v>
      </c>
    </row>
    <row r="1191" spans="24:27">
      <c r="X1191" s="8" t="str">
        <f>+IFERROR(VLOOKUP(N1191,[1]Hoja1!$B$2:$F$52,4,0)*P1191,"")</f>
        <v/>
      </c>
      <c r="Y1191" s="8" t="e">
        <f>+VLOOKUP(M1191,[1]SKU!$B$3:$E$81,4,0)</f>
        <v>#N/A</v>
      </c>
      <c r="Z1191" s="8" t="str">
        <f t="shared" si="18"/>
        <v>FLEX</v>
      </c>
      <c r="AA1191" s="8" t="e">
        <f>+VLOOKUP(I1191,[1]SKU!$H$2:$I$97,2,0)</f>
        <v>#N/A</v>
      </c>
    </row>
    <row r="1192" spans="24:27">
      <c r="X1192" s="8" t="str">
        <f>+IFERROR(VLOOKUP(N1192,[1]Hoja1!$B$2:$F$52,4,0)*P1192,"")</f>
        <v/>
      </c>
      <c r="Y1192" s="8" t="e">
        <f>+VLOOKUP(M1192,[1]SKU!$B$3:$E$81,4,0)</f>
        <v>#N/A</v>
      </c>
      <c r="Z1192" s="8" t="str">
        <f t="shared" si="18"/>
        <v>FLEX</v>
      </c>
      <c r="AA1192" s="8" t="e">
        <f>+VLOOKUP(I1192,[1]SKU!$H$2:$I$97,2,0)</f>
        <v>#N/A</v>
      </c>
    </row>
    <row r="1193" spans="24:27">
      <c r="X1193" s="8" t="str">
        <f>+IFERROR(VLOOKUP(N1193,[1]Hoja1!$B$2:$F$52,4,0)*P1193,"")</f>
        <v/>
      </c>
      <c r="Y1193" s="8" t="e">
        <f>+VLOOKUP(M1193,[1]SKU!$B$3:$E$81,4,0)</f>
        <v>#N/A</v>
      </c>
      <c r="Z1193" s="8" t="str">
        <f t="shared" si="18"/>
        <v>FLEX</v>
      </c>
      <c r="AA1193" s="8" t="e">
        <f>+VLOOKUP(I1193,[1]SKU!$H$2:$I$97,2,0)</f>
        <v>#N/A</v>
      </c>
    </row>
    <row r="1194" spans="24:27">
      <c r="X1194" s="8" t="str">
        <f>+IFERROR(VLOOKUP(N1194,[1]Hoja1!$B$2:$F$52,4,0)*P1194,"")</f>
        <v/>
      </c>
      <c r="Y1194" s="8" t="e">
        <f>+VLOOKUP(M1194,[1]SKU!$B$3:$E$81,4,0)</f>
        <v>#N/A</v>
      </c>
      <c r="Z1194" s="8" t="str">
        <f t="shared" si="18"/>
        <v>FLEX</v>
      </c>
      <c r="AA1194" s="8" t="e">
        <f>+VLOOKUP(I1194,[1]SKU!$H$2:$I$97,2,0)</f>
        <v>#N/A</v>
      </c>
    </row>
    <row r="1195" spans="24:27">
      <c r="X1195" s="8" t="str">
        <f>+IFERROR(VLOOKUP(N1195,[1]Hoja1!$B$2:$F$52,4,0)*P1195,"")</f>
        <v/>
      </c>
      <c r="Y1195" s="8" t="e">
        <f>+VLOOKUP(M1195,[1]SKU!$B$3:$E$81,4,0)</f>
        <v>#N/A</v>
      </c>
      <c r="Z1195" s="8" t="str">
        <f t="shared" si="18"/>
        <v>FLEX</v>
      </c>
      <c r="AA1195" s="8" t="e">
        <f>+VLOOKUP(I1195,[1]SKU!$H$2:$I$97,2,0)</f>
        <v>#N/A</v>
      </c>
    </row>
    <row r="1196" spans="24:27">
      <c r="X1196" s="8" t="str">
        <f>+IFERROR(VLOOKUP(N1196,[1]Hoja1!$B$2:$F$52,4,0)*P1196,"")</f>
        <v/>
      </c>
      <c r="Y1196" s="8" t="e">
        <f>+VLOOKUP(M1196,[1]SKU!$B$3:$E$81,4,0)</f>
        <v>#N/A</v>
      </c>
      <c r="Z1196" s="8" t="str">
        <f t="shared" si="18"/>
        <v>FLEX</v>
      </c>
      <c r="AA1196" s="8" t="e">
        <f>+VLOOKUP(I1196,[1]SKU!$H$2:$I$97,2,0)</f>
        <v>#N/A</v>
      </c>
    </row>
    <row r="1197" spans="24:27">
      <c r="X1197" s="8" t="str">
        <f>+IFERROR(VLOOKUP(N1197,[1]Hoja1!$B$2:$F$52,4,0)*P1197,"")</f>
        <v/>
      </c>
      <c r="Y1197" s="8" t="e">
        <f>+VLOOKUP(M1197,[1]SKU!$B$3:$E$81,4,0)</f>
        <v>#N/A</v>
      </c>
      <c r="Z1197" s="8" t="str">
        <f t="shared" si="18"/>
        <v>FLEX</v>
      </c>
      <c r="AA1197" s="8" t="e">
        <f>+VLOOKUP(I1197,[1]SKU!$H$2:$I$97,2,0)</f>
        <v>#N/A</v>
      </c>
    </row>
    <row r="1198" spans="24:27">
      <c r="X1198" s="8" t="str">
        <f>+IFERROR(VLOOKUP(N1198,[1]Hoja1!$B$2:$F$52,4,0)*P1198,"")</f>
        <v/>
      </c>
      <c r="Y1198" s="8" t="e">
        <f>+VLOOKUP(M1198,[1]SKU!$B$3:$E$81,4,0)</f>
        <v>#N/A</v>
      </c>
      <c r="Z1198" s="8" t="str">
        <f t="shared" si="18"/>
        <v>FLEX</v>
      </c>
      <c r="AA1198" s="8" t="e">
        <f>+VLOOKUP(I1198,[1]SKU!$H$2:$I$97,2,0)</f>
        <v>#N/A</v>
      </c>
    </row>
    <row r="1199" spans="24:27">
      <c r="X1199" s="8" t="str">
        <f>+IFERROR(VLOOKUP(N1199,[1]Hoja1!$B$2:$F$52,4,0)*P1199,"")</f>
        <v/>
      </c>
      <c r="Y1199" s="8" t="e">
        <f>+VLOOKUP(M1199,[1]SKU!$B$3:$E$81,4,0)</f>
        <v>#N/A</v>
      </c>
      <c r="Z1199" s="8" t="str">
        <f t="shared" si="18"/>
        <v>FLEX</v>
      </c>
      <c r="AA1199" s="8" t="e">
        <f>+VLOOKUP(I1199,[1]SKU!$H$2:$I$97,2,0)</f>
        <v>#N/A</v>
      </c>
    </row>
    <row r="1200" spans="24:27">
      <c r="X1200" s="8" t="str">
        <f>+IFERROR(VLOOKUP(N1200,[1]Hoja1!$B$2:$F$52,4,0)*P1200,"")</f>
        <v/>
      </c>
      <c r="Y1200" s="8" t="e">
        <f>+VLOOKUP(M1200,[1]SKU!$B$3:$E$81,4,0)</f>
        <v>#N/A</v>
      </c>
      <c r="Z1200" s="8" t="str">
        <f t="shared" si="18"/>
        <v>FLEX</v>
      </c>
      <c r="AA1200" s="8" t="e">
        <f>+VLOOKUP(I1200,[1]SKU!$H$2:$I$97,2,0)</f>
        <v>#N/A</v>
      </c>
    </row>
    <row r="1201" spans="24:27">
      <c r="X1201" s="8" t="str">
        <f>+IFERROR(VLOOKUP(N1201,[1]Hoja1!$B$2:$F$52,4,0)*P1201,"")</f>
        <v/>
      </c>
      <c r="Y1201" s="8" t="e">
        <f>+VLOOKUP(M1201,[1]SKU!$B$3:$E$81,4,0)</f>
        <v>#N/A</v>
      </c>
      <c r="Z1201" s="8" t="str">
        <f t="shared" si="18"/>
        <v>FLEX</v>
      </c>
      <c r="AA1201" s="8" t="e">
        <f>+VLOOKUP(I1201,[1]SKU!$H$2:$I$97,2,0)</f>
        <v>#N/A</v>
      </c>
    </row>
    <row r="1202" spans="24:27">
      <c r="X1202" s="8" t="str">
        <f>+IFERROR(VLOOKUP(N1202,[1]Hoja1!$B$2:$F$52,4,0)*P1202,"")</f>
        <v/>
      </c>
      <c r="Y1202" s="8" t="e">
        <f>+VLOOKUP(M1202,[1]SKU!$B$3:$E$81,4,0)</f>
        <v>#N/A</v>
      </c>
      <c r="Z1202" s="8" t="str">
        <f t="shared" si="18"/>
        <v>FLEX</v>
      </c>
      <c r="AA1202" s="8" t="e">
        <f>+VLOOKUP(I1202,[1]SKU!$H$2:$I$97,2,0)</f>
        <v>#N/A</v>
      </c>
    </row>
    <row r="1203" spans="24:27">
      <c r="X1203" s="8" t="str">
        <f>+IFERROR(VLOOKUP(N1203,[1]Hoja1!$B$2:$F$52,4,0)*P1203,"")</f>
        <v/>
      </c>
      <c r="Y1203" s="8" t="e">
        <f>+VLOOKUP(M1203,[1]SKU!$B$3:$E$81,4,0)</f>
        <v>#N/A</v>
      </c>
      <c r="Z1203" s="8" t="str">
        <f t="shared" si="18"/>
        <v>FLEX</v>
      </c>
      <c r="AA1203" s="8" t="e">
        <f>+VLOOKUP(I1203,[1]SKU!$H$2:$I$97,2,0)</f>
        <v>#N/A</v>
      </c>
    </row>
    <row r="1204" spans="24:27">
      <c r="X1204" s="8" t="str">
        <f>+IFERROR(VLOOKUP(N1204,[1]Hoja1!$B$2:$F$52,4,0)*P1204,"")</f>
        <v/>
      </c>
      <c r="Y1204" s="8" t="e">
        <f>+VLOOKUP(M1204,[1]SKU!$B$3:$E$81,4,0)</f>
        <v>#N/A</v>
      </c>
      <c r="Z1204" s="8" t="str">
        <f t="shared" si="18"/>
        <v>FLEX</v>
      </c>
      <c r="AA1204" s="8" t="e">
        <f>+VLOOKUP(I1204,[1]SKU!$H$2:$I$97,2,0)</f>
        <v>#N/A</v>
      </c>
    </row>
    <row r="1205" spans="24:27">
      <c r="X1205" s="8" t="str">
        <f>+IFERROR(VLOOKUP(N1205,[1]Hoja1!$B$2:$F$52,4,0)*P1205,"")</f>
        <v/>
      </c>
      <c r="Y1205" s="8" t="e">
        <f>+VLOOKUP(M1205,[1]SKU!$B$3:$E$81,4,0)</f>
        <v>#N/A</v>
      </c>
      <c r="Z1205" s="8" t="str">
        <f t="shared" si="18"/>
        <v>FLEX</v>
      </c>
      <c r="AA1205" s="8" t="e">
        <f>+VLOOKUP(I1205,[1]SKU!$H$2:$I$97,2,0)</f>
        <v>#N/A</v>
      </c>
    </row>
    <row r="1206" spans="24:27">
      <c r="X1206" s="8" t="str">
        <f>+IFERROR(VLOOKUP(N1206,[1]Hoja1!$B$2:$F$52,4,0)*P1206,"")</f>
        <v/>
      </c>
      <c r="Y1206" s="8" t="e">
        <f>+VLOOKUP(M1206,[1]SKU!$B$3:$E$81,4,0)</f>
        <v>#N/A</v>
      </c>
      <c r="Z1206" s="8" t="str">
        <f t="shared" si="18"/>
        <v>FLEX</v>
      </c>
      <c r="AA1206" s="8" t="e">
        <f>+VLOOKUP(I1206,[1]SKU!$H$2:$I$97,2,0)</f>
        <v>#N/A</v>
      </c>
    </row>
    <row r="1207" spans="24:27">
      <c r="X1207" s="8" t="str">
        <f>+IFERROR(VLOOKUP(N1207,[1]Hoja1!$B$2:$F$52,4,0)*P1207,"")</f>
        <v/>
      </c>
      <c r="Y1207" s="8" t="e">
        <f>+VLOOKUP(M1207,[1]SKU!$B$3:$E$81,4,0)</f>
        <v>#N/A</v>
      </c>
      <c r="Z1207" s="8" t="str">
        <f t="shared" si="18"/>
        <v>FLEX</v>
      </c>
      <c r="AA1207" s="8" t="e">
        <f>+VLOOKUP(I1207,[1]SKU!$H$2:$I$97,2,0)</f>
        <v>#N/A</v>
      </c>
    </row>
    <row r="1208" spans="24:27">
      <c r="X1208" s="8" t="str">
        <f>+IFERROR(VLOOKUP(N1208,[1]Hoja1!$B$2:$F$52,4,0)*P1208,"")</f>
        <v/>
      </c>
      <c r="Y1208" s="8" t="e">
        <f>+VLOOKUP(M1208,[1]SKU!$B$3:$E$81,4,0)</f>
        <v>#N/A</v>
      </c>
      <c r="Z1208" s="8" t="str">
        <f t="shared" si="18"/>
        <v>FLEX</v>
      </c>
      <c r="AA1208" s="8" t="e">
        <f>+VLOOKUP(I1208,[1]SKU!$H$2:$I$97,2,0)</f>
        <v>#N/A</v>
      </c>
    </row>
    <row r="1209" spans="24:27">
      <c r="X1209" s="8" t="str">
        <f>+IFERROR(VLOOKUP(N1209,[1]Hoja1!$B$2:$F$52,4,0)*P1209,"")</f>
        <v/>
      </c>
      <c r="Y1209" s="8" t="e">
        <f>+VLOOKUP(M1209,[1]SKU!$B$3:$E$81,4,0)</f>
        <v>#N/A</v>
      </c>
      <c r="Z1209" s="8" t="str">
        <f t="shared" si="18"/>
        <v>FLEX</v>
      </c>
      <c r="AA1209" s="8" t="e">
        <f>+VLOOKUP(I1209,[1]SKU!$H$2:$I$97,2,0)</f>
        <v>#N/A</v>
      </c>
    </row>
    <row r="1210" spans="24:27">
      <c r="X1210" s="8" t="str">
        <f>+IFERROR(VLOOKUP(N1210,[1]Hoja1!$B$2:$F$52,4,0)*P1210,"")</f>
        <v/>
      </c>
      <c r="Y1210" s="8" t="e">
        <f>+VLOOKUP(M1210,[1]SKU!$B$3:$E$81,4,0)</f>
        <v>#N/A</v>
      </c>
      <c r="Z1210" s="8" t="str">
        <f t="shared" si="18"/>
        <v>FLEX</v>
      </c>
      <c r="AA1210" s="8" t="e">
        <f>+VLOOKUP(I1210,[1]SKU!$H$2:$I$97,2,0)</f>
        <v>#N/A</v>
      </c>
    </row>
    <row r="1211" spans="24:27">
      <c r="X1211" s="8" t="str">
        <f>+IFERROR(VLOOKUP(N1211,[1]Hoja1!$B$2:$F$52,4,0)*P1211,"")</f>
        <v/>
      </c>
      <c r="Y1211" s="8" t="e">
        <f>+VLOOKUP(M1211,[1]SKU!$B$3:$E$81,4,0)</f>
        <v>#N/A</v>
      </c>
      <c r="Z1211" s="8" t="str">
        <f t="shared" si="18"/>
        <v>FLEX</v>
      </c>
      <c r="AA1211" s="8" t="e">
        <f>+VLOOKUP(I1211,[1]SKU!$H$2:$I$97,2,0)</f>
        <v>#N/A</v>
      </c>
    </row>
    <row r="1212" spans="24:27">
      <c r="X1212" s="8" t="str">
        <f>+IFERROR(VLOOKUP(N1212,[1]Hoja1!$B$2:$F$52,4,0)*P1212,"")</f>
        <v/>
      </c>
      <c r="Y1212" s="8" t="e">
        <f>+VLOOKUP(M1212,[1]SKU!$B$3:$E$81,4,0)</f>
        <v>#N/A</v>
      </c>
      <c r="Z1212" s="8" t="str">
        <f t="shared" si="18"/>
        <v>FLEX</v>
      </c>
      <c r="AA1212" s="8" t="e">
        <f>+VLOOKUP(I1212,[1]SKU!$H$2:$I$97,2,0)</f>
        <v>#N/A</v>
      </c>
    </row>
    <row r="1213" spans="24:27">
      <c r="X1213" s="8" t="str">
        <f>+IFERROR(VLOOKUP(N1213,[1]Hoja1!$B$2:$F$52,4,0)*P1213,"")</f>
        <v/>
      </c>
      <c r="Y1213" s="8" t="e">
        <f>+VLOOKUP(M1213,[1]SKU!$B$3:$E$81,4,0)</f>
        <v>#N/A</v>
      </c>
      <c r="Z1213" s="8" t="str">
        <f t="shared" si="18"/>
        <v>FLEX</v>
      </c>
      <c r="AA1213" s="8" t="e">
        <f>+VLOOKUP(I1213,[1]SKU!$H$2:$I$97,2,0)</f>
        <v>#N/A</v>
      </c>
    </row>
    <row r="1214" spans="24:27">
      <c r="X1214" s="8" t="str">
        <f>+IFERROR(VLOOKUP(N1214,[1]Hoja1!$B$2:$F$52,4,0)*P1214,"")</f>
        <v/>
      </c>
      <c r="Y1214" s="8" t="e">
        <f>+VLOOKUP(M1214,[1]SKU!$B$3:$E$81,4,0)</f>
        <v>#N/A</v>
      </c>
      <c r="Z1214" s="8" t="str">
        <f t="shared" si="18"/>
        <v>FLEX</v>
      </c>
      <c r="AA1214" s="8" t="e">
        <f>+VLOOKUP(I1214,[1]SKU!$H$2:$I$97,2,0)</f>
        <v>#N/A</v>
      </c>
    </row>
    <row r="1215" spans="24:27">
      <c r="X1215" s="8" t="str">
        <f>+IFERROR(VLOOKUP(N1215,[1]Hoja1!$B$2:$F$52,4,0)*P1215,"")</f>
        <v/>
      </c>
      <c r="Y1215" s="8" t="e">
        <f>+VLOOKUP(M1215,[1]SKU!$B$3:$E$81,4,0)</f>
        <v>#N/A</v>
      </c>
      <c r="Z1215" s="8" t="str">
        <f t="shared" si="18"/>
        <v>FLEX</v>
      </c>
      <c r="AA1215" s="8" t="e">
        <f>+VLOOKUP(I1215,[1]SKU!$H$2:$I$97,2,0)</f>
        <v>#N/A</v>
      </c>
    </row>
    <row r="1216" spans="24:27">
      <c r="X1216" s="8" t="str">
        <f>+IFERROR(VLOOKUP(N1216,[1]Hoja1!$B$2:$F$52,4,0)*P1216,"")</f>
        <v/>
      </c>
      <c r="Y1216" s="8" t="e">
        <f>+VLOOKUP(M1216,[1]SKU!$B$3:$E$81,4,0)</f>
        <v>#N/A</v>
      </c>
      <c r="Z1216" s="8" t="str">
        <f t="shared" si="18"/>
        <v>FLEX</v>
      </c>
      <c r="AA1216" s="8" t="e">
        <f>+VLOOKUP(I1216,[1]SKU!$H$2:$I$97,2,0)</f>
        <v>#N/A</v>
      </c>
    </row>
    <row r="1217" spans="24:27">
      <c r="X1217" s="8" t="str">
        <f>+IFERROR(VLOOKUP(N1217,[1]Hoja1!$B$2:$F$52,4,0)*P1217,"")</f>
        <v/>
      </c>
      <c r="Y1217" s="8" t="e">
        <f>+VLOOKUP(M1217,[1]SKU!$B$3:$E$81,4,0)</f>
        <v>#N/A</v>
      </c>
      <c r="Z1217" s="8" t="str">
        <f t="shared" si="18"/>
        <v>FLEX</v>
      </c>
      <c r="AA1217" s="8" t="e">
        <f>+VLOOKUP(I1217,[1]SKU!$H$2:$I$97,2,0)</f>
        <v>#N/A</v>
      </c>
    </row>
    <row r="1218" spans="24:27">
      <c r="X1218" s="8" t="str">
        <f>+IFERROR(VLOOKUP(N1218,[1]Hoja1!$B$2:$F$52,4,0)*P1218,"")</f>
        <v/>
      </c>
      <c r="Y1218" s="8" t="e">
        <f>+VLOOKUP(M1218,[1]SKU!$B$3:$E$81,4,0)</f>
        <v>#N/A</v>
      </c>
      <c r="Z1218" s="8" t="str">
        <f t="shared" si="18"/>
        <v>FLEX</v>
      </c>
      <c r="AA1218" s="8" t="e">
        <f>+VLOOKUP(I1218,[1]SKU!$H$2:$I$97,2,0)</f>
        <v>#N/A</v>
      </c>
    </row>
    <row r="1219" spans="24:27">
      <c r="X1219" s="8" t="str">
        <f>+IFERROR(VLOOKUP(N1219,[1]Hoja1!$B$2:$F$52,4,0)*P1219,"")</f>
        <v/>
      </c>
      <c r="Y1219" s="8" t="e">
        <f>+VLOOKUP(M1219,[1]SKU!$B$3:$E$81,4,0)</f>
        <v>#N/A</v>
      </c>
      <c r="Z1219" s="8" t="str">
        <f t="shared" ref="Z1219:Z1282" si="19">+IF(J1219="VB01                          ","BEES","FLEX")</f>
        <v>FLEX</v>
      </c>
      <c r="AA1219" s="8" t="e">
        <f>+VLOOKUP(I1219,[1]SKU!$H$2:$I$97,2,0)</f>
        <v>#N/A</v>
      </c>
    </row>
    <row r="1220" spans="24:27">
      <c r="X1220" s="8" t="str">
        <f>+IFERROR(VLOOKUP(N1220,[1]Hoja1!$B$2:$F$52,4,0)*P1220,"")</f>
        <v/>
      </c>
      <c r="Y1220" s="8" t="e">
        <f>+VLOOKUP(M1220,[1]SKU!$B$3:$E$81,4,0)</f>
        <v>#N/A</v>
      </c>
      <c r="Z1220" s="8" t="str">
        <f t="shared" si="19"/>
        <v>FLEX</v>
      </c>
      <c r="AA1220" s="8" t="e">
        <f>+VLOOKUP(I1220,[1]SKU!$H$2:$I$97,2,0)</f>
        <v>#N/A</v>
      </c>
    </row>
    <row r="1221" spans="24:27">
      <c r="X1221" s="8" t="str">
        <f>+IFERROR(VLOOKUP(N1221,[1]Hoja1!$B$2:$F$52,4,0)*P1221,"")</f>
        <v/>
      </c>
      <c r="Y1221" s="8" t="e">
        <f>+VLOOKUP(M1221,[1]SKU!$B$3:$E$81,4,0)</f>
        <v>#N/A</v>
      </c>
      <c r="Z1221" s="8" t="str">
        <f t="shared" si="19"/>
        <v>FLEX</v>
      </c>
      <c r="AA1221" s="8" t="e">
        <f>+VLOOKUP(I1221,[1]SKU!$H$2:$I$97,2,0)</f>
        <v>#N/A</v>
      </c>
    </row>
    <row r="1222" spans="24:27">
      <c r="X1222" s="8" t="str">
        <f>+IFERROR(VLOOKUP(N1222,[1]Hoja1!$B$2:$F$52,4,0)*P1222,"")</f>
        <v/>
      </c>
      <c r="Y1222" s="8" t="e">
        <f>+VLOOKUP(M1222,[1]SKU!$B$3:$E$81,4,0)</f>
        <v>#N/A</v>
      </c>
      <c r="Z1222" s="8" t="str">
        <f t="shared" si="19"/>
        <v>FLEX</v>
      </c>
      <c r="AA1222" s="8" t="e">
        <f>+VLOOKUP(I1222,[1]SKU!$H$2:$I$97,2,0)</f>
        <v>#N/A</v>
      </c>
    </row>
    <row r="1223" spans="24:27">
      <c r="X1223" s="8" t="str">
        <f>+IFERROR(VLOOKUP(N1223,[1]Hoja1!$B$2:$F$52,4,0)*P1223,"")</f>
        <v/>
      </c>
      <c r="Y1223" s="8" t="e">
        <f>+VLOOKUP(M1223,[1]SKU!$B$3:$E$81,4,0)</f>
        <v>#N/A</v>
      </c>
      <c r="Z1223" s="8" t="str">
        <f t="shared" si="19"/>
        <v>FLEX</v>
      </c>
      <c r="AA1223" s="8" t="e">
        <f>+VLOOKUP(I1223,[1]SKU!$H$2:$I$97,2,0)</f>
        <v>#N/A</v>
      </c>
    </row>
    <row r="1224" spans="24:27">
      <c r="X1224" s="8" t="str">
        <f>+IFERROR(VLOOKUP(N1224,[1]Hoja1!$B$2:$F$52,4,0)*P1224,"")</f>
        <v/>
      </c>
      <c r="Y1224" s="8" t="e">
        <f>+VLOOKUP(M1224,[1]SKU!$B$3:$E$81,4,0)</f>
        <v>#N/A</v>
      </c>
      <c r="Z1224" s="8" t="str">
        <f t="shared" si="19"/>
        <v>FLEX</v>
      </c>
      <c r="AA1224" s="8" t="e">
        <f>+VLOOKUP(I1224,[1]SKU!$H$2:$I$97,2,0)</f>
        <v>#N/A</v>
      </c>
    </row>
    <row r="1225" spans="24:27">
      <c r="X1225" s="8" t="str">
        <f>+IFERROR(VLOOKUP(N1225,[1]Hoja1!$B$2:$F$52,4,0)*P1225,"")</f>
        <v/>
      </c>
      <c r="Y1225" s="8" t="e">
        <f>+VLOOKUP(M1225,[1]SKU!$B$3:$E$81,4,0)</f>
        <v>#N/A</v>
      </c>
      <c r="Z1225" s="8" t="str">
        <f t="shared" si="19"/>
        <v>FLEX</v>
      </c>
      <c r="AA1225" s="8" t="e">
        <f>+VLOOKUP(I1225,[1]SKU!$H$2:$I$97,2,0)</f>
        <v>#N/A</v>
      </c>
    </row>
    <row r="1226" spans="24:27">
      <c r="X1226" s="8" t="str">
        <f>+IFERROR(VLOOKUP(N1226,[1]Hoja1!$B$2:$F$52,4,0)*P1226,"")</f>
        <v/>
      </c>
      <c r="Y1226" s="8" t="e">
        <f>+VLOOKUP(M1226,[1]SKU!$B$3:$E$81,4,0)</f>
        <v>#N/A</v>
      </c>
      <c r="Z1226" s="8" t="str">
        <f t="shared" si="19"/>
        <v>FLEX</v>
      </c>
      <c r="AA1226" s="8" t="e">
        <f>+VLOOKUP(I1226,[1]SKU!$H$2:$I$97,2,0)</f>
        <v>#N/A</v>
      </c>
    </row>
    <row r="1227" spans="24:27">
      <c r="X1227" s="8" t="str">
        <f>+IFERROR(VLOOKUP(N1227,[1]Hoja1!$B$2:$F$52,4,0)*P1227,"")</f>
        <v/>
      </c>
      <c r="Y1227" s="8" t="e">
        <f>+VLOOKUP(M1227,[1]SKU!$B$3:$E$81,4,0)</f>
        <v>#N/A</v>
      </c>
      <c r="Z1227" s="8" t="str">
        <f t="shared" si="19"/>
        <v>FLEX</v>
      </c>
      <c r="AA1227" s="8" t="e">
        <f>+VLOOKUP(I1227,[1]SKU!$H$2:$I$97,2,0)</f>
        <v>#N/A</v>
      </c>
    </row>
    <row r="1228" spans="24:27">
      <c r="X1228" s="8" t="str">
        <f>+IFERROR(VLOOKUP(N1228,[1]Hoja1!$B$2:$F$52,4,0)*P1228,"")</f>
        <v/>
      </c>
      <c r="Y1228" s="8" t="e">
        <f>+VLOOKUP(M1228,[1]SKU!$B$3:$E$81,4,0)</f>
        <v>#N/A</v>
      </c>
      <c r="Z1228" s="8" t="str">
        <f t="shared" si="19"/>
        <v>FLEX</v>
      </c>
      <c r="AA1228" s="8" t="e">
        <f>+VLOOKUP(I1228,[1]SKU!$H$2:$I$97,2,0)</f>
        <v>#N/A</v>
      </c>
    </row>
    <row r="1229" spans="24:27">
      <c r="X1229" s="8" t="str">
        <f>+IFERROR(VLOOKUP(N1229,[1]Hoja1!$B$2:$F$52,4,0)*P1229,"")</f>
        <v/>
      </c>
      <c r="Y1229" s="8" t="e">
        <f>+VLOOKUP(M1229,[1]SKU!$B$3:$E$81,4,0)</f>
        <v>#N/A</v>
      </c>
      <c r="Z1229" s="8" t="str">
        <f t="shared" si="19"/>
        <v>FLEX</v>
      </c>
      <c r="AA1229" s="8" t="e">
        <f>+VLOOKUP(I1229,[1]SKU!$H$2:$I$97,2,0)</f>
        <v>#N/A</v>
      </c>
    </row>
    <row r="1230" spans="24:27">
      <c r="X1230" s="8" t="str">
        <f>+IFERROR(VLOOKUP(N1230,[1]Hoja1!$B$2:$F$52,4,0)*P1230,"")</f>
        <v/>
      </c>
      <c r="Y1230" s="8" t="e">
        <f>+VLOOKUP(M1230,[1]SKU!$B$3:$E$81,4,0)</f>
        <v>#N/A</v>
      </c>
      <c r="Z1230" s="8" t="str">
        <f t="shared" si="19"/>
        <v>FLEX</v>
      </c>
      <c r="AA1230" s="8" t="e">
        <f>+VLOOKUP(I1230,[1]SKU!$H$2:$I$97,2,0)</f>
        <v>#N/A</v>
      </c>
    </row>
    <row r="1231" spans="24:27">
      <c r="X1231" s="8" t="str">
        <f>+IFERROR(VLOOKUP(N1231,[1]Hoja1!$B$2:$F$52,4,0)*P1231,"")</f>
        <v/>
      </c>
      <c r="Y1231" s="8" t="e">
        <f>+VLOOKUP(M1231,[1]SKU!$B$3:$E$81,4,0)</f>
        <v>#N/A</v>
      </c>
      <c r="Z1231" s="8" t="str">
        <f t="shared" si="19"/>
        <v>FLEX</v>
      </c>
      <c r="AA1231" s="8" t="e">
        <f>+VLOOKUP(I1231,[1]SKU!$H$2:$I$97,2,0)</f>
        <v>#N/A</v>
      </c>
    </row>
    <row r="1232" spans="24:27">
      <c r="X1232" s="8" t="str">
        <f>+IFERROR(VLOOKUP(N1232,[1]Hoja1!$B$2:$F$52,4,0)*P1232,"")</f>
        <v/>
      </c>
      <c r="Y1232" s="8" t="e">
        <f>+VLOOKUP(M1232,[1]SKU!$B$3:$E$81,4,0)</f>
        <v>#N/A</v>
      </c>
      <c r="Z1232" s="8" t="str">
        <f t="shared" si="19"/>
        <v>FLEX</v>
      </c>
      <c r="AA1232" s="8" t="e">
        <f>+VLOOKUP(I1232,[1]SKU!$H$2:$I$97,2,0)</f>
        <v>#N/A</v>
      </c>
    </row>
    <row r="1233" spans="24:27">
      <c r="X1233" s="8" t="str">
        <f>+IFERROR(VLOOKUP(N1233,[1]Hoja1!$B$2:$F$52,4,0)*P1233,"")</f>
        <v/>
      </c>
      <c r="Y1233" s="8" t="e">
        <f>+VLOOKUP(M1233,[1]SKU!$B$3:$E$81,4,0)</f>
        <v>#N/A</v>
      </c>
      <c r="Z1233" s="8" t="str">
        <f t="shared" si="19"/>
        <v>FLEX</v>
      </c>
      <c r="AA1233" s="8" t="e">
        <f>+VLOOKUP(I1233,[1]SKU!$H$2:$I$97,2,0)</f>
        <v>#N/A</v>
      </c>
    </row>
    <row r="1234" spans="24:27">
      <c r="X1234" s="8" t="str">
        <f>+IFERROR(VLOOKUP(N1234,[1]Hoja1!$B$2:$F$52,4,0)*P1234,"")</f>
        <v/>
      </c>
      <c r="Y1234" s="8" t="e">
        <f>+VLOOKUP(M1234,[1]SKU!$B$3:$E$81,4,0)</f>
        <v>#N/A</v>
      </c>
      <c r="Z1234" s="8" t="str">
        <f t="shared" si="19"/>
        <v>FLEX</v>
      </c>
      <c r="AA1234" s="8" t="e">
        <f>+VLOOKUP(I1234,[1]SKU!$H$2:$I$97,2,0)</f>
        <v>#N/A</v>
      </c>
    </row>
    <row r="1235" spans="24:27">
      <c r="X1235" s="8" t="str">
        <f>+IFERROR(VLOOKUP(N1235,[1]Hoja1!$B$2:$F$52,4,0)*P1235,"")</f>
        <v/>
      </c>
      <c r="Y1235" s="8" t="e">
        <f>+VLOOKUP(M1235,[1]SKU!$B$3:$E$81,4,0)</f>
        <v>#N/A</v>
      </c>
      <c r="Z1235" s="8" t="str">
        <f t="shared" si="19"/>
        <v>FLEX</v>
      </c>
      <c r="AA1235" s="8" t="e">
        <f>+VLOOKUP(I1235,[1]SKU!$H$2:$I$97,2,0)</f>
        <v>#N/A</v>
      </c>
    </row>
    <row r="1236" spans="24:27">
      <c r="X1236" s="8" t="str">
        <f>+IFERROR(VLOOKUP(N1236,[1]Hoja1!$B$2:$F$52,4,0)*P1236,"")</f>
        <v/>
      </c>
      <c r="Y1236" s="8" t="e">
        <f>+VLOOKUP(M1236,[1]SKU!$B$3:$E$81,4,0)</f>
        <v>#N/A</v>
      </c>
      <c r="Z1236" s="8" t="str">
        <f t="shared" si="19"/>
        <v>FLEX</v>
      </c>
      <c r="AA1236" s="8" t="e">
        <f>+VLOOKUP(I1236,[1]SKU!$H$2:$I$97,2,0)</f>
        <v>#N/A</v>
      </c>
    </row>
    <row r="1237" spans="24:27">
      <c r="X1237" s="8" t="str">
        <f>+IFERROR(VLOOKUP(N1237,[1]Hoja1!$B$2:$F$52,4,0)*P1237,"")</f>
        <v/>
      </c>
      <c r="Y1237" s="8" t="e">
        <f>+VLOOKUP(M1237,[1]SKU!$B$3:$E$81,4,0)</f>
        <v>#N/A</v>
      </c>
      <c r="Z1237" s="8" t="str">
        <f t="shared" si="19"/>
        <v>FLEX</v>
      </c>
      <c r="AA1237" s="8" t="e">
        <f>+VLOOKUP(I1237,[1]SKU!$H$2:$I$97,2,0)</f>
        <v>#N/A</v>
      </c>
    </row>
    <row r="1238" spans="24:27">
      <c r="X1238" s="8" t="str">
        <f>+IFERROR(VLOOKUP(N1238,[1]Hoja1!$B$2:$F$52,4,0)*P1238,"")</f>
        <v/>
      </c>
      <c r="Y1238" s="8" t="e">
        <f>+VLOOKUP(M1238,[1]SKU!$B$3:$E$81,4,0)</f>
        <v>#N/A</v>
      </c>
      <c r="Z1238" s="8" t="str">
        <f t="shared" si="19"/>
        <v>FLEX</v>
      </c>
      <c r="AA1238" s="8" t="e">
        <f>+VLOOKUP(I1238,[1]SKU!$H$2:$I$97,2,0)</f>
        <v>#N/A</v>
      </c>
    </row>
    <row r="1239" spans="24:27">
      <c r="X1239" s="8" t="str">
        <f>+IFERROR(VLOOKUP(N1239,[1]Hoja1!$B$2:$F$52,4,0)*P1239,"")</f>
        <v/>
      </c>
      <c r="Y1239" s="8" t="e">
        <f>+VLOOKUP(M1239,[1]SKU!$B$3:$E$81,4,0)</f>
        <v>#N/A</v>
      </c>
      <c r="Z1239" s="8" t="str">
        <f t="shared" si="19"/>
        <v>FLEX</v>
      </c>
      <c r="AA1239" s="8" t="e">
        <f>+VLOOKUP(I1239,[1]SKU!$H$2:$I$97,2,0)</f>
        <v>#N/A</v>
      </c>
    </row>
    <row r="1240" spans="24:27">
      <c r="X1240" s="8" t="str">
        <f>+IFERROR(VLOOKUP(N1240,[1]Hoja1!$B$2:$F$52,4,0)*P1240,"")</f>
        <v/>
      </c>
      <c r="Y1240" s="8" t="e">
        <f>+VLOOKUP(M1240,[1]SKU!$B$3:$E$81,4,0)</f>
        <v>#N/A</v>
      </c>
      <c r="Z1240" s="8" t="str">
        <f t="shared" si="19"/>
        <v>FLEX</v>
      </c>
      <c r="AA1240" s="8" t="e">
        <f>+VLOOKUP(I1240,[1]SKU!$H$2:$I$97,2,0)</f>
        <v>#N/A</v>
      </c>
    </row>
    <row r="1241" spans="24:27">
      <c r="X1241" s="8" t="str">
        <f>+IFERROR(VLOOKUP(N1241,[1]Hoja1!$B$2:$F$52,4,0)*P1241,"")</f>
        <v/>
      </c>
      <c r="Y1241" s="8" t="e">
        <f>+VLOOKUP(M1241,[1]SKU!$B$3:$E$81,4,0)</f>
        <v>#N/A</v>
      </c>
      <c r="Z1241" s="8" t="str">
        <f t="shared" si="19"/>
        <v>FLEX</v>
      </c>
      <c r="AA1241" s="8" t="e">
        <f>+VLOOKUP(I1241,[1]SKU!$H$2:$I$97,2,0)</f>
        <v>#N/A</v>
      </c>
    </row>
    <row r="1242" spans="24:27">
      <c r="X1242" s="8" t="str">
        <f>+IFERROR(VLOOKUP(N1242,[1]Hoja1!$B$2:$F$52,4,0)*P1242,"")</f>
        <v/>
      </c>
      <c r="Y1242" s="8" t="e">
        <f>+VLOOKUP(M1242,[1]SKU!$B$3:$E$81,4,0)</f>
        <v>#N/A</v>
      </c>
      <c r="Z1242" s="8" t="str">
        <f t="shared" si="19"/>
        <v>FLEX</v>
      </c>
      <c r="AA1242" s="8" t="e">
        <f>+VLOOKUP(I1242,[1]SKU!$H$2:$I$97,2,0)</f>
        <v>#N/A</v>
      </c>
    </row>
    <row r="1243" spans="24:27">
      <c r="X1243" s="8" t="str">
        <f>+IFERROR(VLOOKUP(N1243,[1]Hoja1!$B$2:$F$52,4,0)*P1243,"")</f>
        <v/>
      </c>
      <c r="Y1243" s="8" t="e">
        <f>+VLOOKUP(M1243,[1]SKU!$B$3:$E$81,4,0)</f>
        <v>#N/A</v>
      </c>
      <c r="Z1243" s="8" t="str">
        <f t="shared" si="19"/>
        <v>FLEX</v>
      </c>
      <c r="AA1243" s="8" t="e">
        <f>+VLOOKUP(I1243,[1]SKU!$H$2:$I$97,2,0)</f>
        <v>#N/A</v>
      </c>
    </row>
    <row r="1244" spans="24:27">
      <c r="X1244" s="8" t="str">
        <f>+IFERROR(VLOOKUP(N1244,[1]Hoja1!$B$2:$F$52,4,0)*P1244,"")</f>
        <v/>
      </c>
      <c r="Y1244" s="8" t="e">
        <f>+VLOOKUP(M1244,[1]SKU!$B$3:$E$81,4,0)</f>
        <v>#N/A</v>
      </c>
      <c r="Z1244" s="8" t="str">
        <f t="shared" si="19"/>
        <v>FLEX</v>
      </c>
      <c r="AA1244" s="8" t="e">
        <f>+VLOOKUP(I1244,[1]SKU!$H$2:$I$97,2,0)</f>
        <v>#N/A</v>
      </c>
    </row>
    <row r="1245" spans="24:27">
      <c r="X1245" s="8" t="str">
        <f>+IFERROR(VLOOKUP(N1245,[1]Hoja1!$B$2:$F$52,4,0)*P1245,"")</f>
        <v/>
      </c>
      <c r="Y1245" s="8" t="e">
        <f>+VLOOKUP(M1245,[1]SKU!$B$3:$E$81,4,0)</f>
        <v>#N/A</v>
      </c>
      <c r="Z1245" s="8" t="str">
        <f t="shared" si="19"/>
        <v>FLEX</v>
      </c>
      <c r="AA1245" s="8" t="e">
        <f>+VLOOKUP(I1245,[1]SKU!$H$2:$I$97,2,0)</f>
        <v>#N/A</v>
      </c>
    </row>
    <row r="1246" spans="24:27">
      <c r="X1246" s="8" t="str">
        <f>+IFERROR(VLOOKUP(N1246,[1]Hoja1!$B$2:$F$52,4,0)*P1246,"")</f>
        <v/>
      </c>
      <c r="Y1246" s="8" t="e">
        <f>+VLOOKUP(M1246,[1]SKU!$B$3:$E$81,4,0)</f>
        <v>#N/A</v>
      </c>
      <c r="Z1246" s="8" t="str">
        <f t="shared" si="19"/>
        <v>FLEX</v>
      </c>
      <c r="AA1246" s="8" t="e">
        <f>+VLOOKUP(I1246,[1]SKU!$H$2:$I$97,2,0)</f>
        <v>#N/A</v>
      </c>
    </row>
    <row r="1247" spans="24:27">
      <c r="X1247" s="8" t="str">
        <f>+IFERROR(VLOOKUP(N1247,[1]Hoja1!$B$2:$F$52,4,0)*P1247,"")</f>
        <v/>
      </c>
      <c r="Y1247" s="8" t="e">
        <f>+VLOOKUP(M1247,[1]SKU!$B$3:$E$81,4,0)</f>
        <v>#N/A</v>
      </c>
      <c r="Z1247" s="8" t="str">
        <f t="shared" si="19"/>
        <v>FLEX</v>
      </c>
      <c r="AA1247" s="8" t="e">
        <f>+VLOOKUP(I1247,[1]SKU!$H$2:$I$97,2,0)</f>
        <v>#N/A</v>
      </c>
    </row>
    <row r="1248" spans="24:27">
      <c r="X1248" s="8" t="str">
        <f>+IFERROR(VLOOKUP(N1248,[1]Hoja1!$B$2:$F$52,4,0)*P1248,"")</f>
        <v/>
      </c>
      <c r="Y1248" s="8" t="e">
        <f>+VLOOKUP(M1248,[1]SKU!$B$3:$E$81,4,0)</f>
        <v>#N/A</v>
      </c>
      <c r="Z1248" s="8" t="str">
        <f t="shared" si="19"/>
        <v>FLEX</v>
      </c>
      <c r="AA1248" s="8" t="e">
        <f>+VLOOKUP(I1248,[1]SKU!$H$2:$I$97,2,0)</f>
        <v>#N/A</v>
      </c>
    </row>
    <row r="1249" spans="24:27">
      <c r="X1249" s="8" t="str">
        <f>+IFERROR(VLOOKUP(N1249,[1]Hoja1!$B$2:$F$52,4,0)*P1249,"")</f>
        <v/>
      </c>
      <c r="Y1249" s="8" t="e">
        <f>+VLOOKUP(M1249,[1]SKU!$B$3:$E$81,4,0)</f>
        <v>#N/A</v>
      </c>
      <c r="Z1249" s="8" t="str">
        <f t="shared" si="19"/>
        <v>FLEX</v>
      </c>
      <c r="AA1249" s="8" t="e">
        <f>+VLOOKUP(I1249,[1]SKU!$H$2:$I$97,2,0)</f>
        <v>#N/A</v>
      </c>
    </row>
    <row r="1250" spans="24:27">
      <c r="X1250" s="8" t="str">
        <f>+IFERROR(VLOOKUP(N1250,[1]Hoja1!$B$2:$F$52,4,0)*P1250,"")</f>
        <v/>
      </c>
      <c r="Y1250" s="8" t="e">
        <f>+VLOOKUP(M1250,[1]SKU!$B$3:$E$81,4,0)</f>
        <v>#N/A</v>
      </c>
      <c r="Z1250" s="8" t="str">
        <f t="shared" si="19"/>
        <v>FLEX</v>
      </c>
      <c r="AA1250" s="8" t="e">
        <f>+VLOOKUP(I1250,[1]SKU!$H$2:$I$97,2,0)</f>
        <v>#N/A</v>
      </c>
    </row>
    <row r="1251" spans="24:27">
      <c r="X1251" s="8" t="str">
        <f>+IFERROR(VLOOKUP(N1251,[1]Hoja1!$B$2:$F$52,4,0)*P1251,"")</f>
        <v/>
      </c>
      <c r="Y1251" s="8" t="e">
        <f>+VLOOKUP(M1251,[1]SKU!$B$3:$E$81,4,0)</f>
        <v>#N/A</v>
      </c>
      <c r="Z1251" s="8" t="str">
        <f t="shared" si="19"/>
        <v>FLEX</v>
      </c>
      <c r="AA1251" s="8" t="e">
        <f>+VLOOKUP(I1251,[1]SKU!$H$2:$I$97,2,0)</f>
        <v>#N/A</v>
      </c>
    </row>
    <row r="1252" spans="24:27">
      <c r="X1252" s="8" t="str">
        <f>+IFERROR(VLOOKUP(N1252,[1]Hoja1!$B$2:$F$52,4,0)*P1252,"")</f>
        <v/>
      </c>
      <c r="Y1252" s="8" t="e">
        <f>+VLOOKUP(M1252,[1]SKU!$B$3:$E$81,4,0)</f>
        <v>#N/A</v>
      </c>
      <c r="Z1252" s="8" t="str">
        <f t="shared" si="19"/>
        <v>FLEX</v>
      </c>
      <c r="AA1252" s="8" t="e">
        <f>+VLOOKUP(I1252,[1]SKU!$H$2:$I$97,2,0)</f>
        <v>#N/A</v>
      </c>
    </row>
    <row r="1253" spans="24:27">
      <c r="X1253" s="8" t="str">
        <f>+IFERROR(VLOOKUP(N1253,[1]Hoja1!$B$2:$F$52,4,0)*P1253,"")</f>
        <v/>
      </c>
      <c r="Y1253" s="8" t="e">
        <f>+VLOOKUP(M1253,[1]SKU!$B$3:$E$81,4,0)</f>
        <v>#N/A</v>
      </c>
      <c r="Z1253" s="8" t="str">
        <f t="shared" si="19"/>
        <v>FLEX</v>
      </c>
      <c r="AA1253" s="8" t="e">
        <f>+VLOOKUP(I1253,[1]SKU!$H$2:$I$97,2,0)</f>
        <v>#N/A</v>
      </c>
    </row>
    <row r="1254" spans="24:27">
      <c r="X1254" s="8" t="str">
        <f>+IFERROR(VLOOKUP(N1254,[1]Hoja1!$B$2:$F$52,4,0)*P1254,"")</f>
        <v/>
      </c>
      <c r="Y1254" s="8" t="e">
        <f>+VLOOKUP(M1254,[1]SKU!$B$3:$E$81,4,0)</f>
        <v>#N/A</v>
      </c>
      <c r="Z1254" s="8" t="str">
        <f t="shared" si="19"/>
        <v>FLEX</v>
      </c>
      <c r="AA1254" s="8" t="e">
        <f>+VLOOKUP(I1254,[1]SKU!$H$2:$I$97,2,0)</f>
        <v>#N/A</v>
      </c>
    </row>
    <row r="1255" spans="24:27">
      <c r="X1255" s="8" t="str">
        <f>+IFERROR(VLOOKUP(N1255,[1]Hoja1!$B$2:$F$52,4,0)*P1255,"")</f>
        <v/>
      </c>
      <c r="Y1255" s="8" t="e">
        <f>+VLOOKUP(M1255,[1]SKU!$B$3:$E$81,4,0)</f>
        <v>#N/A</v>
      </c>
      <c r="Z1255" s="8" t="str">
        <f t="shared" si="19"/>
        <v>FLEX</v>
      </c>
      <c r="AA1255" s="8" t="e">
        <f>+VLOOKUP(I1255,[1]SKU!$H$2:$I$97,2,0)</f>
        <v>#N/A</v>
      </c>
    </row>
    <row r="1256" spans="24:27">
      <c r="X1256" s="8" t="str">
        <f>+IFERROR(VLOOKUP(N1256,[1]Hoja1!$B$2:$F$52,4,0)*P1256,"")</f>
        <v/>
      </c>
      <c r="Y1256" s="8" t="e">
        <f>+VLOOKUP(M1256,[1]SKU!$B$3:$E$81,4,0)</f>
        <v>#N/A</v>
      </c>
      <c r="Z1256" s="8" t="str">
        <f t="shared" si="19"/>
        <v>FLEX</v>
      </c>
      <c r="AA1256" s="8" t="e">
        <f>+VLOOKUP(I1256,[1]SKU!$H$2:$I$97,2,0)</f>
        <v>#N/A</v>
      </c>
    </row>
    <row r="1257" spans="24:27">
      <c r="X1257" s="8" t="str">
        <f>+IFERROR(VLOOKUP(N1257,[1]Hoja1!$B$2:$F$52,4,0)*P1257,"")</f>
        <v/>
      </c>
      <c r="Y1257" s="8" t="e">
        <f>+VLOOKUP(M1257,[1]SKU!$B$3:$E$81,4,0)</f>
        <v>#N/A</v>
      </c>
      <c r="Z1257" s="8" t="str">
        <f t="shared" si="19"/>
        <v>FLEX</v>
      </c>
      <c r="AA1257" s="8" t="e">
        <f>+VLOOKUP(I1257,[1]SKU!$H$2:$I$97,2,0)</f>
        <v>#N/A</v>
      </c>
    </row>
    <row r="1258" spans="24:27">
      <c r="X1258" s="8" t="str">
        <f>+IFERROR(VLOOKUP(N1258,[1]Hoja1!$B$2:$F$52,4,0)*P1258,"")</f>
        <v/>
      </c>
      <c r="Y1258" s="8" t="e">
        <f>+VLOOKUP(M1258,[1]SKU!$B$3:$E$81,4,0)</f>
        <v>#N/A</v>
      </c>
      <c r="Z1258" s="8" t="str">
        <f t="shared" si="19"/>
        <v>FLEX</v>
      </c>
      <c r="AA1258" s="8" t="e">
        <f>+VLOOKUP(I1258,[1]SKU!$H$2:$I$97,2,0)</f>
        <v>#N/A</v>
      </c>
    </row>
    <row r="1259" spans="24:27">
      <c r="X1259" s="8" t="str">
        <f>+IFERROR(VLOOKUP(N1259,[1]Hoja1!$B$2:$F$52,4,0)*P1259,"")</f>
        <v/>
      </c>
      <c r="Y1259" s="8" t="e">
        <f>+VLOOKUP(M1259,[1]SKU!$B$3:$E$81,4,0)</f>
        <v>#N/A</v>
      </c>
      <c r="Z1259" s="8" t="str">
        <f t="shared" si="19"/>
        <v>FLEX</v>
      </c>
      <c r="AA1259" s="8" t="e">
        <f>+VLOOKUP(I1259,[1]SKU!$H$2:$I$97,2,0)</f>
        <v>#N/A</v>
      </c>
    </row>
    <row r="1260" spans="24:27">
      <c r="X1260" s="8" t="str">
        <f>+IFERROR(VLOOKUP(N1260,[1]Hoja1!$B$2:$F$52,4,0)*P1260,"")</f>
        <v/>
      </c>
      <c r="Y1260" s="8" t="e">
        <f>+VLOOKUP(M1260,[1]SKU!$B$3:$E$81,4,0)</f>
        <v>#N/A</v>
      </c>
      <c r="Z1260" s="8" t="str">
        <f t="shared" si="19"/>
        <v>FLEX</v>
      </c>
      <c r="AA1260" s="8" t="e">
        <f>+VLOOKUP(I1260,[1]SKU!$H$2:$I$97,2,0)</f>
        <v>#N/A</v>
      </c>
    </row>
    <row r="1261" spans="24:27">
      <c r="X1261" s="8" t="str">
        <f>+IFERROR(VLOOKUP(N1261,[1]Hoja1!$B$2:$F$52,4,0)*P1261,"")</f>
        <v/>
      </c>
      <c r="Y1261" s="8" t="e">
        <f>+VLOOKUP(M1261,[1]SKU!$B$3:$E$81,4,0)</f>
        <v>#N/A</v>
      </c>
      <c r="Z1261" s="8" t="str">
        <f t="shared" si="19"/>
        <v>FLEX</v>
      </c>
      <c r="AA1261" s="8" t="e">
        <f>+VLOOKUP(I1261,[1]SKU!$H$2:$I$97,2,0)</f>
        <v>#N/A</v>
      </c>
    </row>
    <row r="1262" spans="24:27">
      <c r="X1262" s="8" t="str">
        <f>+IFERROR(VLOOKUP(N1262,[1]Hoja1!$B$2:$F$52,4,0)*P1262,"")</f>
        <v/>
      </c>
      <c r="Y1262" s="8" t="e">
        <f>+VLOOKUP(M1262,[1]SKU!$B$3:$E$81,4,0)</f>
        <v>#N/A</v>
      </c>
      <c r="Z1262" s="8" t="str">
        <f t="shared" si="19"/>
        <v>FLEX</v>
      </c>
      <c r="AA1262" s="8" t="e">
        <f>+VLOOKUP(I1262,[1]SKU!$H$2:$I$97,2,0)</f>
        <v>#N/A</v>
      </c>
    </row>
    <row r="1263" spans="24:27">
      <c r="X1263" s="8" t="str">
        <f>+IFERROR(VLOOKUP(N1263,[1]Hoja1!$B$2:$F$52,4,0)*P1263,"")</f>
        <v/>
      </c>
      <c r="Y1263" s="8" t="e">
        <f>+VLOOKUP(M1263,[1]SKU!$B$3:$E$81,4,0)</f>
        <v>#N/A</v>
      </c>
      <c r="Z1263" s="8" t="str">
        <f t="shared" si="19"/>
        <v>FLEX</v>
      </c>
      <c r="AA1263" s="8" t="e">
        <f>+VLOOKUP(I1263,[1]SKU!$H$2:$I$97,2,0)</f>
        <v>#N/A</v>
      </c>
    </row>
    <row r="1264" spans="24:27">
      <c r="X1264" s="8" t="str">
        <f>+IFERROR(VLOOKUP(N1264,[1]Hoja1!$B$2:$F$52,4,0)*P1264,"")</f>
        <v/>
      </c>
      <c r="Y1264" s="8" t="e">
        <f>+VLOOKUP(M1264,[1]SKU!$B$3:$E$81,4,0)</f>
        <v>#N/A</v>
      </c>
      <c r="Z1264" s="8" t="str">
        <f t="shared" si="19"/>
        <v>FLEX</v>
      </c>
      <c r="AA1264" s="8" t="e">
        <f>+VLOOKUP(I1264,[1]SKU!$H$2:$I$97,2,0)</f>
        <v>#N/A</v>
      </c>
    </row>
    <row r="1265" spans="24:27">
      <c r="X1265" s="8" t="str">
        <f>+IFERROR(VLOOKUP(N1265,[1]Hoja1!$B$2:$F$52,4,0)*P1265,"")</f>
        <v/>
      </c>
      <c r="Y1265" s="8" t="e">
        <f>+VLOOKUP(M1265,[1]SKU!$B$3:$E$81,4,0)</f>
        <v>#N/A</v>
      </c>
      <c r="Z1265" s="8" t="str">
        <f t="shared" si="19"/>
        <v>FLEX</v>
      </c>
      <c r="AA1265" s="8" t="e">
        <f>+VLOOKUP(I1265,[1]SKU!$H$2:$I$97,2,0)</f>
        <v>#N/A</v>
      </c>
    </row>
    <row r="1266" spans="24:27">
      <c r="X1266" s="8" t="str">
        <f>+IFERROR(VLOOKUP(N1266,[1]Hoja1!$B$2:$F$52,4,0)*P1266,"")</f>
        <v/>
      </c>
      <c r="Y1266" s="8" t="e">
        <f>+VLOOKUP(M1266,[1]SKU!$B$3:$E$81,4,0)</f>
        <v>#N/A</v>
      </c>
      <c r="Z1266" s="8" t="str">
        <f t="shared" si="19"/>
        <v>FLEX</v>
      </c>
      <c r="AA1266" s="8" t="e">
        <f>+VLOOKUP(I1266,[1]SKU!$H$2:$I$97,2,0)</f>
        <v>#N/A</v>
      </c>
    </row>
    <row r="1267" spans="24:27">
      <c r="X1267" s="8" t="str">
        <f>+IFERROR(VLOOKUP(N1267,[1]Hoja1!$B$2:$F$52,4,0)*P1267,"")</f>
        <v/>
      </c>
      <c r="Y1267" s="8" t="e">
        <f>+VLOOKUP(M1267,[1]SKU!$B$3:$E$81,4,0)</f>
        <v>#N/A</v>
      </c>
      <c r="Z1267" s="8" t="str">
        <f t="shared" si="19"/>
        <v>FLEX</v>
      </c>
      <c r="AA1267" s="8" t="e">
        <f>+VLOOKUP(I1267,[1]SKU!$H$2:$I$97,2,0)</f>
        <v>#N/A</v>
      </c>
    </row>
    <row r="1268" spans="24:27">
      <c r="X1268" s="8" t="str">
        <f>+IFERROR(VLOOKUP(N1268,[1]Hoja1!$B$2:$F$52,4,0)*P1268,"")</f>
        <v/>
      </c>
      <c r="Y1268" s="8" t="e">
        <f>+VLOOKUP(M1268,[1]SKU!$B$3:$E$81,4,0)</f>
        <v>#N/A</v>
      </c>
      <c r="Z1268" s="8" t="str">
        <f t="shared" si="19"/>
        <v>FLEX</v>
      </c>
      <c r="AA1268" s="8" t="e">
        <f>+VLOOKUP(I1268,[1]SKU!$H$2:$I$97,2,0)</f>
        <v>#N/A</v>
      </c>
    </row>
    <row r="1269" spans="24:27">
      <c r="X1269" s="8" t="str">
        <f>+IFERROR(VLOOKUP(N1269,[1]Hoja1!$B$2:$F$52,4,0)*P1269,"")</f>
        <v/>
      </c>
      <c r="Y1269" s="8" t="e">
        <f>+VLOOKUP(M1269,[1]SKU!$B$3:$E$81,4,0)</f>
        <v>#N/A</v>
      </c>
      <c r="Z1269" s="8" t="str">
        <f t="shared" si="19"/>
        <v>FLEX</v>
      </c>
      <c r="AA1269" s="8" t="e">
        <f>+VLOOKUP(I1269,[1]SKU!$H$2:$I$97,2,0)</f>
        <v>#N/A</v>
      </c>
    </row>
    <row r="1270" spans="24:27">
      <c r="X1270" s="8" t="str">
        <f>+IFERROR(VLOOKUP(N1270,[1]Hoja1!$B$2:$F$52,4,0)*P1270,"")</f>
        <v/>
      </c>
      <c r="Y1270" s="8" t="e">
        <f>+VLOOKUP(M1270,[1]SKU!$B$3:$E$81,4,0)</f>
        <v>#N/A</v>
      </c>
      <c r="Z1270" s="8" t="str">
        <f t="shared" si="19"/>
        <v>FLEX</v>
      </c>
      <c r="AA1270" s="8" t="e">
        <f>+VLOOKUP(I1270,[1]SKU!$H$2:$I$97,2,0)</f>
        <v>#N/A</v>
      </c>
    </row>
    <row r="1271" spans="24:27">
      <c r="X1271" s="8" t="str">
        <f>+IFERROR(VLOOKUP(N1271,[1]Hoja1!$B$2:$F$52,4,0)*P1271,"")</f>
        <v/>
      </c>
      <c r="Y1271" s="8" t="e">
        <f>+VLOOKUP(M1271,[1]SKU!$B$3:$E$81,4,0)</f>
        <v>#N/A</v>
      </c>
      <c r="Z1271" s="8" t="str">
        <f t="shared" si="19"/>
        <v>FLEX</v>
      </c>
      <c r="AA1271" s="8" t="e">
        <f>+VLOOKUP(I1271,[1]SKU!$H$2:$I$97,2,0)</f>
        <v>#N/A</v>
      </c>
    </row>
    <row r="1272" spans="24:27">
      <c r="X1272" s="8" t="str">
        <f>+IFERROR(VLOOKUP(N1272,[1]Hoja1!$B$2:$F$52,4,0)*P1272,"")</f>
        <v/>
      </c>
      <c r="Y1272" s="8" t="e">
        <f>+VLOOKUP(M1272,[1]SKU!$B$3:$E$81,4,0)</f>
        <v>#N/A</v>
      </c>
      <c r="Z1272" s="8" t="str">
        <f t="shared" si="19"/>
        <v>FLEX</v>
      </c>
      <c r="AA1272" s="8" t="e">
        <f>+VLOOKUP(I1272,[1]SKU!$H$2:$I$97,2,0)</f>
        <v>#N/A</v>
      </c>
    </row>
    <row r="1273" spans="24:27">
      <c r="X1273" s="8" t="str">
        <f>+IFERROR(VLOOKUP(N1273,[1]Hoja1!$B$2:$F$52,4,0)*P1273,"")</f>
        <v/>
      </c>
      <c r="Y1273" s="8" t="e">
        <f>+VLOOKUP(M1273,[1]SKU!$B$3:$E$81,4,0)</f>
        <v>#N/A</v>
      </c>
      <c r="Z1273" s="8" t="str">
        <f t="shared" si="19"/>
        <v>FLEX</v>
      </c>
      <c r="AA1273" s="8" t="e">
        <f>+VLOOKUP(I1273,[1]SKU!$H$2:$I$97,2,0)</f>
        <v>#N/A</v>
      </c>
    </row>
    <row r="1274" spans="24:27">
      <c r="X1274" s="8" t="str">
        <f>+IFERROR(VLOOKUP(N1274,[1]Hoja1!$B$2:$F$52,4,0)*P1274,"")</f>
        <v/>
      </c>
      <c r="Y1274" s="8" t="e">
        <f>+VLOOKUP(M1274,[1]SKU!$B$3:$E$81,4,0)</f>
        <v>#N/A</v>
      </c>
      <c r="Z1274" s="8" t="str">
        <f t="shared" si="19"/>
        <v>FLEX</v>
      </c>
      <c r="AA1274" s="8" t="e">
        <f>+VLOOKUP(I1274,[1]SKU!$H$2:$I$97,2,0)</f>
        <v>#N/A</v>
      </c>
    </row>
    <row r="1275" spans="24:27">
      <c r="X1275" s="8" t="str">
        <f>+IFERROR(VLOOKUP(N1275,[1]Hoja1!$B$2:$F$52,4,0)*P1275,"")</f>
        <v/>
      </c>
      <c r="Y1275" s="8" t="e">
        <f>+VLOOKUP(M1275,[1]SKU!$B$3:$E$81,4,0)</f>
        <v>#N/A</v>
      </c>
      <c r="Z1275" s="8" t="str">
        <f t="shared" si="19"/>
        <v>FLEX</v>
      </c>
      <c r="AA1275" s="8" t="e">
        <f>+VLOOKUP(I1275,[1]SKU!$H$2:$I$97,2,0)</f>
        <v>#N/A</v>
      </c>
    </row>
    <row r="1276" spans="24:27">
      <c r="X1276" s="8" t="str">
        <f>+IFERROR(VLOOKUP(N1276,[1]Hoja1!$B$2:$F$52,4,0)*P1276,"")</f>
        <v/>
      </c>
      <c r="Y1276" s="8" t="e">
        <f>+VLOOKUP(M1276,[1]SKU!$B$3:$E$81,4,0)</f>
        <v>#N/A</v>
      </c>
      <c r="Z1276" s="8" t="str">
        <f t="shared" si="19"/>
        <v>FLEX</v>
      </c>
      <c r="AA1276" s="8" t="e">
        <f>+VLOOKUP(I1276,[1]SKU!$H$2:$I$97,2,0)</f>
        <v>#N/A</v>
      </c>
    </row>
    <row r="1277" spans="24:27">
      <c r="X1277" s="8" t="str">
        <f>+IFERROR(VLOOKUP(N1277,[1]Hoja1!$B$2:$F$52,4,0)*P1277,"")</f>
        <v/>
      </c>
      <c r="Y1277" s="8" t="e">
        <f>+VLOOKUP(M1277,[1]SKU!$B$3:$E$81,4,0)</f>
        <v>#N/A</v>
      </c>
      <c r="Z1277" s="8" t="str">
        <f t="shared" si="19"/>
        <v>FLEX</v>
      </c>
      <c r="AA1277" s="8" t="e">
        <f>+VLOOKUP(I1277,[1]SKU!$H$2:$I$97,2,0)</f>
        <v>#N/A</v>
      </c>
    </row>
    <row r="1278" spans="24:27">
      <c r="X1278" s="8" t="str">
        <f>+IFERROR(VLOOKUP(N1278,[1]Hoja1!$B$2:$F$52,4,0)*P1278,"")</f>
        <v/>
      </c>
      <c r="Y1278" s="8" t="e">
        <f>+VLOOKUP(M1278,[1]SKU!$B$3:$E$81,4,0)</f>
        <v>#N/A</v>
      </c>
      <c r="Z1278" s="8" t="str">
        <f t="shared" si="19"/>
        <v>FLEX</v>
      </c>
      <c r="AA1278" s="8" t="e">
        <f>+VLOOKUP(I1278,[1]SKU!$H$2:$I$97,2,0)</f>
        <v>#N/A</v>
      </c>
    </row>
    <row r="1279" spans="24:27">
      <c r="X1279" s="8" t="str">
        <f>+IFERROR(VLOOKUP(N1279,[1]Hoja1!$B$2:$F$52,4,0)*P1279,"")</f>
        <v/>
      </c>
      <c r="Y1279" s="8" t="e">
        <f>+VLOOKUP(M1279,[1]SKU!$B$3:$E$81,4,0)</f>
        <v>#N/A</v>
      </c>
      <c r="Z1279" s="8" t="str">
        <f t="shared" si="19"/>
        <v>FLEX</v>
      </c>
      <c r="AA1279" s="8" t="e">
        <f>+VLOOKUP(I1279,[1]SKU!$H$2:$I$97,2,0)</f>
        <v>#N/A</v>
      </c>
    </row>
    <row r="1280" spans="24:27">
      <c r="X1280" s="8" t="str">
        <f>+IFERROR(VLOOKUP(N1280,[1]Hoja1!$B$2:$F$52,4,0)*P1280,"")</f>
        <v/>
      </c>
      <c r="Y1280" s="8" t="e">
        <f>+VLOOKUP(M1280,[1]SKU!$B$3:$E$81,4,0)</f>
        <v>#N/A</v>
      </c>
      <c r="Z1280" s="8" t="str">
        <f t="shared" si="19"/>
        <v>FLEX</v>
      </c>
      <c r="AA1280" s="8" t="e">
        <f>+VLOOKUP(I1280,[1]SKU!$H$2:$I$97,2,0)</f>
        <v>#N/A</v>
      </c>
    </row>
    <row r="1281" spans="24:27">
      <c r="X1281" s="8" t="str">
        <f>+IFERROR(VLOOKUP(N1281,[1]Hoja1!$B$2:$F$52,4,0)*P1281,"")</f>
        <v/>
      </c>
      <c r="Y1281" s="8" t="e">
        <f>+VLOOKUP(M1281,[1]SKU!$B$3:$E$81,4,0)</f>
        <v>#N/A</v>
      </c>
      <c r="Z1281" s="8" t="str">
        <f t="shared" si="19"/>
        <v>FLEX</v>
      </c>
      <c r="AA1281" s="8" t="e">
        <f>+VLOOKUP(I1281,[1]SKU!$H$2:$I$97,2,0)</f>
        <v>#N/A</v>
      </c>
    </row>
    <row r="1282" spans="24:27">
      <c r="X1282" s="8" t="str">
        <f>+IFERROR(VLOOKUP(N1282,[1]Hoja1!$B$2:$F$52,4,0)*P1282,"")</f>
        <v/>
      </c>
      <c r="Y1282" s="8" t="e">
        <f>+VLOOKUP(M1282,[1]SKU!$B$3:$E$81,4,0)</f>
        <v>#N/A</v>
      </c>
      <c r="Z1282" s="8" t="str">
        <f t="shared" si="19"/>
        <v>FLEX</v>
      </c>
      <c r="AA1282" s="8" t="e">
        <f>+VLOOKUP(I1282,[1]SKU!$H$2:$I$97,2,0)</f>
        <v>#N/A</v>
      </c>
    </row>
    <row r="1283" spans="24:27">
      <c r="X1283" s="8" t="str">
        <f>+IFERROR(VLOOKUP(N1283,[1]Hoja1!$B$2:$F$52,4,0)*P1283,"")</f>
        <v/>
      </c>
      <c r="Y1283" s="8" t="e">
        <f>+VLOOKUP(M1283,[1]SKU!$B$3:$E$81,4,0)</f>
        <v>#N/A</v>
      </c>
      <c r="Z1283" s="8" t="str">
        <f t="shared" ref="Z1283:Z1346" si="20">+IF(J1283="VB01                          ","BEES","FLEX")</f>
        <v>FLEX</v>
      </c>
      <c r="AA1283" s="8" t="e">
        <f>+VLOOKUP(I1283,[1]SKU!$H$2:$I$97,2,0)</f>
        <v>#N/A</v>
      </c>
    </row>
    <row r="1284" spans="24:27">
      <c r="X1284" s="8" t="str">
        <f>+IFERROR(VLOOKUP(N1284,[1]Hoja1!$B$2:$F$52,4,0)*P1284,"")</f>
        <v/>
      </c>
      <c r="Y1284" s="8" t="e">
        <f>+VLOOKUP(M1284,[1]SKU!$B$3:$E$81,4,0)</f>
        <v>#N/A</v>
      </c>
      <c r="Z1284" s="8" t="str">
        <f t="shared" si="20"/>
        <v>FLEX</v>
      </c>
      <c r="AA1284" s="8" t="e">
        <f>+VLOOKUP(I1284,[1]SKU!$H$2:$I$97,2,0)</f>
        <v>#N/A</v>
      </c>
    </row>
    <row r="1285" spans="24:27">
      <c r="X1285" s="8" t="str">
        <f>+IFERROR(VLOOKUP(N1285,[1]Hoja1!$B$2:$F$52,4,0)*P1285,"")</f>
        <v/>
      </c>
      <c r="Y1285" s="8" t="e">
        <f>+VLOOKUP(M1285,[1]SKU!$B$3:$E$81,4,0)</f>
        <v>#N/A</v>
      </c>
      <c r="Z1285" s="8" t="str">
        <f t="shared" si="20"/>
        <v>FLEX</v>
      </c>
      <c r="AA1285" s="8" t="e">
        <f>+VLOOKUP(I1285,[1]SKU!$H$2:$I$97,2,0)</f>
        <v>#N/A</v>
      </c>
    </row>
    <row r="1286" spans="24:27">
      <c r="X1286" s="8" t="str">
        <f>+IFERROR(VLOOKUP(N1286,[1]Hoja1!$B$2:$F$52,4,0)*P1286,"")</f>
        <v/>
      </c>
      <c r="Y1286" s="8" t="e">
        <f>+VLOOKUP(M1286,[1]SKU!$B$3:$E$81,4,0)</f>
        <v>#N/A</v>
      </c>
      <c r="Z1286" s="8" t="str">
        <f t="shared" si="20"/>
        <v>FLEX</v>
      </c>
      <c r="AA1286" s="8" t="e">
        <f>+VLOOKUP(I1286,[1]SKU!$H$2:$I$97,2,0)</f>
        <v>#N/A</v>
      </c>
    </row>
    <row r="1287" spans="24:27">
      <c r="X1287" s="8" t="str">
        <f>+IFERROR(VLOOKUP(N1287,[1]Hoja1!$B$2:$F$52,4,0)*P1287,"")</f>
        <v/>
      </c>
      <c r="Y1287" s="8" t="e">
        <f>+VLOOKUP(M1287,[1]SKU!$B$3:$E$81,4,0)</f>
        <v>#N/A</v>
      </c>
      <c r="Z1287" s="8" t="str">
        <f t="shared" si="20"/>
        <v>FLEX</v>
      </c>
      <c r="AA1287" s="8" t="e">
        <f>+VLOOKUP(I1287,[1]SKU!$H$2:$I$97,2,0)</f>
        <v>#N/A</v>
      </c>
    </row>
    <row r="1288" spans="24:27">
      <c r="X1288" s="8" t="str">
        <f>+IFERROR(VLOOKUP(N1288,[1]Hoja1!$B$2:$F$52,4,0)*P1288,"")</f>
        <v/>
      </c>
      <c r="Y1288" s="8" t="e">
        <f>+VLOOKUP(M1288,[1]SKU!$B$3:$E$81,4,0)</f>
        <v>#N/A</v>
      </c>
      <c r="Z1288" s="8" t="str">
        <f t="shared" si="20"/>
        <v>FLEX</v>
      </c>
      <c r="AA1288" s="8" t="e">
        <f>+VLOOKUP(I1288,[1]SKU!$H$2:$I$97,2,0)</f>
        <v>#N/A</v>
      </c>
    </row>
    <row r="1289" spans="24:27">
      <c r="X1289" s="8" t="str">
        <f>+IFERROR(VLOOKUP(N1289,[1]Hoja1!$B$2:$F$52,4,0)*P1289,"")</f>
        <v/>
      </c>
      <c r="Y1289" s="8" t="e">
        <f>+VLOOKUP(M1289,[1]SKU!$B$3:$E$81,4,0)</f>
        <v>#N/A</v>
      </c>
      <c r="Z1289" s="8" t="str">
        <f t="shared" si="20"/>
        <v>FLEX</v>
      </c>
      <c r="AA1289" s="8" t="e">
        <f>+VLOOKUP(I1289,[1]SKU!$H$2:$I$97,2,0)</f>
        <v>#N/A</v>
      </c>
    </row>
    <row r="1290" spans="24:27">
      <c r="X1290" s="8" t="str">
        <f>+IFERROR(VLOOKUP(N1290,[1]Hoja1!$B$2:$F$52,4,0)*P1290,"")</f>
        <v/>
      </c>
      <c r="Y1290" s="8" t="e">
        <f>+VLOOKUP(M1290,[1]SKU!$B$3:$E$81,4,0)</f>
        <v>#N/A</v>
      </c>
      <c r="Z1290" s="8" t="str">
        <f t="shared" si="20"/>
        <v>FLEX</v>
      </c>
      <c r="AA1290" s="8" t="e">
        <f>+VLOOKUP(I1290,[1]SKU!$H$2:$I$97,2,0)</f>
        <v>#N/A</v>
      </c>
    </row>
    <row r="1291" spans="24:27">
      <c r="X1291" s="8" t="str">
        <f>+IFERROR(VLOOKUP(N1291,[1]Hoja1!$B$2:$F$52,4,0)*P1291,"")</f>
        <v/>
      </c>
      <c r="Y1291" s="8" t="e">
        <f>+VLOOKUP(M1291,[1]SKU!$B$3:$E$81,4,0)</f>
        <v>#N/A</v>
      </c>
      <c r="Z1291" s="8" t="str">
        <f t="shared" si="20"/>
        <v>FLEX</v>
      </c>
      <c r="AA1291" s="8" t="e">
        <f>+VLOOKUP(I1291,[1]SKU!$H$2:$I$97,2,0)</f>
        <v>#N/A</v>
      </c>
    </row>
    <row r="1292" spans="24:27">
      <c r="X1292" s="8" t="str">
        <f>+IFERROR(VLOOKUP(N1292,[1]Hoja1!$B$2:$F$52,4,0)*P1292,"")</f>
        <v/>
      </c>
      <c r="Y1292" s="8" t="e">
        <f>+VLOOKUP(M1292,[1]SKU!$B$3:$E$81,4,0)</f>
        <v>#N/A</v>
      </c>
      <c r="Z1292" s="8" t="str">
        <f t="shared" si="20"/>
        <v>FLEX</v>
      </c>
      <c r="AA1292" s="8" t="e">
        <f>+VLOOKUP(I1292,[1]SKU!$H$2:$I$97,2,0)</f>
        <v>#N/A</v>
      </c>
    </row>
    <row r="1293" spans="24:27">
      <c r="X1293" s="8" t="str">
        <f>+IFERROR(VLOOKUP(N1293,[1]Hoja1!$B$2:$F$52,4,0)*P1293,"")</f>
        <v/>
      </c>
      <c r="Y1293" s="8" t="e">
        <f>+VLOOKUP(M1293,[1]SKU!$B$3:$E$81,4,0)</f>
        <v>#N/A</v>
      </c>
      <c r="Z1293" s="8" t="str">
        <f t="shared" si="20"/>
        <v>FLEX</v>
      </c>
      <c r="AA1293" s="8" t="e">
        <f>+VLOOKUP(I1293,[1]SKU!$H$2:$I$97,2,0)</f>
        <v>#N/A</v>
      </c>
    </row>
    <row r="1294" spans="24:27">
      <c r="X1294" s="8" t="str">
        <f>+IFERROR(VLOOKUP(N1294,[1]Hoja1!$B$2:$F$52,4,0)*P1294,"")</f>
        <v/>
      </c>
      <c r="Y1294" s="8" t="e">
        <f>+VLOOKUP(M1294,[1]SKU!$B$3:$E$81,4,0)</f>
        <v>#N/A</v>
      </c>
      <c r="Z1294" s="8" t="str">
        <f t="shared" si="20"/>
        <v>FLEX</v>
      </c>
      <c r="AA1294" s="8" t="e">
        <f>+VLOOKUP(I1294,[1]SKU!$H$2:$I$97,2,0)</f>
        <v>#N/A</v>
      </c>
    </row>
    <row r="1295" spans="24:27">
      <c r="X1295" s="8" t="str">
        <f>+IFERROR(VLOOKUP(N1295,[1]Hoja1!$B$2:$F$52,4,0)*P1295,"")</f>
        <v/>
      </c>
      <c r="Y1295" s="8" t="e">
        <f>+VLOOKUP(M1295,[1]SKU!$B$3:$E$81,4,0)</f>
        <v>#N/A</v>
      </c>
      <c r="Z1295" s="8" t="str">
        <f t="shared" si="20"/>
        <v>FLEX</v>
      </c>
      <c r="AA1295" s="8" t="e">
        <f>+VLOOKUP(I1295,[1]SKU!$H$2:$I$97,2,0)</f>
        <v>#N/A</v>
      </c>
    </row>
    <row r="1296" spans="24:27">
      <c r="X1296" s="8" t="str">
        <f>+IFERROR(VLOOKUP(N1296,[1]Hoja1!$B$2:$F$52,4,0)*P1296,"")</f>
        <v/>
      </c>
      <c r="Y1296" s="8" t="e">
        <f>+VLOOKUP(M1296,[1]SKU!$B$3:$E$81,4,0)</f>
        <v>#N/A</v>
      </c>
      <c r="Z1296" s="8" t="str">
        <f t="shared" si="20"/>
        <v>FLEX</v>
      </c>
      <c r="AA1296" s="8" t="e">
        <f>+VLOOKUP(I1296,[1]SKU!$H$2:$I$97,2,0)</f>
        <v>#N/A</v>
      </c>
    </row>
    <row r="1297" spans="24:27">
      <c r="X1297" s="8" t="str">
        <f>+IFERROR(VLOOKUP(N1297,[1]Hoja1!$B$2:$F$52,4,0)*P1297,"")</f>
        <v/>
      </c>
      <c r="Y1297" s="8" t="e">
        <f>+VLOOKUP(M1297,[1]SKU!$B$3:$E$81,4,0)</f>
        <v>#N/A</v>
      </c>
      <c r="Z1297" s="8" t="str">
        <f t="shared" si="20"/>
        <v>FLEX</v>
      </c>
      <c r="AA1297" s="8" t="e">
        <f>+VLOOKUP(I1297,[1]SKU!$H$2:$I$97,2,0)</f>
        <v>#N/A</v>
      </c>
    </row>
    <row r="1298" spans="24:27">
      <c r="X1298" s="8" t="str">
        <f>+IFERROR(VLOOKUP(N1298,[1]Hoja1!$B$2:$F$52,4,0)*P1298,"")</f>
        <v/>
      </c>
      <c r="Y1298" s="8" t="e">
        <f>+VLOOKUP(M1298,[1]SKU!$B$3:$E$81,4,0)</f>
        <v>#N/A</v>
      </c>
      <c r="Z1298" s="8" t="str">
        <f t="shared" si="20"/>
        <v>FLEX</v>
      </c>
      <c r="AA1298" s="8" t="e">
        <f>+VLOOKUP(I1298,[1]SKU!$H$2:$I$97,2,0)</f>
        <v>#N/A</v>
      </c>
    </row>
    <row r="1299" spans="24:27">
      <c r="X1299" s="8" t="str">
        <f>+IFERROR(VLOOKUP(N1299,[1]Hoja1!$B$2:$F$52,4,0)*P1299,"")</f>
        <v/>
      </c>
      <c r="Y1299" s="8" t="e">
        <f>+VLOOKUP(M1299,[1]SKU!$B$3:$E$81,4,0)</f>
        <v>#N/A</v>
      </c>
      <c r="Z1299" s="8" t="str">
        <f t="shared" si="20"/>
        <v>FLEX</v>
      </c>
      <c r="AA1299" s="8" t="e">
        <f>+VLOOKUP(I1299,[1]SKU!$H$2:$I$97,2,0)</f>
        <v>#N/A</v>
      </c>
    </row>
    <row r="1300" spans="24:27">
      <c r="X1300" s="8" t="str">
        <f>+IFERROR(VLOOKUP(N1300,[1]Hoja1!$B$2:$F$52,4,0)*P1300,"")</f>
        <v/>
      </c>
      <c r="Y1300" s="8" t="e">
        <f>+VLOOKUP(M1300,[1]SKU!$B$3:$E$81,4,0)</f>
        <v>#N/A</v>
      </c>
      <c r="Z1300" s="8" t="str">
        <f t="shared" si="20"/>
        <v>FLEX</v>
      </c>
      <c r="AA1300" s="8" t="e">
        <f>+VLOOKUP(I1300,[1]SKU!$H$2:$I$97,2,0)</f>
        <v>#N/A</v>
      </c>
    </row>
    <row r="1301" spans="24:27">
      <c r="X1301" s="8" t="str">
        <f>+IFERROR(VLOOKUP(N1301,[1]Hoja1!$B$2:$F$52,4,0)*P1301,"")</f>
        <v/>
      </c>
      <c r="Y1301" s="8" t="e">
        <f>+VLOOKUP(M1301,[1]SKU!$B$3:$E$81,4,0)</f>
        <v>#N/A</v>
      </c>
      <c r="Z1301" s="8" t="str">
        <f t="shared" si="20"/>
        <v>FLEX</v>
      </c>
      <c r="AA1301" s="8" t="e">
        <f>+VLOOKUP(I1301,[1]SKU!$H$2:$I$97,2,0)</f>
        <v>#N/A</v>
      </c>
    </row>
    <row r="1302" spans="24:27">
      <c r="X1302" s="8" t="str">
        <f>+IFERROR(VLOOKUP(N1302,[1]Hoja1!$B$2:$F$52,4,0)*P1302,"")</f>
        <v/>
      </c>
      <c r="Y1302" s="8" t="e">
        <f>+VLOOKUP(M1302,[1]SKU!$B$3:$E$81,4,0)</f>
        <v>#N/A</v>
      </c>
      <c r="Z1302" s="8" t="str">
        <f t="shared" si="20"/>
        <v>FLEX</v>
      </c>
      <c r="AA1302" s="8" t="e">
        <f>+VLOOKUP(I1302,[1]SKU!$H$2:$I$97,2,0)</f>
        <v>#N/A</v>
      </c>
    </row>
    <row r="1303" spans="24:27">
      <c r="X1303" s="8" t="str">
        <f>+IFERROR(VLOOKUP(N1303,[1]Hoja1!$B$2:$F$52,4,0)*P1303,"")</f>
        <v/>
      </c>
      <c r="Y1303" s="8" t="e">
        <f>+VLOOKUP(M1303,[1]SKU!$B$3:$E$81,4,0)</f>
        <v>#N/A</v>
      </c>
      <c r="Z1303" s="8" t="str">
        <f t="shared" si="20"/>
        <v>FLEX</v>
      </c>
      <c r="AA1303" s="8" t="e">
        <f>+VLOOKUP(I1303,[1]SKU!$H$2:$I$97,2,0)</f>
        <v>#N/A</v>
      </c>
    </row>
    <row r="1304" spans="24:27">
      <c r="X1304" s="8" t="str">
        <f>+IFERROR(VLOOKUP(N1304,[1]Hoja1!$B$2:$F$52,4,0)*P1304,"")</f>
        <v/>
      </c>
      <c r="Y1304" s="8" t="e">
        <f>+VLOOKUP(M1304,[1]SKU!$B$3:$E$81,4,0)</f>
        <v>#N/A</v>
      </c>
      <c r="Z1304" s="8" t="str">
        <f t="shared" si="20"/>
        <v>FLEX</v>
      </c>
      <c r="AA1304" s="8" t="e">
        <f>+VLOOKUP(I1304,[1]SKU!$H$2:$I$97,2,0)</f>
        <v>#N/A</v>
      </c>
    </row>
    <row r="1305" spans="24:27">
      <c r="X1305" s="8" t="str">
        <f>+IFERROR(VLOOKUP(N1305,[1]Hoja1!$B$2:$F$52,4,0)*P1305,"")</f>
        <v/>
      </c>
      <c r="Y1305" s="8" t="e">
        <f>+VLOOKUP(M1305,[1]SKU!$B$3:$E$81,4,0)</f>
        <v>#N/A</v>
      </c>
      <c r="Z1305" s="8" t="str">
        <f t="shared" si="20"/>
        <v>FLEX</v>
      </c>
      <c r="AA1305" s="8" t="e">
        <f>+VLOOKUP(I1305,[1]SKU!$H$2:$I$97,2,0)</f>
        <v>#N/A</v>
      </c>
    </row>
    <row r="1306" spans="24:27">
      <c r="X1306" s="8" t="str">
        <f>+IFERROR(VLOOKUP(N1306,[1]Hoja1!$B$2:$F$52,4,0)*P1306,"")</f>
        <v/>
      </c>
      <c r="Y1306" s="8" t="e">
        <f>+VLOOKUP(M1306,[1]SKU!$B$3:$E$81,4,0)</f>
        <v>#N/A</v>
      </c>
      <c r="Z1306" s="8" t="str">
        <f t="shared" si="20"/>
        <v>FLEX</v>
      </c>
      <c r="AA1306" s="8" t="e">
        <f>+VLOOKUP(I1306,[1]SKU!$H$2:$I$97,2,0)</f>
        <v>#N/A</v>
      </c>
    </row>
    <row r="1307" spans="24:27">
      <c r="X1307" s="8" t="str">
        <f>+IFERROR(VLOOKUP(N1307,[1]Hoja1!$B$2:$F$52,4,0)*P1307,"")</f>
        <v/>
      </c>
      <c r="Y1307" s="8" t="e">
        <f>+VLOOKUP(M1307,[1]SKU!$B$3:$E$81,4,0)</f>
        <v>#N/A</v>
      </c>
      <c r="Z1307" s="8" t="str">
        <f t="shared" si="20"/>
        <v>FLEX</v>
      </c>
      <c r="AA1307" s="8" t="e">
        <f>+VLOOKUP(I1307,[1]SKU!$H$2:$I$97,2,0)</f>
        <v>#N/A</v>
      </c>
    </row>
    <row r="1308" spans="24:27">
      <c r="X1308" s="8" t="str">
        <f>+IFERROR(VLOOKUP(N1308,[1]Hoja1!$B$2:$F$52,4,0)*P1308,"")</f>
        <v/>
      </c>
      <c r="Y1308" s="8" t="e">
        <f>+VLOOKUP(M1308,[1]SKU!$B$3:$E$81,4,0)</f>
        <v>#N/A</v>
      </c>
      <c r="Z1308" s="8" t="str">
        <f t="shared" si="20"/>
        <v>FLEX</v>
      </c>
      <c r="AA1308" s="8" t="e">
        <f>+VLOOKUP(I1308,[1]SKU!$H$2:$I$97,2,0)</f>
        <v>#N/A</v>
      </c>
    </row>
    <row r="1309" spans="24:27">
      <c r="X1309" s="8" t="str">
        <f>+IFERROR(VLOOKUP(N1309,[1]Hoja1!$B$2:$F$52,4,0)*P1309,"")</f>
        <v/>
      </c>
      <c r="Y1309" s="8" t="e">
        <f>+VLOOKUP(M1309,[1]SKU!$B$3:$E$81,4,0)</f>
        <v>#N/A</v>
      </c>
      <c r="Z1309" s="8" t="str">
        <f t="shared" si="20"/>
        <v>FLEX</v>
      </c>
      <c r="AA1309" s="8" t="e">
        <f>+VLOOKUP(I1309,[1]SKU!$H$2:$I$97,2,0)</f>
        <v>#N/A</v>
      </c>
    </row>
    <row r="1310" spans="24:27">
      <c r="X1310" s="8" t="str">
        <f>+IFERROR(VLOOKUP(N1310,[1]Hoja1!$B$2:$F$52,4,0)*P1310,"")</f>
        <v/>
      </c>
      <c r="Y1310" s="8" t="e">
        <f>+VLOOKUP(M1310,[1]SKU!$B$3:$E$81,4,0)</f>
        <v>#N/A</v>
      </c>
      <c r="Z1310" s="8" t="str">
        <f t="shared" si="20"/>
        <v>FLEX</v>
      </c>
      <c r="AA1310" s="8" t="e">
        <f>+VLOOKUP(I1310,[1]SKU!$H$2:$I$97,2,0)</f>
        <v>#N/A</v>
      </c>
    </row>
    <row r="1311" spans="24:27">
      <c r="X1311" s="8" t="str">
        <f>+IFERROR(VLOOKUP(N1311,[1]Hoja1!$B$2:$F$52,4,0)*P1311,"")</f>
        <v/>
      </c>
      <c r="Y1311" s="8" t="e">
        <f>+VLOOKUP(M1311,[1]SKU!$B$3:$E$81,4,0)</f>
        <v>#N/A</v>
      </c>
      <c r="Z1311" s="8" t="str">
        <f t="shared" si="20"/>
        <v>FLEX</v>
      </c>
      <c r="AA1311" s="8" t="e">
        <f>+VLOOKUP(I1311,[1]SKU!$H$2:$I$97,2,0)</f>
        <v>#N/A</v>
      </c>
    </row>
    <row r="1312" spans="24:27">
      <c r="X1312" s="8" t="str">
        <f>+IFERROR(VLOOKUP(N1312,[1]Hoja1!$B$2:$F$52,4,0)*P1312,"")</f>
        <v/>
      </c>
      <c r="Y1312" s="8" t="e">
        <f>+VLOOKUP(M1312,[1]SKU!$B$3:$E$81,4,0)</f>
        <v>#N/A</v>
      </c>
      <c r="Z1312" s="8" t="str">
        <f t="shared" si="20"/>
        <v>FLEX</v>
      </c>
      <c r="AA1312" s="8" t="e">
        <f>+VLOOKUP(I1312,[1]SKU!$H$2:$I$97,2,0)</f>
        <v>#N/A</v>
      </c>
    </row>
    <row r="1313" spans="24:27">
      <c r="X1313" s="8" t="str">
        <f>+IFERROR(VLOOKUP(N1313,[1]Hoja1!$B$2:$F$52,4,0)*P1313,"")</f>
        <v/>
      </c>
      <c r="Y1313" s="8" t="e">
        <f>+VLOOKUP(M1313,[1]SKU!$B$3:$E$81,4,0)</f>
        <v>#N/A</v>
      </c>
      <c r="Z1313" s="8" t="str">
        <f t="shared" si="20"/>
        <v>FLEX</v>
      </c>
      <c r="AA1313" s="8" t="e">
        <f>+VLOOKUP(I1313,[1]SKU!$H$2:$I$97,2,0)</f>
        <v>#N/A</v>
      </c>
    </row>
    <row r="1314" spans="24:27">
      <c r="X1314" s="8" t="str">
        <f>+IFERROR(VLOOKUP(N1314,[1]Hoja1!$B$2:$F$52,4,0)*P1314,"")</f>
        <v/>
      </c>
      <c r="Y1314" s="8" t="e">
        <f>+VLOOKUP(M1314,[1]SKU!$B$3:$E$81,4,0)</f>
        <v>#N/A</v>
      </c>
      <c r="Z1314" s="8" t="str">
        <f t="shared" si="20"/>
        <v>FLEX</v>
      </c>
      <c r="AA1314" s="8" t="e">
        <f>+VLOOKUP(I1314,[1]SKU!$H$2:$I$97,2,0)</f>
        <v>#N/A</v>
      </c>
    </row>
    <row r="1315" spans="24:27">
      <c r="X1315" s="8" t="str">
        <f>+IFERROR(VLOOKUP(N1315,[1]Hoja1!$B$2:$F$52,4,0)*P1315,"")</f>
        <v/>
      </c>
      <c r="Y1315" s="8" t="e">
        <f>+VLOOKUP(M1315,[1]SKU!$B$3:$E$81,4,0)</f>
        <v>#N/A</v>
      </c>
      <c r="Z1315" s="8" t="str">
        <f t="shared" si="20"/>
        <v>FLEX</v>
      </c>
      <c r="AA1315" s="8" t="e">
        <f>+VLOOKUP(I1315,[1]SKU!$H$2:$I$97,2,0)</f>
        <v>#N/A</v>
      </c>
    </row>
    <row r="1316" spans="24:27">
      <c r="X1316" s="8" t="str">
        <f>+IFERROR(VLOOKUP(N1316,[1]Hoja1!$B$2:$F$52,4,0)*P1316,"")</f>
        <v/>
      </c>
      <c r="Y1316" s="8" t="e">
        <f>+VLOOKUP(M1316,[1]SKU!$B$3:$E$81,4,0)</f>
        <v>#N/A</v>
      </c>
      <c r="Z1316" s="8" t="str">
        <f t="shared" si="20"/>
        <v>FLEX</v>
      </c>
      <c r="AA1316" s="8" t="e">
        <f>+VLOOKUP(I1316,[1]SKU!$H$2:$I$97,2,0)</f>
        <v>#N/A</v>
      </c>
    </row>
    <row r="1317" spans="24:27">
      <c r="X1317" s="8" t="str">
        <f>+IFERROR(VLOOKUP(N1317,[1]Hoja1!$B$2:$F$52,4,0)*P1317,"")</f>
        <v/>
      </c>
      <c r="Y1317" s="8" t="e">
        <f>+VLOOKUP(M1317,[1]SKU!$B$3:$E$81,4,0)</f>
        <v>#N/A</v>
      </c>
      <c r="Z1317" s="8" t="str">
        <f t="shared" si="20"/>
        <v>FLEX</v>
      </c>
      <c r="AA1317" s="8" t="e">
        <f>+VLOOKUP(I1317,[1]SKU!$H$2:$I$97,2,0)</f>
        <v>#N/A</v>
      </c>
    </row>
    <row r="1318" spans="24:27">
      <c r="X1318" s="8" t="str">
        <f>+IFERROR(VLOOKUP(N1318,[1]Hoja1!$B$2:$F$52,4,0)*P1318,"")</f>
        <v/>
      </c>
      <c r="Y1318" s="8" t="e">
        <f>+VLOOKUP(M1318,[1]SKU!$B$3:$E$81,4,0)</f>
        <v>#N/A</v>
      </c>
      <c r="Z1318" s="8" t="str">
        <f t="shared" si="20"/>
        <v>FLEX</v>
      </c>
      <c r="AA1318" s="8" t="e">
        <f>+VLOOKUP(I1318,[1]SKU!$H$2:$I$97,2,0)</f>
        <v>#N/A</v>
      </c>
    </row>
    <row r="1319" spans="24:27">
      <c r="X1319" s="8" t="str">
        <f>+IFERROR(VLOOKUP(N1319,[1]Hoja1!$B$2:$F$52,4,0)*P1319,"")</f>
        <v/>
      </c>
      <c r="Y1319" s="8" t="e">
        <f>+VLOOKUP(M1319,[1]SKU!$B$3:$E$81,4,0)</f>
        <v>#N/A</v>
      </c>
      <c r="Z1319" s="8" t="str">
        <f t="shared" si="20"/>
        <v>FLEX</v>
      </c>
      <c r="AA1319" s="8" t="e">
        <f>+VLOOKUP(I1319,[1]SKU!$H$2:$I$97,2,0)</f>
        <v>#N/A</v>
      </c>
    </row>
    <row r="1320" spans="24:27">
      <c r="X1320" s="8" t="str">
        <f>+IFERROR(VLOOKUP(N1320,[1]Hoja1!$B$2:$F$52,4,0)*P1320,"")</f>
        <v/>
      </c>
      <c r="Y1320" s="8" t="e">
        <f>+VLOOKUP(M1320,[1]SKU!$B$3:$E$81,4,0)</f>
        <v>#N/A</v>
      </c>
      <c r="Z1320" s="8" t="str">
        <f t="shared" si="20"/>
        <v>FLEX</v>
      </c>
      <c r="AA1320" s="8" t="e">
        <f>+VLOOKUP(I1320,[1]SKU!$H$2:$I$97,2,0)</f>
        <v>#N/A</v>
      </c>
    </row>
    <row r="1321" spans="24:27">
      <c r="X1321" s="8" t="str">
        <f>+IFERROR(VLOOKUP(N1321,[1]Hoja1!$B$2:$F$52,4,0)*P1321,"")</f>
        <v/>
      </c>
      <c r="Y1321" s="8" t="e">
        <f>+VLOOKUP(M1321,[1]SKU!$B$3:$E$81,4,0)</f>
        <v>#N/A</v>
      </c>
      <c r="Z1321" s="8" t="str">
        <f t="shared" si="20"/>
        <v>FLEX</v>
      </c>
      <c r="AA1321" s="8" t="e">
        <f>+VLOOKUP(I1321,[1]SKU!$H$2:$I$97,2,0)</f>
        <v>#N/A</v>
      </c>
    </row>
    <row r="1322" spans="24:27">
      <c r="X1322" s="8" t="str">
        <f>+IFERROR(VLOOKUP(N1322,[1]Hoja1!$B$2:$F$52,4,0)*P1322,"")</f>
        <v/>
      </c>
      <c r="Y1322" s="8" t="e">
        <f>+VLOOKUP(M1322,[1]SKU!$B$3:$E$81,4,0)</f>
        <v>#N/A</v>
      </c>
      <c r="Z1322" s="8" t="str">
        <f t="shared" si="20"/>
        <v>FLEX</v>
      </c>
      <c r="AA1322" s="8" t="e">
        <f>+VLOOKUP(I1322,[1]SKU!$H$2:$I$97,2,0)</f>
        <v>#N/A</v>
      </c>
    </row>
    <row r="1323" spans="24:27">
      <c r="X1323" s="8" t="str">
        <f>+IFERROR(VLOOKUP(N1323,[1]Hoja1!$B$2:$F$52,4,0)*P1323,"")</f>
        <v/>
      </c>
      <c r="Y1323" s="8" t="e">
        <f>+VLOOKUP(M1323,[1]SKU!$B$3:$E$81,4,0)</f>
        <v>#N/A</v>
      </c>
      <c r="Z1323" s="8" t="str">
        <f t="shared" si="20"/>
        <v>FLEX</v>
      </c>
      <c r="AA1323" s="8" t="e">
        <f>+VLOOKUP(I1323,[1]SKU!$H$2:$I$97,2,0)</f>
        <v>#N/A</v>
      </c>
    </row>
    <row r="1324" spans="24:27">
      <c r="X1324" s="8" t="str">
        <f>+IFERROR(VLOOKUP(N1324,[1]Hoja1!$B$2:$F$52,4,0)*P1324,"")</f>
        <v/>
      </c>
      <c r="Y1324" s="8" t="e">
        <f>+VLOOKUP(M1324,[1]SKU!$B$3:$E$81,4,0)</f>
        <v>#N/A</v>
      </c>
      <c r="Z1324" s="8" t="str">
        <f t="shared" si="20"/>
        <v>FLEX</v>
      </c>
      <c r="AA1324" s="8" t="e">
        <f>+VLOOKUP(I1324,[1]SKU!$H$2:$I$97,2,0)</f>
        <v>#N/A</v>
      </c>
    </row>
    <row r="1325" spans="24:27">
      <c r="X1325" s="8" t="str">
        <f>+IFERROR(VLOOKUP(N1325,[1]Hoja1!$B$2:$F$52,4,0)*P1325,"")</f>
        <v/>
      </c>
      <c r="Y1325" s="8" t="e">
        <f>+VLOOKUP(M1325,[1]SKU!$B$3:$E$81,4,0)</f>
        <v>#N/A</v>
      </c>
      <c r="Z1325" s="8" t="str">
        <f t="shared" si="20"/>
        <v>FLEX</v>
      </c>
      <c r="AA1325" s="8" t="e">
        <f>+VLOOKUP(I1325,[1]SKU!$H$2:$I$97,2,0)</f>
        <v>#N/A</v>
      </c>
    </row>
    <row r="1326" spans="24:27">
      <c r="X1326" s="8" t="str">
        <f>+IFERROR(VLOOKUP(N1326,[1]Hoja1!$B$2:$F$52,4,0)*P1326,"")</f>
        <v/>
      </c>
      <c r="Y1326" s="8" t="e">
        <f>+VLOOKUP(M1326,[1]SKU!$B$3:$E$81,4,0)</f>
        <v>#N/A</v>
      </c>
      <c r="Z1326" s="8" t="str">
        <f t="shared" si="20"/>
        <v>FLEX</v>
      </c>
      <c r="AA1326" s="8" t="e">
        <f>+VLOOKUP(I1326,[1]SKU!$H$2:$I$97,2,0)</f>
        <v>#N/A</v>
      </c>
    </row>
    <row r="1327" spans="24:27">
      <c r="X1327" s="8" t="str">
        <f>+IFERROR(VLOOKUP(N1327,[1]Hoja1!$B$2:$F$52,4,0)*P1327,"")</f>
        <v/>
      </c>
      <c r="Y1327" s="8" t="e">
        <f>+VLOOKUP(M1327,[1]SKU!$B$3:$E$81,4,0)</f>
        <v>#N/A</v>
      </c>
      <c r="Z1327" s="8" t="str">
        <f t="shared" si="20"/>
        <v>FLEX</v>
      </c>
      <c r="AA1327" s="8" t="e">
        <f>+VLOOKUP(I1327,[1]SKU!$H$2:$I$97,2,0)</f>
        <v>#N/A</v>
      </c>
    </row>
    <row r="1328" spans="24:27">
      <c r="X1328" s="8" t="str">
        <f>+IFERROR(VLOOKUP(N1328,[1]Hoja1!$B$2:$F$52,4,0)*P1328,"")</f>
        <v/>
      </c>
      <c r="Y1328" s="8" t="e">
        <f>+VLOOKUP(M1328,[1]SKU!$B$3:$E$81,4,0)</f>
        <v>#N/A</v>
      </c>
      <c r="Z1328" s="8" t="str">
        <f t="shared" si="20"/>
        <v>FLEX</v>
      </c>
      <c r="AA1328" s="8" t="e">
        <f>+VLOOKUP(I1328,[1]SKU!$H$2:$I$97,2,0)</f>
        <v>#N/A</v>
      </c>
    </row>
    <row r="1329" spans="24:27">
      <c r="X1329" s="8" t="str">
        <f>+IFERROR(VLOOKUP(N1329,[1]Hoja1!$B$2:$F$52,4,0)*P1329,"")</f>
        <v/>
      </c>
      <c r="Y1329" s="8" t="e">
        <f>+VLOOKUP(M1329,[1]SKU!$B$3:$E$81,4,0)</f>
        <v>#N/A</v>
      </c>
      <c r="Z1329" s="8" t="str">
        <f t="shared" si="20"/>
        <v>FLEX</v>
      </c>
      <c r="AA1329" s="8" t="e">
        <f>+VLOOKUP(I1329,[1]SKU!$H$2:$I$97,2,0)</f>
        <v>#N/A</v>
      </c>
    </row>
    <row r="1330" spans="24:27">
      <c r="X1330" s="8" t="str">
        <f>+IFERROR(VLOOKUP(N1330,[1]Hoja1!$B$2:$F$52,4,0)*P1330,"")</f>
        <v/>
      </c>
      <c r="Y1330" s="8" t="e">
        <f>+VLOOKUP(M1330,[1]SKU!$B$3:$E$81,4,0)</f>
        <v>#N/A</v>
      </c>
      <c r="Z1330" s="8" t="str">
        <f t="shared" si="20"/>
        <v>FLEX</v>
      </c>
      <c r="AA1330" s="8" t="e">
        <f>+VLOOKUP(I1330,[1]SKU!$H$2:$I$97,2,0)</f>
        <v>#N/A</v>
      </c>
    </row>
    <row r="1331" spans="24:27">
      <c r="X1331" s="8" t="str">
        <f>+IFERROR(VLOOKUP(N1331,[1]Hoja1!$B$2:$F$52,4,0)*P1331,"")</f>
        <v/>
      </c>
      <c r="Y1331" s="8" t="e">
        <f>+VLOOKUP(M1331,[1]SKU!$B$3:$E$81,4,0)</f>
        <v>#N/A</v>
      </c>
      <c r="Z1331" s="8" t="str">
        <f t="shared" si="20"/>
        <v>FLEX</v>
      </c>
      <c r="AA1331" s="8" t="e">
        <f>+VLOOKUP(I1331,[1]SKU!$H$2:$I$97,2,0)</f>
        <v>#N/A</v>
      </c>
    </row>
    <row r="1332" spans="24:27">
      <c r="X1332" s="8" t="str">
        <f>+IFERROR(VLOOKUP(N1332,[1]Hoja1!$B$2:$F$52,4,0)*P1332,"")</f>
        <v/>
      </c>
      <c r="Y1332" s="8" t="e">
        <f>+VLOOKUP(M1332,[1]SKU!$B$3:$E$81,4,0)</f>
        <v>#N/A</v>
      </c>
      <c r="Z1332" s="8" t="str">
        <f t="shared" si="20"/>
        <v>FLEX</v>
      </c>
      <c r="AA1332" s="8" t="e">
        <f>+VLOOKUP(I1332,[1]SKU!$H$2:$I$97,2,0)</f>
        <v>#N/A</v>
      </c>
    </row>
    <row r="1333" spans="24:27">
      <c r="X1333" s="8" t="str">
        <f>+IFERROR(VLOOKUP(N1333,[1]Hoja1!$B$2:$F$52,4,0)*P1333,"")</f>
        <v/>
      </c>
      <c r="Y1333" s="8" t="e">
        <f>+VLOOKUP(M1333,[1]SKU!$B$3:$E$81,4,0)</f>
        <v>#N/A</v>
      </c>
      <c r="Z1333" s="8" t="str">
        <f t="shared" si="20"/>
        <v>FLEX</v>
      </c>
      <c r="AA1333" s="8" t="e">
        <f>+VLOOKUP(I1333,[1]SKU!$H$2:$I$97,2,0)</f>
        <v>#N/A</v>
      </c>
    </row>
    <row r="1334" spans="24:27">
      <c r="X1334" s="8" t="str">
        <f>+IFERROR(VLOOKUP(N1334,[1]Hoja1!$B$2:$F$52,4,0)*P1334,"")</f>
        <v/>
      </c>
      <c r="Y1334" s="8" t="e">
        <f>+VLOOKUP(M1334,[1]SKU!$B$3:$E$81,4,0)</f>
        <v>#N/A</v>
      </c>
      <c r="Z1334" s="8" t="str">
        <f t="shared" si="20"/>
        <v>FLEX</v>
      </c>
      <c r="AA1334" s="8" t="e">
        <f>+VLOOKUP(I1334,[1]SKU!$H$2:$I$97,2,0)</f>
        <v>#N/A</v>
      </c>
    </row>
    <row r="1335" spans="24:27">
      <c r="X1335" s="8" t="str">
        <f>+IFERROR(VLOOKUP(N1335,[1]Hoja1!$B$2:$F$52,4,0)*P1335,"")</f>
        <v/>
      </c>
      <c r="Y1335" s="8" t="e">
        <f>+VLOOKUP(M1335,[1]SKU!$B$3:$E$81,4,0)</f>
        <v>#N/A</v>
      </c>
      <c r="Z1335" s="8" t="str">
        <f t="shared" si="20"/>
        <v>FLEX</v>
      </c>
      <c r="AA1335" s="8" t="e">
        <f>+VLOOKUP(I1335,[1]SKU!$H$2:$I$97,2,0)</f>
        <v>#N/A</v>
      </c>
    </row>
    <row r="1336" spans="24:27">
      <c r="X1336" s="8" t="str">
        <f>+IFERROR(VLOOKUP(N1336,[1]Hoja1!$B$2:$F$52,4,0)*P1336,"")</f>
        <v/>
      </c>
      <c r="Y1336" s="8" t="e">
        <f>+VLOOKUP(M1336,[1]SKU!$B$3:$E$81,4,0)</f>
        <v>#N/A</v>
      </c>
      <c r="Z1336" s="8" t="str">
        <f t="shared" si="20"/>
        <v>FLEX</v>
      </c>
      <c r="AA1336" s="8" t="e">
        <f>+VLOOKUP(I1336,[1]SKU!$H$2:$I$97,2,0)</f>
        <v>#N/A</v>
      </c>
    </row>
    <row r="1337" spans="24:27">
      <c r="X1337" s="8" t="str">
        <f>+IFERROR(VLOOKUP(N1337,[1]Hoja1!$B$2:$F$52,4,0)*P1337,"")</f>
        <v/>
      </c>
      <c r="Y1337" s="8" t="e">
        <f>+VLOOKUP(M1337,[1]SKU!$B$3:$E$81,4,0)</f>
        <v>#N/A</v>
      </c>
      <c r="Z1337" s="8" t="str">
        <f t="shared" si="20"/>
        <v>FLEX</v>
      </c>
      <c r="AA1337" s="8" t="e">
        <f>+VLOOKUP(I1337,[1]SKU!$H$2:$I$97,2,0)</f>
        <v>#N/A</v>
      </c>
    </row>
    <row r="1338" spans="24:27">
      <c r="X1338" s="8" t="str">
        <f>+IFERROR(VLOOKUP(N1338,[1]Hoja1!$B$2:$F$52,4,0)*P1338,"")</f>
        <v/>
      </c>
      <c r="Y1338" s="8" t="e">
        <f>+VLOOKUP(M1338,[1]SKU!$B$3:$E$81,4,0)</f>
        <v>#N/A</v>
      </c>
      <c r="Z1338" s="8" t="str">
        <f t="shared" si="20"/>
        <v>FLEX</v>
      </c>
      <c r="AA1338" s="8" t="e">
        <f>+VLOOKUP(I1338,[1]SKU!$H$2:$I$97,2,0)</f>
        <v>#N/A</v>
      </c>
    </row>
    <row r="1339" spans="24:27">
      <c r="X1339" s="8" t="str">
        <f>+IFERROR(VLOOKUP(N1339,[1]Hoja1!$B$2:$F$52,4,0)*P1339,"")</f>
        <v/>
      </c>
      <c r="Y1339" s="8" t="e">
        <f>+VLOOKUP(M1339,[1]SKU!$B$3:$E$81,4,0)</f>
        <v>#N/A</v>
      </c>
      <c r="Z1339" s="8" t="str">
        <f t="shared" si="20"/>
        <v>FLEX</v>
      </c>
      <c r="AA1339" s="8" t="e">
        <f>+VLOOKUP(I1339,[1]SKU!$H$2:$I$97,2,0)</f>
        <v>#N/A</v>
      </c>
    </row>
    <row r="1340" spans="24:27">
      <c r="X1340" s="8" t="str">
        <f>+IFERROR(VLOOKUP(N1340,[1]Hoja1!$B$2:$F$52,4,0)*P1340,"")</f>
        <v/>
      </c>
      <c r="Y1340" s="8" t="e">
        <f>+VLOOKUP(M1340,[1]SKU!$B$3:$E$81,4,0)</f>
        <v>#N/A</v>
      </c>
      <c r="Z1340" s="8" t="str">
        <f t="shared" si="20"/>
        <v>FLEX</v>
      </c>
      <c r="AA1340" s="8" t="e">
        <f>+VLOOKUP(I1340,[1]SKU!$H$2:$I$97,2,0)</f>
        <v>#N/A</v>
      </c>
    </row>
    <row r="1341" spans="24:27">
      <c r="X1341" s="8" t="str">
        <f>+IFERROR(VLOOKUP(N1341,[1]Hoja1!$B$2:$F$52,4,0)*P1341,"")</f>
        <v/>
      </c>
      <c r="Y1341" s="8" t="e">
        <f>+VLOOKUP(M1341,[1]SKU!$B$3:$E$81,4,0)</f>
        <v>#N/A</v>
      </c>
      <c r="Z1341" s="8" t="str">
        <f t="shared" si="20"/>
        <v>FLEX</v>
      </c>
      <c r="AA1341" s="8" t="e">
        <f>+VLOOKUP(I1341,[1]SKU!$H$2:$I$97,2,0)</f>
        <v>#N/A</v>
      </c>
    </row>
    <row r="1342" spans="24:27">
      <c r="X1342" s="8" t="str">
        <f>+IFERROR(VLOOKUP(N1342,[1]Hoja1!$B$2:$F$52,4,0)*P1342,"")</f>
        <v/>
      </c>
      <c r="Y1342" s="8" t="e">
        <f>+VLOOKUP(M1342,[1]SKU!$B$3:$E$81,4,0)</f>
        <v>#N/A</v>
      </c>
      <c r="Z1342" s="8" t="str">
        <f t="shared" si="20"/>
        <v>FLEX</v>
      </c>
      <c r="AA1342" s="8" t="e">
        <f>+VLOOKUP(I1342,[1]SKU!$H$2:$I$97,2,0)</f>
        <v>#N/A</v>
      </c>
    </row>
    <row r="1343" spans="24:27">
      <c r="X1343" s="8" t="str">
        <f>+IFERROR(VLOOKUP(N1343,[1]Hoja1!$B$2:$F$52,4,0)*P1343,"")</f>
        <v/>
      </c>
      <c r="Y1343" s="8" t="e">
        <f>+VLOOKUP(M1343,[1]SKU!$B$3:$E$81,4,0)</f>
        <v>#N/A</v>
      </c>
      <c r="Z1343" s="8" t="str">
        <f t="shared" si="20"/>
        <v>FLEX</v>
      </c>
      <c r="AA1343" s="8" t="e">
        <f>+VLOOKUP(I1343,[1]SKU!$H$2:$I$97,2,0)</f>
        <v>#N/A</v>
      </c>
    </row>
    <row r="1344" spans="24:27">
      <c r="X1344" s="8" t="str">
        <f>+IFERROR(VLOOKUP(N1344,[1]Hoja1!$B$2:$F$52,4,0)*P1344,"")</f>
        <v/>
      </c>
      <c r="Y1344" s="8" t="e">
        <f>+VLOOKUP(M1344,[1]SKU!$B$3:$E$81,4,0)</f>
        <v>#N/A</v>
      </c>
      <c r="Z1344" s="8" t="str">
        <f t="shared" si="20"/>
        <v>FLEX</v>
      </c>
      <c r="AA1344" s="8" t="e">
        <f>+VLOOKUP(I1344,[1]SKU!$H$2:$I$97,2,0)</f>
        <v>#N/A</v>
      </c>
    </row>
    <row r="1345" spans="24:27">
      <c r="X1345" s="8" t="str">
        <f>+IFERROR(VLOOKUP(N1345,[1]Hoja1!$B$2:$F$52,4,0)*P1345,"")</f>
        <v/>
      </c>
      <c r="Y1345" s="8" t="e">
        <f>+VLOOKUP(M1345,[1]SKU!$B$3:$E$81,4,0)</f>
        <v>#N/A</v>
      </c>
      <c r="Z1345" s="8" t="str">
        <f t="shared" si="20"/>
        <v>FLEX</v>
      </c>
      <c r="AA1345" s="8" t="e">
        <f>+VLOOKUP(I1345,[1]SKU!$H$2:$I$97,2,0)</f>
        <v>#N/A</v>
      </c>
    </row>
    <row r="1346" spans="24:27">
      <c r="X1346" s="8" t="str">
        <f>+IFERROR(VLOOKUP(N1346,[1]Hoja1!$B$2:$F$52,4,0)*P1346,"")</f>
        <v/>
      </c>
      <c r="Y1346" s="8" t="e">
        <f>+VLOOKUP(M1346,[1]SKU!$B$3:$E$81,4,0)</f>
        <v>#N/A</v>
      </c>
      <c r="Z1346" s="8" t="str">
        <f t="shared" si="20"/>
        <v>FLEX</v>
      </c>
      <c r="AA1346" s="8" t="e">
        <f>+VLOOKUP(I1346,[1]SKU!$H$2:$I$97,2,0)</f>
        <v>#N/A</v>
      </c>
    </row>
    <row r="1347" spans="24:27">
      <c r="X1347" s="8" t="str">
        <f>+IFERROR(VLOOKUP(N1347,[1]Hoja1!$B$2:$F$52,4,0)*P1347,"")</f>
        <v/>
      </c>
      <c r="Y1347" s="8" t="e">
        <f>+VLOOKUP(M1347,[1]SKU!$B$3:$E$81,4,0)</f>
        <v>#N/A</v>
      </c>
      <c r="Z1347" s="8" t="str">
        <f t="shared" ref="Z1347:Z1410" si="21">+IF(J1347="VB01                          ","BEES","FLEX")</f>
        <v>FLEX</v>
      </c>
      <c r="AA1347" s="8" t="e">
        <f>+VLOOKUP(I1347,[1]SKU!$H$2:$I$97,2,0)</f>
        <v>#N/A</v>
      </c>
    </row>
    <row r="1348" spans="24:27">
      <c r="X1348" s="8" t="str">
        <f>+IFERROR(VLOOKUP(N1348,[1]Hoja1!$B$2:$F$52,4,0)*P1348,"")</f>
        <v/>
      </c>
      <c r="Y1348" s="8" t="e">
        <f>+VLOOKUP(M1348,[1]SKU!$B$3:$E$81,4,0)</f>
        <v>#N/A</v>
      </c>
      <c r="Z1348" s="8" t="str">
        <f t="shared" si="21"/>
        <v>FLEX</v>
      </c>
      <c r="AA1348" s="8" t="e">
        <f>+VLOOKUP(I1348,[1]SKU!$H$2:$I$97,2,0)</f>
        <v>#N/A</v>
      </c>
    </row>
    <row r="1349" spans="24:27">
      <c r="X1349" s="8" t="str">
        <f>+IFERROR(VLOOKUP(N1349,[1]Hoja1!$B$2:$F$52,4,0)*P1349,"")</f>
        <v/>
      </c>
      <c r="Y1349" s="8" t="e">
        <f>+VLOOKUP(M1349,[1]SKU!$B$3:$E$81,4,0)</f>
        <v>#N/A</v>
      </c>
      <c r="Z1349" s="8" t="str">
        <f t="shared" si="21"/>
        <v>FLEX</v>
      </c>
      <c r="AA1349" s="8" t="e">
        <f>+VLOOKUP(I1349,[1]SKU!$H$2:$I$97,2,0)</f>
        <v>#N/A</v>
      </c>
    </row>
    <row r="1350" spans="24:27">
      <c r="X1350" s="8" t="str">
        <f>+IFERROR(VLOOKUP(N1350,[1]Hoja1!$B$2:$F$52,4,0)*P1350,"")</f>
        <v/>
      </c>
      <c r="Y1350" s="8" t="e">
        <f>+VLOOKUP(M1350,[1]SKU!$B$3:$E$81,4,0)</f>
        <v>#N/A</v>
      </c>
      <c r="Z1350" s="8" t="str">
        <f t="shared" si="21"/>
        <v>FLEX</v>
      </c>
      <c r="AA1350" s="8" t="e">
        <f>+VLOOKUP(I1350,[1]SKU!$H$2:$I$97,2,0)</f>
        <v>#N/A</v>
      </c>
    </row>
    <row r="1351" spans="24:27">
      <c r="X1351" s="8" t="str">
        <f>+IFERROR(VLOOKUP(N1351,[1]Hoja1!$B$2:$F$52,4,0)*P1351,"")</f>
        <v/>
      </c>
      <c r="Y1351" s="8" t="e">
        <f>+VLOOKUP(M1351,[1]SKU!$B$3:$E$81,4,0)</f>
        <v>#N/A</v>
      </c>
      <c r="Z1351" s="8" t="str">
        <f t="shared" si="21"/>
        <v>FLEX</v>
      </c>
      <c r="AA1351" s="8" t="e">
        <f>+VLOOKUP(I1351,[1]SKU!$H$2:$I$97,2,0)</f>
        <v>#N/A</v>
      </c>
    </row>
    <row r="1352" spans="24:27">
      <c r="X1352" s="8" t="str">
        <f>+IFERROR(VLOOKUP(N1352,[1]Hoja1!$B$2:$F$52,4,0)*P1352,"")</f>
        <v/>
      </c>
      <c r="Y1352" s="8" t="e">
        <f>+VLOOKUP(M1352,[1]SKU!$B$3:$E$81,4,0)</f>
        <v>#N/A</v>
      </c>
      <c r="Z1352" s="8" t="str">
        <f t="shared" si="21"/>
        <v>FLEX</v>
      </c>
      <c r="AA1352" s="8" t="e">
        <f>+VLOOKUP(I1352,[1]SKU!$H$2:$I$97,2,0)</f>
        <v>#N/A</v>
      </c>
    </row>
    <row r="1353" spans="24:27">
      <c r="X1353" s="8" t="str">
        <f>+IFERROR(VLOOKUP(N1353,[1]Hoja1!$B$2:$F$52,4,0)*P1353,"")</f>
        <v/>
      </c>
      <c r="Y1353" s="8" t="e">
        <f>+VLOOKUP(M1353,[1]SKU!$B$3:$E$81,4,0)</f>
        <v>#N/A</v>
      </c>
      <c r="Z1353" s="8" t="str">
        <f t="shared" si="21"/>
        <v>FLEX</v>
      </c>
      <c r="AA1353" s="8" t="e">
        <f>+VLOOKUP(I1353,[1]SKU!$H$2:$I$97,2,0)</f>
        <v>#N/A</v>
      </c>
    </row>
    <row r="1354" spans="24:27">
      <c r="X1354" s="8" t="str">
        <f>+IFERROR(VLOOKUP(N1354,[1]Hoja1!$B$2:$F$52,4,0)*P1354,"")</f>
        <v/>
      </c>
      <c r="Y1354" s="8" t="e">
        <f>+VLOOKUP(M1354,[1]SKU!$B$3:$E$81,4,0)</f>
        <v>#N/A</v>
      </c>
      <c r="Z1354" s="8" t="str">
        <f t="shared" si="21"/>
        <v>FLEX</v>
      </c>
      <c r="AA1354" s="8" t="e">
        <f>+VLOOKUP(I1354,[1]SKU!$H$2:$I$97,2,0)</f>
        <v>#N/A</v>
      </c>
    </row>
    <row r="1355" spans="24:27">
      <c r="X1355" s="8" t="str">
        <f>+IFERROR(VLOOKUP(N1355,[1]Hoja1!$B$2:$F$52,4,0)*P1355,"")</f>
        <v/>
      </c>
      <c r="Y1355" s="8" t="e">
        <f>+VLOOKUP(M1355,[1]SKU!$B$3:$E$81,4,0)</f>
        <v>#N/A</v>
      </c>
      <c r="Z1355" s="8" t="str">
        <f t="shared" si="21"/>
        <v>FLEX</v>
      </c>
      <c r="AA1355" s="8" t="e">
        <f>+VLOOKUP(I1355,[1]SKU!$H$2:$I$97,2,0)</f>
        <v>#N/A</v>
      </c>
    </row>
    <row r="1356" spans="24:27">
      <c r="X1356" s="8" t="str">
        <f>+IFERROR(VLOOKUP(N1356,[1]Hoja1!$B$2:$F$52,4,0)*P1356,"")</f>
        <v/>
      </c>
      <c r="Y1356" s="8" t="e">
        <f>+VLOOKUP(M1356,[1]SKU!$B$3:$E$81,4,0)</f>
        <v>#N/A</v>
      </c>
      <c r="Z1356" s="8" t="str">
        <f t="shared" si="21"/>
        <v>FLEX</v>
      </c>
      <c r="AA1356" s="8" t="e">
        <f>+VLOOKUP(I1356,[1]SKU!$H$2:$I$97,2,0)</f>
        <v>#N/A</v>
      </c>
    </row>
    <row r="1357" spans="24:27">
      <c r="X1357" s="8" t="str">
        <f>+IFERROR(VLOOKUP(N1357,[1]Hoja1!$B$2:$F$52,4,0)*P1357,"")</f>
        <v/>
      </c>
      <c r="Y1357" s="8" t="e">
        <f>+VLOOKUP(M1357,[1]SKU!$B$3:$E$81,4,0)</f>
        <v>#N/A</v>
      </c>
      <c r="Z1357" s="8" t="str">
        <f t="shared" si="21"/>
        <v>FLEX</v>
      </c>
      <c r="AA1357" s="8" t="e">
        <f>+VLOOKUP(I1357,[1]SKU!$H$2:$I$97,2,0)</f>
        <v>#N/A</v>
      </c>
    </row>
    <row r="1358" spans="24:27">
      <c r="X1358" s="8" t="str">
        <f>+IFERROR(VLOOKUP(N1358,[1]Hoja1!$B$2:$F$52,4,0)*P1358,"")</f>
        <v/>
      </c>
      <c r="Y1358" s="8" t="e">
        <f>+VLOOKUP(M1358,[1]SKU!$B$3:$E$81,4,0)</f>
        <v>#N/A</v>
      </c>
      <c r="Z1358" s="8" t="str">
        <f t="shared" si="21"/>
        <v>FLEX</v>
      </c>
      <c r="AA1358" s="8" t="e">
        <f>+VLOOKUP(I1358,[1]SKU!$H$2:$I$97,2,0)</f>
        <v>#N/A</v>
      </c>
    </row>
    <row r="1359" spans="24:27">
      <c r="X1359" s="8" t="str">
        <f>+IFERROR(VLOOKUP(N1359,[1]Hoja1!$B$2:$F$52,4,0)*P1359,"")</f>
        <v/>
      </c>
      <c r="Y1359" s="8" t="e">
        <f>+VLOOKUP(M1359,[1]SKU!$B$3:$E$81,4,0)</f>
        <v>#N/A</v>
      </c>
      <c r="Z1359" s="8" t="str">
        <f t="shared" si="21"/>
        <v>FLEX</v>
      </c>
      <c r="AA1359" s="8" t="e">
        <f>+VLOOKUP(I1359,[1]SKU!$H$2:$I$97,2,0)</f>
        <v>#N/A</v>
      </c>
    </row>
    <row r="1360" spans="24:27">
      <c r="X1360" s="8" t="str">
        <f>+IFERROR(VLOOKUP(N1360,[1]Hoja1!$B$2:$F$52,4,0)*P1360,"")</f>
        <v/>
      </c>
      <c r="Y1360" s="8" t="e">
        <f>+VLOOKUP(M1360,[1]SKU!$B$3:$E$81,4,0)</f>
        <v>#N/A</v>
      </c>
      <c r="Z1360" s="8" t="str">
        <f t="shared" si="21"/>
        <v>FLEX</v>
      </c>
      <c r="AA1360" s="8" t="e">
        <f>+VLOOKUP(I1360,[1]SKU!$H$2:$I$97,2,0)</f>
        <v>#N/A</v>
      </c>
    </row>
    <row r="1361" spans="24:27">
      <c r="X1361" s="8" t="str">
        <f>+IFERROR(VLOOKUP(N1361,[1]Hoja1!$B$2:$F$52,4,0)*P1361,"")</f>
        <v/>
      </c>
      <c r="Y1361" s="8" t="e">
        <f>+VLOOKUP(M1361,[1]SKU!$B$3:$E$81,4,0)</f>
        <v>#N/A</v>
      </c>
      <c r="Z1361" s="8" t="str">
        <f t="shared" si="21"/>
        <v>FLEX</v>
      </c>
      <c r="AA1361" s="8" t="e">
        <f>+VLOOKUP(I1361,[1]SKU!$H$2:$I$97,2,0)</f>
        <v>#N/A</v>
      </c>
    </row>
    <row r="1362" spans="24:27">
      <c r="X1362" s="8" t="str">
        <f>+IFERROR(VLOOKUP(N1362,[1]Hoja1!$B$2:$F$52,4,0)*P1362,"")</f>
        <v/>
      </c>
      <c r="Y1362" s="8" t="e">
        <f>+VLOOKUP(M1362,[1]SKU!$B$3:$E$81,4,0)</f>
        <v>#N/A</v>
      </c>
      <c r="Z1362" s="8" t="str">
        <f t="shared" si="21"/>
        <v>FLEX</v>
      </c>
      <c r="AA1362" s="8" t="e">
        <f>+VLOOKUP(I1362,[1]SKU!$H$2:$I$97,2,0)</f>
        <v>#N/A</v>
      </c>
    </row>
    <row r="1363" spans="24:27">
      <c r="X1363" s="8" t="str">
        <f>+IFERROR(VLOOKUP(N1363,[1]Hoja1!$B$2:$F$52,4,0)*P1363,"")</f>
        <v/>
      </c>
      <c r="Y1363" s="8" t="e">
        <f>+VLOOKUP(M1363,[1]SKU!$B$3:$E$81,4,0)</f>
        <v>#N/A</v>
      </c>
      <c r="Z1363" s="8" t="str">
        <f t="shared" si="21"/>
        <v>FLEX</v>
      </c>
      <c r="AA1363" s="8" t="e">
        <f>+VLOOKUP(I1363,[1]SKU!$H$2:$I$97,2,0)</f>
        <v>#N/A</v>
      </c>
    </row>
    <row r="1364" spans="24:27">
      <c r="X1364" s="8" t="str">
        <f>+IFERROR(VLOOKUP(N1364,[1]Hoja1!$B$2:$F$52,4,0)*P1364,"")</f>
        <v/>
      </c>
      <c r="Y1364" s="8" t="e">
        <f>+VLOOKUP(M1364,[1]SKU!$B$3:$E$81,4,0)</f>
        <v>#N/A</v>
      </c>
      <c r="Z1364" s="8" t="str">
        <f t="shared" si="21"/>
        <v>FLEX</v>
      </c>
      <c r="AA1364" s="8" t="e">
        <f>+VLOOKUP(I1364,[1]SKU!$H$2:$I$97,2,0)</f>
        <v>#N/A</v>
      </c>
    </row>
    <row r="1365" spans="24:27">
      <c r="X1365" s="8" t="str">
        <f>+IFERROR(VLOOKUP(N1365,[1]Hoja1!$B$2:$F$52,4,0)*P1365,"")</f>
        <v/>
      </c>
      <c r="Y1365" s="8" t="e">
        <f>+VLOOKUP(M1365,[1]SKU!$B$3:$E$81,4,0)</f>
        <v>#N/A</v>
      </c>
      <c r="Z1365" s="8" t="str">
        <f t="shared" si="21"/>
        <v>FLEX</v>
      </c>
      <c r="AA1365" s="8" t="e">
        <f>+VLOOKUP(I1365,[1]SKU!$H$2:$I$97,2,0)</f>
        <v>#N/A</v>
      </c>
    </row>
    <row r="1366" spans="24:27">
      <c r="X1366" s="8" t="str">
        <f>+IFERROR(VLOOKUP(N1366,[1]Hoja1!$B$2:$F$52,4,0)*P1366,"")</f>
        <v/>
      </c>
      <c r="Y1366" s="8" t="e">
        <f>+VLOOKUP(M1366,[1]SKU!$B$3:$E$81,4,0)</f>
        <v>#N/A</v>
      </c>
      <c r="Z1366" s="8" t="str">
        <f t="shared" si="21"/>
        <v>FLEX</v>
      </c>
      <c r="AA1366" s="8" t="e">
        <f>+VLOOKUP(I1366,[1]SKU!$H$2:$I$97,2,0)</f>
        <v>#N/A</v>
      </c>
    </row>
    <row r="1367" spans="24:27">
      <c r="X1367" s="8" t="str">
        <f>+IFERROR(VLOOKUP(N1367,[1]Hoja1!$B$2:$F$52,4,0)*P1367,"")</f>
        <v/>
      </c>
      <c r="Y1367" s="8" t="e">
        <f>+VLOOKUP(M1367,[1]SKU!$B$3:$E$81,4,0)</f>
        <v>#N/A</v>
      </c>
      <c r="Z1367" s="8" t="str">
        <f t="shared" si="21"/>
        <v>FLEX</v>
      </c>
      <c r="AA1367" s="8" t="e">
        <f>+VLOOKUP(I1367,[1]SKU!$H$2:$I$97,2,0)</f>
        <v>#N/A</v>
      </c>
    </row>
    <row r="1368" spans="24:27">
      <c r="X1368" s="8" t="str">
        <f>+IFERROR(VLOOKUP(N1368,[1]Hoja1!$B$2:$F$52,4,0)*P1368,"")</f>
        <v/>
      </c>
      <c r="Y1368" s="8" t="e">
        <f>+VLOOKUP(M1368,[1]SKU!$B$3:$E$81,4,0)</f>
        <v>#N/A</v>
      </c>
      <c r="Z1368" s="8" t="str">
        <f t="shared" si="21"/>
        <v>FLEX</v>
      </c>
      <c r="AA1368" s="8" t="e">
        <f>+VLOOKUP(I1368,[1]SKU!$H$2:$I$97,2,0)</f>
        <v>#N/A</v>
      </c>
    </row>
    <row r="1369" spans="24:27">
      <c r="X1369" s="8" t="str">
        <f>+IFERROR(VLOOKUP(N1369,[1]Hoja1!$B$2:$F$52,4,0)*P1369,"")</f>
        <v/>
      </c>
      <c r="Y1369" s="8" t="e">
        <f>+VLOOKUP(M1369,[1]SKU!$B$3:$E$81,4,0)</f>
        <v>#N/A</v>
      </c>
      <c r="Z1369" s="8" t="str">
        <f t="shared" si="21"/>
        <v>FLEX</v>
      </c>
      <c r="AA1369" s="8" t="e">
        <f>+VLOOKUP(I1369,[1]SKU!$H$2:$I$97,2,0)</f>
        <v>#N/A</v>
      </c>
    </row>
    <row r="1370" spans="24:27">
      <c r="X1370" s="8" t="str">
        <f>+IFERROR(VLOOKUP(N1370,[1]Hoja1!$B$2:$F$52,4,0)*P1370,"")</f>
        <v/>
      </c>
      <c r="Y1370" s="8" t="e">
        <f>+VLOOKUP(M1370,[1]SKU!$B$3:$E$81,4,0)</f>
        <v>#N/A</v>
      </c>
      <c r="Z1370" s="8" t="str">
        <f t="shared" si="21"/>
        <v>FLEX</v>
      </c>
      <c r="AA1370" s="8" t="e">
        <f>+VLOOKUP(I1370,[1]SKU!$H$2:$I$97,2,0)</f>
        <v>#N/A</v>
      </c>
    </row>
    <row r="1371" spans="24:27">
      <c r="X1371" s="8" t="str">
        <f>+IFERROR(VLOOKUP(N1371,[1]Hoja1!$B$2:$F$52,4,0)*P1371,"")</f>
        <v/>
      </c>
      <c r="Y1371" s="8" t="e">
        <f>+VLOOKUP(M1371,[1]SKU!$B$3:$E$81,4,0)</f>
        <v>#N/A</v>
      </c>
      <c r="Z1371" s="8" t="str">
        <f t="shared" si="21"/>
        <v>FLEX</v>
      </c>
      <c r="AA1371" s="8" t="e">
        <f>+VLOOKUP(I1371,[1]SKU!$H$2:$I$97,2,0)</f>
        <v>#N/A</v>
      </c>
    </row>
    <row r="1372" spans="24:27">
      <c r="X1372" s="8" t="str">
        <f>+IFERROR(VLOOKUP(N1372,[1]Hoja1!$B$2:$F$52,4,0)*P1372,"")</f>
        <v/>
      </c>
      <c r="Y1372" s="8" t="e">
        <f>+VLOOKUP(M1372,[1]SKU!$B$3:$E$81,4,0)</f>
        <v>#N/A</v>
      </c>
      <c r="Z1372" s="8" t="str">
        <f t="shared" si="21"/>
        <v>FLEX</v>
      </c>
      <c r="AA1372" s="8" t="e">
        <f>+VLOOKUP(I1372,[1]SKU!$H$2:$I$97,2,0)</f>
        <v>#N/A</v>
      </c>
    </row>
    <row r="1373" spans="24:27">
      <c r="X1373" s="8" t="str">
        <f>+IFERROR(VLOOKUP(N1373,[1]Hoja1!$B$2:$F$52,4,0)*P1373,"")</f>
        <v/>
      </c>
      <c r="Y1373" s="8" t="e">
        <f>+VLOOKUP(M1373,[1]SKU!$B$3:$E$81,4,0)</f>
        <v>#N/A</v>
      </c>
      <c r="Z1373" s="8" t="str">
        <f t="shared" si="21"/>
        <v>FLEX</v>
      </c>
      <c r="AA1373" s="8" t="e">
        <f>+VLOOKUP(I1373,[1]SKU!$H$2:$I$97,2,0)</f>
        <v>#N/A</v>
      </c>
    </row>
    <row r="1374" spans="24:27">
      <c r="X1374" s="8" t="str">
        <f>+IFERROR(VLOOKUP(N1374,[1]Hoja1!$B$2:$F$52,4,0)*P1374,"")</f>
        <v/>
      </c>
      <c r="Y1374" s="8" t="e">
        <f>+VLOOKUP(M1374,[1]SKU!$B$3:$E$81,4,0)</f>
        <v>#N/A</v>
      </c>
      <c r="Z1374" s="8" t="str">
        <f t="shared" si="21"/>
        <v>FLEX</v>
      </c>
      <c r="AA1374" s="8" t="e">
        <f>+VLOOKUP(I1374,[1]SKU!$H$2:$I$97,2,0)</f>
        <v>#N/A</v>
      </c>
    </row>
    <row r="1375" spans="24:27">
      <c r="X1375" s="8" t="str">
        <f>+IFERROR(VLOOKUP(N1375,[1]Hoja1!$B$2:$F$52,4,0)*P1375,"")</f>
        <v/>
      </c>
      <c r="Y1375" s="8" t="e">
        <f>+VLOOKUP(M1375,[1]SKU!$B$3:$E$81,4,0)</f>
        <v>#N/A</v>
      </c>
      <c r="Z1375" s="8" t="str">
        <f t="shared" si="21"/>
        <v>FLEX</v>
      </c>
      <c r="AA1375" s="8" t="e">
        <f>+VLOOKUP(I1375,[1]SKU!$H$2:$I$97,2,0)</f>
        <v>#N/A</v>
      </c>
    </row>
    <row r="1376" spans="24:27">
      <c r="X1376" s="8" t="str">
        <f>+IFERROR(VLOOKUP(N1376,[1]Hoja1!$B$2:$F$52,4,0)*P1376,"")</f>
        <v/>
      </c>
      <c r="Y1376" s="8" t="e">
        <f>+VLOOKUP(M1376,[1]SKU!$B$3:$E$81,4,0)</f>
        <v>#N/A</v>
      </c>
      <c r="Z1376" s="8" t="str">
        <f t="shared" si="21"/>
        <v>FLEX</v>
      </c>
      <c r="AA1376" s="8" t="e">
        <f>+VLOOKUP(I1376,[1]SKU!$H$2:$I$97,2,0)</f>
        <v>#N/A</v>
      </c>
    </row>
    <row r="1377" spans="24:27">
      <c r="X1377" s="8" t="str">
        <f>+IFERROR(VLOOKUP(N1377,[1]Hoja1!$B$2:$F$52,4,0)*P1377,"")</f>
        <v/>
      </c>
      <c r="Y1377" s="8" t="e">
        <f>+VLOOKUP(M1377,[1]SKU!$B$3:$E$81,4,0)</f>
        <v>#N/A</v>
      </c>
      <c r="Z1377" s="8" t="str">
        <f t="shared" si="21"/>
        <v>FLEX</v>
      </c>
      <c r="AA1377" s="8" t="e">
        <f>+VLOOKUP(I1377,[1]SKU!$H$2:$I$97,2,0)</f>
        <v>#N/A</v>
      </c>
    </row>
    <row r="1378" spans="24:27">
      <c r="X1378" s="8" t="str">
        <f>+IFERROR(VLOOKUP(N1378,[1]Hoja1!$B$2:$F$52,4,0)*P1378,"")</f>
        <v/>
      </c>
      <c r="Y1378" s="8" t="e">
        <f>+VLOOKUP(M1378,[1]SKU!$B$3:$E$81,4,0)</f>
        <v>#N/A</v>
      </c>
      <c r="Z1378" s="8" t="str">
        <f t="shared" si="21"/>
        <v>FLEX</v>
      </c>
      <c r="AA1378" s="8" t="e">
        <f>+VLOOKUP(I1378,[1]SKU!$H$2:$I$97,2,0)</f>
        <v>#N/A</v>
      </c>
    </row>
    <row r="1379" spans="24:27">
      <c r="X1379" s="8" t="str">
        <f>+IFERROR(VLOOKUP(N1379,[1]Hoja1!$B$2:$F$52,4,0)*P1379,"")</f>
        <v/>
      </c>
      <c r="Y1379" s="8" t="e">
        <f>+VLOOKUP(M1379,[1]SKU!$B$3:$E$81,4,0)</f>
        <v>#N/A</v>
      </c>
      <c r="Z1379" s="8" t="str">
        <f t="shared" si="21"/>
        <v>FLEX</v>
      </c>
      <c r="AA1379" s="8" t="e">
        <f>+VLOOKUP(I1379,[1]SKU!$H$2:$I$97,2,0)</f>
        <v>#N/A</v>
      </c>
    </row>
    <row r="1380" spans="24:27">
      <c r="X1380" s="8" t="str">
        <f>+IFERROR(VLOOKUP(N1380,[1]Hoja1!$B$2:$F$52,4,0)*P1380,"")</f>
        <v/>
      </c>
      <c r="Y1380" s="8" t="e">
        <f>+VLOOKUP(M1380,[1]SKU!$B$3:$E$81,4,0)</f>
        <v>#N/A</v>
      </c>
      <c r="Z1380" s="8" t="str">
        <f t="shared" si="21"/>
        <v>FLEX</v>
      </c>
      <c r="AA1380" s="8" t="e">
        <f>+VLOOKUP(I1380,[1]SKU!$H$2:$I$97,2,0)</f>
        <v>#N/A</v>
      </c>
    </row>
    <row r="1381" spans="24:27">
      <c r="X1381" s="8" t="str">
        <f>+IFERROR(VLOOKUP(N1381,[1]Hoja1!$B$2:$F$52,4,0)*P1381,"")</f>
        <v/>
      </c>
      <c r="Y1381" s="8" t="e">
        <f>+VLOOKUP(M1381,[1]SKU!$B$3:$E$81,4,0)</f>
        <v>#N/A</v>
      </c>
      <c r="Z1381" s="8" t="str">
        <f t="shared" si="21"/>
        <v>FLEX</v>
      </c>
      <c r="AA1381" s="8" t="e">
        <f>+VLOOKUP(I1381,[1]SKU!$H$2:$I$97,2,0)</f>
        <v>#N/A</v>
      </c>
    </row>
    <row r="1382" spans="24:27">
      <c r="X1382" s="8" t="str">
        <f>+IFERROR(VLOOKUP(N1382,[1]Hoja1!$B$2:$F$52,4,0)*P1382,"")</f>
        <v/>
      </c>
      <c r="Y1382" s="8" t="e">
        <f>+VLOOKUP(M1382,[1]SKU!$B$3:$E$81,4,0)</f>
        <v>#N/A</v>
      </c>
      <c r="Z1382" s="8" t="str">
        <f t="shared" si="21"/>
        <v>FLEX</v>
      </c>
      <c r="AA1382" s="8" t="e">
        <f>+VLOOKUP(I1382,[1]SKU!$H$2:$I$97,2,0)</f>
        <v>#N/A</v>
      </c>
    </row>
    <row r="1383" spans="24:27">
      <c r="X1383" s="8" t="str">
        <f>+IFERROR(VLOOKUP(N1383,[1]Hoja1!$B$2:$F$52,4,0)*P1383,"")</f>
        <v/>
      </c>
      <c r="Y1383" s="8" t="e">
        <f>+VLOOKUP(M1383,[1]SKU!$B$3:$E$81,4,0)</f>
        <v>#N/A</v>
      </c>
      <c r="Z1383" s="8" t="str">
        <f t="shared" si="21"/>
        <v>FLEX</v>
      </c>
      <c r="AA1383" s="8" t="e">
        <f>+VLOOKUP(I1383,[1]SKU!$H$2:$I$97,2,0)</f>
        <v>#N/A</v>
      </c>
    </row>
    <row r="1384" spans="24:27">
      <c r="X1384" s="8" t="str">
        <f>+IFERROR(VLOOKUP(N1384,[1]Hoja1!$B$2:$F$52,4,0)*P1384,"")</f>
        <v/>
      </c>
      <c r="Y1384" s="8" t="e">
        <f>+VLOOKUP(M1384,[1]SKU!$B$3:$E$81,4,0)</f>
        <v>#N/A</v>
      </c>
      <c r="Z1384" s="8" t="str">
        <f t="shared" si="21"/>
        <v>FLEX</v>
      </c>
      <c r="AA1384" s="8" t="e">
        <f>+VLOOKUP(I1384,[1]SKU!$H$2:$I$97,2,0)</f>
        <v>#N/A</v>
      </c>
    </row>
    <row r="1385" spans="24:27">
      <c r="X1385" s="8" t="str">
        <f>+IFERROR(VLOOKUP(N1385,[1]Hoja1!$B$2:$F$52,4,0)*P1385,"")</f>
        <v/>
      </c>
      <c r="Y1385" s="8" t="e">
        <f>+VLOOKUP(M1385,[1]SKU!$B$3:$E$81,4,0)</f>
        <v>#N/A</v>
      </c>
      <c r="Z1385" s="8" t="str">
        <f t="shared" si="21"/>
        <v>FLEX</v>
      </c>
      <c r="AA1385" s="8" t="e">
        <f>+VLOOKUP(I1385,[1]SKU!$H$2:$I$97,2,0)</f>
        <v>#N/A</v>
      </c>
    </row>
    <row r="1386" spans="24:27">
      <c r="X1386" s="8" t="str">
        <f>+IFERROR(VLOOKUP(N1386,[1]Hoja1!$B$2:$F$52,4,0)*P1386,"")</f>
        <v/>
      </c>
      <c r="Y1386" s="8" t="e">
        <f>+VLOOKUP(M1386,[1]SKU!$B$3:$E$81,4,0)</f>
        <v>#N/A</v>
      </c>
      <c r="Z1386" s="8" t="str">
        <f t="shared" si="21"/>
        <v>FLEX</v>
      </c>
      <c r="AA1386" s="8" t="e">
        <f>+VLOOKUP(I1386,[1]SKU!$H$2:$I$97,2,0)</f>
        <v>#N/A</v>
      </c>
    </row>
    <row r="1387" spans="24:27">
      <c r="X1387" s="8" t="str">
        <f>+IFERROR(VLOOKUP(N1387,[1]Hoja1!$B$2:$F$52,4,0)*P1387,"")</f>
        <v/>
      </c>
      <c r="Y1387" s="8" t="e">
        <f>+VLOOKUP(M1387,[1]SKU!$B$3:$E$81,4,0)</f>
        <v>#N/A</v>
      </c>
      <c r="Z1387" s="8" t="str">
        <f t="shared" si="21"/>
        <v>FLEX</v>
      </c>
      <c r="AA1387" s="8" t="e">
        <f>+VLOOKUP(I1387,[1]SKU!$H$2:$I$97,2,0)</f>
        <v>#N/A</v>
      </c>
    </row>
    <row r="1388" spans="24:27">
      <c r="X1388" s="8" t="str">
        <f>+IFERROR(VLOOKUP(N1388,[1]Hoja1!$B$2:$F$52,4,0)*P1388,"")</f>
        <v/>
      </c>
      <c r="Y1388" s="8" t="e">
        <f>+VLOOKUP(M1388,[1]SKU!$B$3:$E$81,4,0)</f>
        <v>#N/A</v>
      </c>
      <c r="Z1388" s="8" t="str">
        <f t="shared" si="21"/>
        <v>FLEX</v>
      </c>
      <c r="AA1388" s="8" t="e">
        <f>+VLOOKUP(I1388,[1]SKU!$H$2:$I$97,2,0)</f>
        <v>#N/A</v>
      </c>
    </row>
    <row r="1389" spans="24:27">
      <c r="X1389" s="8" t="str">
        <f>+IFERROR(VLOOKUP(N1389,[1]Hoja1!$B$2:$F$52,4,0)*P1389,"")</f>
        <v/>
      </c>
      <c r="Y1389" s="8" t="e">
        <f>+VLOOKUP(M1389,[1]SKU!$B$3:$E$81,4,0)</f>
        <v>#N/A</v>
      </c>
      <c r="Z1389" s="8" t="str">
        <f t="shared" si="21"/>
        <v>FLEX</v>
      </c>
      <c r="AA1389" s="8" t="e">
        <f>+VLOOKUP(I1389,[1]SKU!$H$2:$I$97,2,0)</f>
        <v>#N/A</v>
      </c>
    </row>
    <row r="1390" spans="24:27">
      <c r="X1390" s="8" t="str">
        <f>+IFERROR(VLOOKUP(N1390,[1]Hoja1!$B$2:$F$52,4,0)*P1390,"")</f>
        <v/>
      </c>
      <c r="Y1390" s="8" t="e">
        <f>+VLOOKUP(M1390,[1]SKU!$B$3:$E$81,4,0)</f>
        <v>#N/A</v>
      </c>
      <c r="Z1390" s="8" t="str">
        <f t="shared" si="21"/>
        <v>FLEX</v>
      </c>
      <c r="AA1390" s="8" t="e">
        <f>+VLOOKUP(I1390,[1]SKU!$H$2:$I$97,2,0)</f>
        <v>#N/A</v>
      </c>
    </row>
    <row r="1391" spans="24:27">
      <c r="X1391" s="8" t="str">
        <f>+IFERROR(VLOOKUP(N1391,[1]Hoja1!$B$2:$F$52,4,0)*P1391,"")</f>
        <v/>
      </c>
      <c r="Y1391" s="8" t="e">
        <f>+VLOOKUP(M1391,[1]SKU!$B$3:$E$81,4,0)</f>
        <v>#N/A</v>
      </c>
      <c r="Z1391" s="8" t="str">
        <f t="shared" si="21"/>
        <v>FLEX</v>
      </c>
      <c r="AA1391" s="8" t="e">
        <f>+VLOOKUP(I1391,[1]SKU!$H$2:$I$97,2,0)</f>
        <v>#N/A</v>
      </c>
    </row>
    <row r="1392" spans="24:27">
      <c r="X1392" s="8" t="str">
        <f>+IFERROR(VLOOKUP(N1392,[1]Hoja1!$B$2:$F$52,4,0)*P1392,"")</f>
        <v/>
      </c>
      <c r="Y1392" s="8" t="e">
        <f>+VLOOKUP(M1392,[1]SKU!$B$3:$E$81,4,0)</f>
        <v>#N/A</v>
      </c>
      <c r="Z1392" s="8" t="str">
        <f t="shared" si="21"/>
        <v>FLEX</v>
      </c>
      <c r="AA1392" s="8" t="e">
        <f>+VLOOKUP(I1392,[1]SKU!$H$2:$I$97,2,0)</f>
        <v>#N/A</v>
      </c>
    </row>
    <row r="1393" spans="24:27">
      <c r="X1393" s="8" t="str">
        <f>+IFERROR(VLOOKUP(N1393,[1]Hoja1!$B$2:$F$52,4,0)*P1393,"")</f>
        <v/>
      </c>
      <c r="Y1393" s="8" t="e">
        <f>+VLOOKUP(M1393,[1]SKU!$B$3:$E$81,4,0)</f>
        <v>#N/A</v>
      </c>
      <c r="Z1393" s="8" t="str">
        <f t="shared" si="21"/>
        <v>FLEX</v>
      </c>
      <c r="AA1393" s="8" t="e">
        <f>+VLOOKUP(I1393,[1]SKU!$H$2:$I$97,2,0)</f>
        <v>#N/A</v>
      </c>
    </row>
    <row r="1394" spans="24:27">
      <c r="X1394" s="8" t="str">
        <f>+IFERROR(VLOOKUP(N1394,[1]Hoja1!$B$2:$F$52,4,0)*P1394,"")</f>
        <v/>
      </c>
      <c r="Y1394" s="8" t="e">
        <f>+VLOOKUP(M1394,[1]SKU!$B$3:$E$81,4,0)</f>
        <v>#N/A</v>
      </c>
      <c r="Z1394" s="8" t="str">
        <f t="shared" si="21"/>
        <v>FLEX</v>
      </c>
      <c r="AA1394" s="8" t="e">
        <f>+VLOOKUP(I1394,[1]SKU!$H$2:$I$97,2,0)</f>
        <v>#N/A</v>
      </c>
    </row>
    <row r="1395" spans="24:27">
      <c r="X1395" s="8" t="str">
        <f>+IFERROR(VLOOKUP(N1395,[1]Hoja1!$B$2:$F$52,4,0)*P1395,"")</f>
        <v/>
      </c>
      <c r="Y1395" s="8" t="e">
        <f>+VLOOKUP(M1395,[1]SKU!$B$3:$E$81,4,0)</f>
        <v>#N/A</v>
      </c>
      <c r="Z1395" s="8" t="str">
        <f t="shared" si="21"/>
        <v>FLEX</v>
      </c>
      <c r="AA1395" s="8" t="e">
        <f>+VLOOKUP(I1395,[1]SKU!$H$2:$I$97,2,0)</f>
        <v>#N/A</v>
      </c>
    </row>
    <row r="1396" spans="24:27">
      <c r="X1396" s="8" t="str">
        <f>+IFERROR(VLOOKUP(N1396,[1]Hoja1!$B$2:$F$52,4,0)*P1396,"")</f>
        <v/>
      </c>
      <c r="Y1396" s="8" t="e">
        <f>+VLOOKUP(M1396,[1]SKU!$B$3:$E$81,4,0)</f>
        <v>#N/A</v>
      </c>
      <c r="Z1396" s="8" t="str">
        <f t="shared" si="21"/>
        <v>FLEX</v>
      </c>
      <c r="AA1396" s="8" t="e">
        <f>+VLOOKUP(I1396,[1]SKU!$H$2:$I$97,2,0)</f>
        <v>#N/A</v>
      </c>
    </row>
    <row r="1397" spans="24:27">
      <c r="X1397" s="8" t="str">
        <f>+IFERROR(VLOOKUP(N1397,[1]Hoja1!$B$2:$F$52,4,0)*P1397,"")</f>
        <v/>
      </c>
      <c r="Y1397" s="8" t="e">
        <f>+VLOOKUP(M1397,[1]SKU!$B$3:$E$81,4,0)</f>
        <v>#N/A</v>
      </c>
      <c r="Z1397" s="8" t="str">
        <f t="shared" si="21"/>
        <v>FLEX</v>
      </c>
      <c r="AA1397" s="8" t="e">
        <f>+VLOOKUP(I1397,[1]SKU!$H$2:$I$97,2,0)</f>
        <v>#N/A</v>
      </c>
    </row>
    <row r="1398" spans="24:27">
      <c r="X1398" s="8" t="str">
        <f>+IFERROR(VLOOKUP(N1398,[1]Hoja1!$B$2:$F$52,4,0)*P1398,"")</f>
        <v/>
      </c>
      <c r="Y1398" s="8" t="e">
        <f>+VLOOKUP(M1398,[1]SKU!$B$3:$E$81,4,0)</f>
        <v>#N/A</v>
      </c>
      <c r="Z1398" s="8" t="str">
        <f t="shared" si="21"/>
        <v>FLEX</v>
      </c>
      <c r="AA1398" s="8" t="e">
        <f>+VLOOKUP(I1398,[1]SKU!$H$2:$I$97,2,0)</f>
        <v>#N/A</v>
      </c>
    </row>
    <row r="1399" spans="24:27">
      <c r="X1399" s="8" t="str">
        <f>+IFERROR(VLOOKUP(N1399,[1]Hoja1!$B$2:$F$52,4,0)*P1399,"")</f>
        <v/>
      </c>
      <c r="Y1399" s="8" t="e">
        <f>+VLOOKUP(M1399,[1]SKU!$B$3:$E$81,4,0)</f>
        <v>#N/A</v>
      </c>
      <c r="Z1399" s="8" t="str">
        <f t="shared" si="21"/>
        <v>FLEX</v>
      </c>
      <c r="AA1399" s="8" t="e">
        <f>+VLOOKUP(I1399,[1]SKU!$H$2:$I$97,2,0)</f>
        <v>#N/A</v>
      </c>
    </row>
    <row r="1400" spans="24:27">
      <c r="X1400" s="8" t="str">
        <f>+IFERROR(VLOOKUP(N1400,[1]Hoja1!$B$2:$F$52,4,0)*P1400,"")</f>
        <v/>
      </c>
      <c r="Y1400" s="8" t="e">
        <f>+VLOOKUP(M1400,[1]SKU!$B$3:$E$81,4,0)</f>
        <v>#N/A</v>
      </c>
      <c r="Z1400" s="8" t="str">
        <f t="shared" si="21"/>
        <v>FLEX</v>
      </c>
      <c r="AA1400" s="8" t="e">
        <f>+VLOOKUP(I1400,[1]SKU!$H$2:$I$97,2,0)</f>
        <v>#N/A</v>
      </c>
    </row>
    <row r="1401" spans="24:27">
      <c r="X1401" s="8" t="str">
        <f>+IFERROR(VLOOKUP(N1401,[1]Hoja1!$B$2:$F$52,4,0)*P1401,"")</f>
        <v/>
      </c>
      <c r="Y1401" s="8" t="e">
        <f>+VLOOKUP(M1401,[1]SKU!$B$3:$E$81,4,0)</f>
        <v>#N/A</v>
      </c>
      <c r="Z1401" s="8" t="str">
        <f t="shared" si="21"/>
        <v>FLEX</v>
      </c>
      <c r="AA1401" s="8" t="e">
        <f>+VLOOKUP(I1401,[1]SKU!$H$2:$I$97,2,0)</f>
        <v>#N/A</v>
      </c>
    </row>
    <row r="1402" spans="24:27">
      <c r="X1402" s="8" t="str">
        <f>+IFERROR(VLOOKUP(N1402,[1]Hoja1!$B$2:$F$52,4,0)*P1402,"")</f>
        <v/>
      </c>
      <c r="Y1402" s="8" t="e">
        <f>+VLOOKUP(M1402,[1]SKU!$B$3:$E$81,4,0)</f>
        <v>#N/A</v>
      </c>
      <c r="Z1402" s="8" t="str">
        <f t="shared" si="21"/>
        <v>FLEX</v>
      </c>
      <c r="AA1402" s="8" t="e">
        <f>+VLOOKUP(I1402,[1]SKU!$H$2:$I$97,2,0)</f>
        <v>#N/A</v>
      </c>
    </row>
    <row r="1403" spans="24:27">
      <c r="X1403" s="8" t="str">
        <f>+IFERROR(VLOOKUP(N1403,[1]Hoja1!$B$2:$F$52,4,0)*P1403,"")</f>
        <v/>
      </c>
      <c r="Y1403" s="8" t="e">
        <f>+VLOOKUP(M1403,[1]SKU!$B$3:$E$81,4,0)</f>
        <v>#N/A</v>
      </c>
      <c r="Z1403" s="8" t="str">
        <f t="shared" si="21"/>
        <v>FLEX</v>
      </c>
      <c r="AA1403" s="8" t="e">
        <f>+VLOOKUP(I1403,[1]SKU!$H$2:$I$97,2,0)</f>
        <v>#N/A</v>
      </c>
    </row>
    <row r="1404" spans="24:27">
      <c r="X1404" s="8" t="str">
        <f>+IFERROR(VLOOKUP(N1404,[1]Hoja1!$B$2:$F$52,4,0)*P1404,"")</f>
        <v/>
      </c>
      <c r="Y1404" s="8" t="e">
        <f>+VLOOKUP(M1404,[1]SKU!$B$3:$E$81,4,0)</f>
        <v>#N/A</v>
      </c>
      <c r="Z1404" s="8" t="str">
        <f t="shared" si="21"/>
        <v>FLEX</v>
      </c>
      <c r="AA1404" s="8" t="e">
        <f>+VLOOKUP(I1404,[1]SKU!$H$2:$I$97,2,0)</f>
        <v>#N/A</v>
      </c>
    </row>
    <row r="1405" spans="24:27">
      <c r="X1405" s="8" t="str">
        <f>+IFERROR(VLOOKUP(N1405,[1]Hoja1!$B$2:$F$52,4,0)*P1405,"")</f>
        <v/>
      </c>
      <c r="Y1405" s="8" t="e">
        <f>+VLOOKUP(M1405,[1]SKU!$B$3:$E$81,4,0)</f>
        <v>#N/A</v>
      </c>
      <c r="Z1405" s="8" t="str">
        <f t="shared" si="21"/>
        <v>FLEX</v>
      </c>
      <c r="AA1405" s="8" t="e">
        <f>+VLOOKUP(I1405,[1]SKU!$H$2:$I$97,2,0)</f>
        <v>#N/A</v>
      </c>
    </row>
    <row r="1406" spans="24:27">
      <c r="X1406" s="8" t="str">
        <f>+IFERROR(VLOOKUP(N1406,[1]Hoja1!$B$2:$F$52,4,0)*P1406,"")</f>
        <v/>
      </c>
      <c r="Y1406" s="8" t="e">
        <f>+VLOOKUP(M1406,[1]SKU!$B$3:$E$81,4,0)</f>
        <v>#N/A</v>
      </c>
      <c r="Z1406" s="8" t="str">
        <f t="shared" si="21"/>
        <v>FLEX</v>
      </c>
      <c r="AA1406" s="8" t="e">
        <f>+VLOOKUP(I1406,[1]SKU!$H$2:$I$97,2,0)</f>
        <v>#N/A</v>
      </c>
    </row>
    <row r="1407" spans="24:27">
      <c r="X1407" s="8" t="str">
        <f>+IFERROR(VLOOKUP(N1407,[1]Hoja1!$B$2:$F$52,4,0)*P1407,"")</f>
        <v/>
      </c>
      <c r="Y1407" s="8" t="e">
        <f>+VLOOKUP(M1407,[1]SKU!$B$3:$E$81,4,0)</f>
        <v>#N/A</v>
      </c>
      <c r="Z1407" s="8" t="str">
        <f t="shared" si="21"/>
        <v>FLEX</v>
      </c>
      <c r="AA1407" s="8" t="e">
        <f>+VLOOKUP(I1407,[1]SKU!$H$2:$I$97,2,0)</f>
        <v>#N/A</v>
      </c>
    </row>
    <row r="1408" spans="24:27">
      <c r="X1408" s="8" t="str">
        <f>+IFERROR(VLOOKUP(N1408,[1]Hoja1!$B$2:$F$52,4,0)*P1408,"")</f>
        <v/>
      </c>
      <c r="Y1408" s="8" t="e">
        <f>+VLOOKUP(M1408,[1]SKU!$B$3:$E$81,4,0)</f>
        <v>#N/A</v>
      </c>
      <c r="Z1408" s="8" t="str">
        <f t="shared" si="21"/>
        <v>FLEX</v>
      </c>
      <c r="AA1408" s="8" t="e">
        <f>+VLOOKUP(I1408,[1]SKU!$H$2:$I$97,2,0)</f>
        <v>#N/A</v>
      </c>
    </row>
    <row r="1409" spans="24:27">
      <c r="X1409" s="8" t="str">
        <f>+IFERROR(VLOOKUP(N1409,[1]Hoja1!$B$2:$F$52,4,0)*P1409,"")</f>
        <v/>
      </c>
      <c r="Y1409" s="8" t="e">
        <f>+VLOOKUP(M1409,[1]SKU!$B$3:$E$81,4,0)</f>
        <v>#N/A</v>
      </c>
      <c r="Z1409" s="8" t="str">
        <f t="shared" si="21"/>
        <v>FLEX</v>
      </c>
      <c r="AA1409" s="8" t="e">
        <f>+VLOOKUP(I1409,[1]SKU!$H$2:$I$97,2,0)</f>
        <v>#N/A</v>
      </c>
    </row>
    <row r="1410" spans="24:27">
      <c r="X1410" s="8" t="str">
        <f>+IFERROR(VLOOKUP(N1410,[1]Hoja1!$B$2:$F$52,4,0)*P1410,"")</f>
        <v/>
      </c>
      <c r="Y1410" s="8" t="e">
        <f>+VLOOKUP(M1410,[1]SKU!$B$3:$E$81,4,0)</f>
        <v>#N/A</v>
      </c>
      <c r="Z1410" s="8" t="str">
        <f t="shared" si="21"/>
        <v>FLEX</v>
      </c>
      <c r="AA1410" s="8" t="e">
        <f>+VLOOKUP(I1410,[1]SKU!$H$2:$I$97,2,0)</f>
        <v>#N/A</v>
      </c>
    </row>
    <row r="1411" spans="24:27">
      <c r="X1411" s="8" t="str">
        <f>+IFERROR(VLOOKUP(N1411,[1]Hoja1!$B$2:$F$52,4,0)*P1411,"")</f>
        <v/>
      </c>
      <c r="Y1411" s="8" t="e">
        <f>+VLOOKUP(M1411,[1]SKU!$B$3:$E$81,4,0)</f>
        <v>#N/A</v>
      </c>
      <c r="Z1411" s="8" t="str">
        <f t="shared" ref="Z1411:Z1474" si="22">+IF(J1411="VB01                          ","BEES","FLEX")</f>
        <v>FLEX</v>
      </c>
      <c r="AA1411" s="8" t="e">
        <f>+VLOOKUP(I1411,[1]SKU!$H$2:$I$97,2,0)</f>
        <v>#N/A</v>
      </c>
    </row>
    <row r="1412" spans="24:27">
      <c r="X1412" s="8" t="str">
        <f>+IFERROR(VLOOKUP(N1412,[1]Hoja1!$B$2:$F$52,4,0)*P1412,"")</f>
        <v/>
      </c>
      <c r="Y1412" s="8" t="e">
        <f>+VLOOKUP(M1412,[1]SKU!$B$3:$E$81,4,0)</f>
        <v>#N/A</v>
      </c>
      <c r="Z1412" s="8" t="str">
        <f t="shared" si="22"/>
        <v>FLEX</v>
      </c>
      <c r="AA1412" s="8" t="e">
        <f>+VLOOKUP(I1412,[1]SKU!$H$2:$I$97,2,0)</f>
        <v>#N/A</v>
      </c>
    </row>
    <row r="1413" spans="24:27">
      <c r="X1413" s="8" t="str">
        <f>+IFERROR(VLOOKUP(N1413,[1]Hoja1!$B$2:$F$52,4,0)*P1413,"")</f>
        <v/>
      </c>
      <c r="Y1413" s="8" t="e">
        <f>+VLOOKUP(M1413,[1]SKU!$B$3:$E$81,4,0)</f>
        <v>#N/A</v>
      </c>
      <c r="Z1413" s="8" t="str">
        <f t="shared" si="22"/>
        <v>FLEX</v>
      </c>
      <c r="AA1413" s="8" t="e">
        <f>+VLOOKUP(I1413,[1]SKU!$H$2:$I$97,2,0)</f>
        <v>#N/A</v>
      </c>
    </row>
    <row r="1414" spans="24:27">
      <c r="X1414" s="8" t="str">
        <f>+IFERROR(VLOOKUP(N1414,[1]Hoja1!$B$2:$F$52,4,0)*P1414,"")</f>
        <v/>
      </c>
      <c r="Y1414" s="8" t="e">
        <f>+VLOOKUP(M1414,[1]SKU!$B$3:$E$81,4,0)</f>
        <v>#N/A</v>
      </c>
      <c r="Z1414" s="8" t="str">
        <f t="shared" si="22"/>
        <v>FLEX</v>
      </c>
      <c r="AA1414" s="8" t="e">
        <f>+VLOOKUP(I1414,[1]SKU!$H$2:$I$97,2,0)</f>
        <v>#N/A</v>
      </c>
    </row>
    <row r="1415" spans="24:27">
      <c r="X1415" s="8" t="str">
        <f>+IFERROR(VLOOKUP(N1415,[1]Hoja1!$B$2:$F$52,4,0)*P1415,"")</f>
        <v/>
      </c>
      <c r="Y1415" s="8" t="e">
        <f>+VLOOKUP(M1415,[1]SKU!$B$3:$E$81,4,0)</f>
        <v>#N/A</v>
      </c>
      <c r="Z1415" s="8" t="str">
        <f t="shared" si="22"/>
        <v>FLEX</v>
      </c>
      <c r="AA1415" s="8" t="e">
        <f>+VLOOKUP(I1415,[1]SKU!$H$2:$I$97,2,0)</f>
        <v>#N/A</v>
      </c>
    </row>
    <row r="1416" spans="24:27">
      <c r="X1416" s="8" t="str">
        <f>+IFERROR(VLOOKUP(N1416,[1]Hoja1!$B$2:$F$52,4,0)*P1416,"")</f>
        <v/>
      </c>
      <c r="Y1416" s="8" t="e">
        <f>+VLOOKUP(M1416,[1]SKU!$B$3:$E$81,4,0)</f>
        <v>#N/A</v>
      </c>
      <c r="Z1416" s="8" t="str">
        <f t="shared" si="22"/>
        <v>FLEX</v>
      </c>
      <c r="AA1416" s="8" t="e">
        <f>+VLOOKUP(I1416,[1]SKU!$H$2:$I$97,2,0)</f>
        <v>#N/A</v>
      </c>
    </row>
    <row r="1417" spans="24:27">
      <c r="X1417" s="8" t="str">
        <f>+IFERROR(VLOOKUP(N1417,[1]Hoja1!$B$2:$F$52,4,0)*P1417,"")</f>
        <v/>
      </c>
      <c r="Y1417" s="8" t="e">
        <f>+VLOOKUP(M1417,[1]SKU!$B$3:$E$81,4,0)</f>
        <v>#N/A</v>
      </c>
      <c r="Z1417" s="8" t="str">
        <f t="shared" si="22"/>
        <v>FLEX</v>
      </c>
      <c r="AA1417" s="8" t="e">
        <f>+VLOOKUP(I1417,[1]SKU!$H$2:$I$97,2,0)</f>
        <v>#N/A</v>
      </c>
    </row>
    <row r="1418" spans="24:27">
      <c r="X1418" s="8" t="str">
        <f>+IFERROR(VLOOKUP(N1418,[1]Hoja1!$B$2:$F$52,4,0)*P1418,"")</f>
        <v/>
      </c>
      <c r="Y1418" s="8" t="e">
        <f>+VLOOKUP(M1418,[1]SKU!$B$3:$E$81,4,0)</f>
        <v>#N/A</v>
      </c>
      <c r="Z1418" s="8" t="str">
        <f t="shared" si="22"/>
        <v>FLEX</v>
      </c>
      <c r="AA1418" s="8" t="e">
        <f>+VLOOKUP(I1418,[1]SKU!$H$2:$I$97,2,0)</f>
        <v>#N/A</v>
      </c>
    </row>
    <row r="1419" spans="24:27">
      <c r="X1419" s="8" t="str">
        <f>+IFERROR(VLOOKUP(N1419,[1]Hoja1!$B$2:$F$52,4,0)*P1419,"")</f>
        <v/>
      </c>
      <c r="Y1419" s="8" t="e">
        <f>+VLOOKUP(M1419,[1]SKU!$B$3:$E$81,4,0)</f>
        <v>#N/A</v>
      </c>
      <c r="Z1419" s="8" t="str">
        <f t="shared" si="22"/>
        <v>FLEX</v>
      </c>
      <c r="AA1419" s="8" t="e">
        <f>+VLOOKUP(I1419,[1]SKU!$H$2:$I$97,2,0)</f>
        <v>#N/A</v>
      </c>
    </row>
    <row r="1420" spans="24:27">
      <c r="X1420" s="8" t="str">
        <f>+IFERROR(VLOOKUP(N1420,[1]Hoja1!$B$2:$F$52,4,0)*P1420,"")</f>
        <v/>
      </c>
      <c r="Y1420" s="8" t="e">
        <f>+VLOOKUP(M1420,[1]SKU!$B$3:$E$81,4,0)</f>
        <v>#N/A</v>
      </c>
      <c r="Z1420" s="8" t="str">
        <f t="shared" si="22"/>
        <v>FLEX</v>
      </c>
      <c r="AA1420" s="8" t="e">
        <f>+VLOOKUP(I1420,[1]SKU!$H$2:$I$97,2,0)</f>
        <v>#N/A</v>
      </c>
    </row>
    <row r="1421" spans="24:27">
      <c r="X1421" s="8" t="str">
        <f>+IFERROR(VLOOKUP(N1421,[1]Hoja1!$B$2:$F$52,4,0)*P1421,"")</f>
        <v/>
      </c>
      <c r="Y1421" s="8" t="e">
        <f>+VLOOKUP(M1421,[1]SKU!$B$3:$E$81,4,0)</f>
        <v>#N/A</v>
      </c>
      <c r="Z1421" s="8" t="str">
        <f t="shared" si="22"/>
        <v>FLEX</v>
      </c>
      <c r="AA1421" s="8" t="e">
        <f>+VLOOKUP(I1421,[1]SKU!$H$2:$I$97,2,0)</f>
        <v>#N/A</v>
      </c>
    </row>
    <row r="1422" spans="24:27">
      <c r="X1422" s="8" t="str">
        <f>+IFERROR(VLOOKUP(N1422,[1]Hoja1!$B$2:$F$52,4,0)*P1422,"")</f>
        <v/>
      </c>
      <c r="Y1422" s="8" t="e">
        <f>+VLOOKUP(M1422,[1]SKU!$B$3:$E$81,4,0)</f>
        <v>#N/A</v>
      </c>
      <c r="Z1422" s="8" t="str">
        <f t="shared" si="22"/>
        <v>FLEX</v>
      </c>
      <c r="AA1422" s="8" t="e">
        <f>+VLOOKUP(I1422,[1]SKU!$H$2:$I$97,2,0)</f>
        <v>#N/A</v>
      </c>
    </row>
    <row r="1423" spans="24:27">
      <c r="X1423" s="8" t="str">
        <f>+IFERROR(VLOOKUP(N1423,[1]Hoja1!$B$2:$F$52,4,0)*P1423,"")</f>
        <v/>
      </c>
      <c r="Y1423" s="8" t="e">
        <f>+VLOOKUP(M1423,[1]SKU!$B$3:$E$81,4,0)</f>
        <v>#N/A</v>
      </c>
      <c r="Z1423" s="8" t="str">
        <f t="shared" si="22"/>
        <v>FLEX</v>
      </c>
      <c r="AA1423" s="8" t="e">
        <f>+VLOOKUP(I1423,[1]SKU!$H$2:$I$97,2,0)</f>
        <v>#N/A</v>
      </c>
    </row>
    <row r="1424" spans="24:27">
      <c r="X1424" s="8" t="str">
        <f>+IFERROR(VLOOKUP(N1424,[1]Hoja1!$B$2:$F$52,4,0)*P1424,"")</f>
        <v/>
      </c>
      <c r="Y1424" s="8" t="e">
        <f>+VLOOKUP(M1424,[1]SKU!$B$3:$E$81,4,0)</f>
        <v>#N/A</v>
      </c>
      <c r="Z1424" s="8" t="str">
        <f t="shared" si="22"/>
        <v>FLEX</v>
      </c>
      <c r="AA1424" s="8" t="e">
        <f>+VLOOKUP(I1424,[1]SKU!$H$2:$I$97,2,0)</f>
        <v>#N/A</v>
      </c>
    </row>
    <row r="1425" spans="24:27">
      <c r="X1425" s="8" t="str">
        <f>+IFERROR(VLOOKUP(N1425,[1]Hoja1!$B$2:$F$52,4,0)*P1425,"")</f>
        <v/>
      </c>
      <c r="Y1425" s="8" t="e">
        <f>+VLOOKUP(M1425,[1]SKU!$B$3:$E$81,4,0)</f>
        <v>#N/A</v>
      </c>
      <c r="Z1425" s="8" t="str">
        <f t="shared" si="22"/>
        <v>FLEX</v>
      </c>
      <c r="AA1425" s="8" t="e">
        <f>+VLOOKUP(I1425,[1]SKU!$H$2:$I$97,2,0)</f>
        <v>#N/A</v>
      </c>
    </row>
    <row r="1426" spans="24:27">
      <c r="X1426" s="8" t="str">
        <f>+IFERROR(VLOOKUP(N1426,[1]Hoja1!$B$2:$F$52,4,0)*P1426,"")</f>
        <v/>
      </c>
      <c r="Y1426" s="8" t="e">
        <f>+VLOOKUP(M1426,[1]SKU!$B$3:$E$81,4,0)</f>
        <v>#N/A</v>
      </c>
      <c r="Z1426" s="8" t="str">
        <f t="shared" si="22"/>
        <v>FLEX</v>
      </c>
      <c r="AA1426" s="8" t="e">
        <f>+VLOOKUP(I1426,[1]SKU!$H$2:$I$97,2,0)</f>
        <v>#N/A</v>
      </c>
    </row>
    <row r="1427" spans="24:27">
      <c r="X1427" s="8" t="str">
        <f>+IFERROR(VLOOKUP(N1427,[1]Hoja1!$B$2:$F$52,4,0)*P1427,"")</f>
        <v/>
      </c>
      <c r="Y1427" s="8" t="e">
        <f>+VLOOKUP(M1427,[1]SKU!$B$3:$E$81,4,0)</f>
        <v>#N/A</v>
      </c>
      <c r="Z1427" s="8" t="str">
        <f t="shared" si="22"/>
        <v>FLEX</v>
      </c>
      <c r="AA1427" s="8" t="e">
        <f>+VLOOKUP(I1427,[1]SKU!$H$2:$I$97,2,0)</f>
        <v>#N/A</v>
      </c>
    </row>
    <row r="1428" spans="24:27">
      <c r="X1428" s="8" t="str">
        <f>+IFERROR(VLOOKUP(N1428,[1]Hoja1!$B$2:$F$52,4,0)*P1428,"")</f>
        <v/>
      </c>
      <c r="Y1428" s="8" t="e">
        <f>+VLOOKUP(M1428,[1]SKU!$B$3:$E$81,4,0)</f>
        <v>#N/A</v>
      </c>
      <c r="Z1428" s="8" t="str">
        <f t="shared" si="22"/>
        <v>FLEX</v>
      </c>
      <c r="AA1428" s="8" t="e">
        <f>+VLOOKUP(I1428,[1]SKU!$H$2:$I$97,2,0)</f>
        <v>#N/A</v>
      </c>
    </row>
    <row r="1429" spans="24:27">
      <c r="X1429" s="8" t="str">
        <f>+IFERROR(VLOOKUP(N1429,[1]Hoja1!$B$2:$F$52,4,0)*P1429,"")</f>
        <v/>
      </c>
      <c r="Y1429" s="8" t="e">
        <f>+VLOOKUP(M1429,[1]SKU!$B$3:$E$81,4,0)</f>
        <v>#N/A</v>
      </c>
      <c r="Z1429" s="8" t="str">
        <f t="shared" si="22"/>
        <v>FLEX</v>
      </c>
      <c r="AA1429" s="8" t="e">
        <f>+VLOOKUP(I1429,[1]SKU!$H$2:$I$97,2,0)</f>
        <v>#N/A</v>
      </c>
    </row>
    <row r="1430" spans="24:27">
      <c r="X1430" s="8" t="str">
        <f>+IFERROR(VLOOKUP(N1430,[1]Hoja1!$B$2:$F$52,4,0)*P1430,"")</f>
        <v/>
      </c>
      <c r="Y1430" s="8" t="e">
        <f>+VLOOKUP(M1430,[1]SKU!$B$3:$E$81,4,0)</f>
        <v>#N/A</v>
      </c>
      <c r="Z1430" s="8" t="str">
        <f t="shared" si="22"/>
        <v>FLEX</v>
      </c>
      <c r="AA1430" s="8" t="e">
        <f>+VLOOKUP(I1430,[1]SKU!$H$2:$I$97,2,0)</f>
        <v>#N/A</v>
      </c>
    </row>
    <row r="1431" spans="24:27">
      <c r="X1431" s="8" t="str">
        <f>+IFERROR(VLOOKUP(N1431,[1]Hoja1!$B$2:$F$52,4,0)*P1431,"")</f>
        <v/>
      </c>
      <c r="Y1431" s="8" t="e">
        <f>+VLOOKUP(M1431,[1]SKU!$B$3:$E$81,4,0)</f>
        <v>#N/A</v>
      </c>
      <c r="Z1431" s="8" t="str">
        <f t="shared" si="22"/>
        <v>FLEX</v>
      </c>
      <c r="AA1431" s="8" t="e">
        <f>+VLOOKUP(I1431,[1]SKU!$H$2:$I$97,2,0)</f>
        <v>#N/A</v>
      </c>
    </row>
    <row r="1432" spans="24:27">
      <c r="X1432" s="8" t="str">
        <f>+IFERROR(VLOOKUP(N1432,[1]Hoja1!$B$2:$F$52,4,0)*P1432,"")</f>
        <v/>
      </c>
      <c r="Y1432" s="8" t="e">
        <f>+VLOOKUP(M1432,[1]SKU!$B$3:$E$81,4,0)</f>
        <v>#N/A</v>
      </c>
      <c r="Z1432" s="8" t="str">
        <f t="shared" si="22"/>
        <v>FLEX</v>
      </c>
      <c r="AA1432" s="8" t="e">
        <f>+VLOOKUP(I1432,[1]SKU!$H$2:$I$97,2,0)</f>
        <v>#N/A</v>
      </c>
    </row>
    <row r="1433" spans="24:27">
      <c r="X1433" s="8" t="str">
        <f>+IFERROR(VLOOKUP(N1433,[1]Hoja1!$B$2:$F$52,4,0)*P1433,"")</f>
        <v/>
      </c>
      <c r="Y1433" s="8" t="e">
        <f>+VLOOKUP(M1433,[1]SKU!$B$3:$E$81,4,0)</f>
        <v>#N/A</v>
      </c>
      <c r="Z1433" s="8" t="str">
        <f t="shared" si="22"/>
        <v>FLEX</v>
      </c>
      <c r="AA1433" s="8" t="e">
        <f>+VLOOKUP(I1433,[1]SKU!$H$2:$I$97,2,0)</f>
        <v>#N/A</v>
      </c>
    </row>
    <row r="1434" spans="24:27">
      <c r="X1434" s="8" t="str">
        <f>+IFERROR(VLOOKUP(N1434,[1]Hoja1!$B$2:$F$52,4,0)*P1434,"")</f>
        <v/>
      </c>
      <c r="Y1434" s="8" t="e">
        <f>+VLOOKUP(M1434,[1]SKU!$B$3:$E$81,4,0)</f>
        <v>#N/A</v>
      </c>
      <c r="Z1434" s="8" t="str">
        <f t="shared" si="22"/>
        <v>FLEX</v>
      </c>
      <c r="AA1434" s="8" t="e">
        <f>+VLOOKUP(I1434,[1]SKU!$H$2:$I$97,2,0)</f>
        <v>#N/A</v>
      </c>
    </row>
    <row r="1435" spans="24:27">
      <c r="X1435" s="8" t="str">
        <f>+IFERROR(VLOOKUP(N1435,[1]Hoja1!$B$2:$F$52,4,0)*P1435,"")</f>
        <v/>
      </c>
      <c r="Y1435" s="8" t="e">
        <f>+VLOOKUP(M1435,[1]SKU!$B$3:$E$81,4,0)</f>
        <v>#N/A</v>
      </c>
      <c r="Z1435" s="8" t="str">
        <f t="shared" si="22"/>
        <v>FLEX</v>
      </c>
      <c r="AA1435" s="8" t="e">
        <f>+VLOOKUP(I1435,[1]SKU!$H$2:$I$97,2,0)</f>
        <v>#N/A</v>
      </c>
    </row>
    <row r="1436" spans="24:27">
      <c r="X1436" s="8" t="str">
        <f>+IFERROR(VLOOKUP(N1436,[1]Hoja1!$B$2:$F$52,4,0)*P1436,"")</f>
        <v/>
      </c>
      <c r="Y1436" s="8" t="e">
        <f>+VLOOKUP(M1436,[1]SKU!$B$3:$E$81,4,0)</f>
        <v>#N/A</v>
      </c>
      <c r="Z1436" s="8" t="str">
        <f t="shared" si="22"/>
        <v>FLEX</v>
      </c>
      <c r="AA1436" s="8" t="e">
        <f>+VLOOKUP(I1436,[1]SKU!$H$2:$I$97,2,0)</f>
        <v>#N/A</v>
      </c>
    </row>
    <row r="1437" spans="24:27">
      <c r="X1437" s="8" t="str">
        <f>+IFERROR(VLOOKUP(N1437,[1]Hoja1!$B$2:$F$52,4,0)*P1437,"")</f>
        <v/>
      </c>
      <c r="Y1437" s="8" t="e">
        <f>+VLOOKUP(M1437,[1]SKU!$B$3:$E$81,4,0)</f>
        <v>#N/A</v>
      </c>
      <c r="Z1437" s="8" t="str">
        <f t="shared" si="22"/>
        <v>FLEX</v>
      </c>
      <c r="AA1437" s="8" t="e">
        <f>+VLOOKUP(I1437,[1]SKU!$H$2:$I$97,2,0)</f>
        <v>#N/A</v>
      </c>
    </row>
    <row r="1438" spans="24:27">
      <c r="X1438" s="8" t="str">
        <f>+IFERROR(VLOOKUP(N1438,[1]Hoja1!$B$2:$F$52,4,0)*P1438,"")</f>
        <v/>
      </c>
      <c r="Y1438" s="8" t="e">
        <f>+VLOOKUP(M1438,[1]SKU!$B$3:$E$81,4,0)</f>
        <v>#N/A</v>
      </c>
      <c r="Z1438" s="8" t="str">
        <f t="shared" si="22"/>
        <v>FLEX</v>
      </c>
      <c r="AA1438" s="8" t="e">
        <f>+VLOOKUP(I1438,[1]SKU!$H$2:$I$97,2,0)</f>
        <v>#N/A</v>
      </c>
    </row>
    <row r="1439" spans="24:27">
      <c r="X1439" s="8" t="str">
        <f>+IFERROR(VLOOKUP(N1439,[1]Hoja1!$B$2:$F$52,4,0)*P1439,"")</f>
        <v/>
      </c>
      <c r="Y1439" s="8" t="e">
        <f>+VLOOKUP(M1439,[1]SKU!$B$3:$E$81,4,0)</f>
        <v>#N/A</v>
      </c>
      <c r="Z1439" s="8" t="str">
        <f t="shared" si="22"/>
        <v>FLEX</v>
      </c>
      <c r="AA1439" s="8" t="e">
        <f>+VLOOKUP(I1439,[1]SKU!$H$2:$I$97,2,0)</f>
        <v>#N/A</v>
      </c>
    </row>
    <row r="1440" spans="24:27">
      <c r="X1440" s="8" t="str">
        <f>+IFERROR(VLOOKUP(N1440,[1]Hoja1!$B$2:$F$52,4,0)*P1440,"")</f>
        <v/>
      </c>
      <c r="Y1440" s="8" t="e">
        <f>+VLOOKUP(M1440,[1]SKU!$B$3:$E$81,4,0)</f>
        <v>#N/A</v>
      </c>
      <c r="Z1440" s="8" t="str">
        <f t="shared" si="22"/>
        <v>FLEX</v>
      </c>
      <c r="AA1440" s="8" t="e">
        <f>+VLOOKUP(I1440,[1]SKU!$H$2:$I$97,2,0)</f>
        <v>#N/A</v>
      </c>
    </row>
    <row r="1441" spans="24:27">
      <c r="X1441" s="8" t="str">
        <f>+IFERROR(VLOOKUP(N1441,[1]Hoja1!$B$2:$F$52,4,0)*P1441,"")</f>
        <v/>
      </c>
      <c r="Y1441" s="8" t="e">
        <f>+VLOOKUP(M1441,[1]SKU!$B$3:$E$81,4,0)</f>
        <v>#N/A</v>
      </c>
      <c r="Z1441" s="8" t="str">
        <f t="shared" si="22"/>
        <v>FLEX</v>
      </c>
      <c r="AA1441" s="8" t="e">
        <f>+VLOOKUP(I1441,[1]SKU!$H$2:$I$97,2,0)</f>
        <v>#N/A</v>
      </c>
    </row>
    <row r="1442" spans="24:27">
      <c r="X1442" s="8" t="str">
        <f>+IFERROR(VLOOKUP(N1442,[1]Hoja1!$B$2:$F$52,4,0)*P1442,"")</f>
        <v/>
      </c>
      <c r="Y1442" s="8" t="e">
        <f>+VLOOKUP(M1442,[1]SKU!$B$3:$E$81,4,0)</f>
        <v>#N/A</v>
      </c>
      <c r="Z1442" s="8" t="str">
        <f t="shared" si="22"/>
        <v>FLEX</v>
      </c>
      <c r="AA1442" s="8" t="e">
        <f>+VLOOKUP(I1442,[1]SKU!$H$2:$I$97,2,0)</f>
        <v>#N/A</v>
      </c>
    </row>
    <row r="1443" spans="24:27">
      <c r="X1443" s="8" t="str">
        <f>+IFERROR(VLOOKUP(N1443,[1]Hoja1!$B$2:$F$52,4,0)*P1443,"")</f>
        <v/>
      </c>
      <c r="Y1443" s="8" t="e">
        <f>+VLOOKUP(M1443,[1]SKU!$B$3:$E$81,4,0)</f>
        <v>#N/A</v>
      </c>
      <c r="Z1443" s="8" t="str">
        <f t="shared" si="22"/>
        <v>FLEX</v>
      </c>
      <c r="AA1443" s="8" t="e">
        <f>+VLOOKUP(I1443,[1]SKU!$H$2:$I$97,2,0)</f>
        <v>#N/A</v>
      </c>
    </row>
    <row r="1444" spans="24:27">
      <c r="X1444" s="8" t="str">
        <f>+IFERROR(VLOOKUP(N1444,[1]Hoja1!$B$2:$F$52,4,0)*P1444,"")</f>
        <v/>
      </c>
      <c r="Y1444" s="8" t="e">
        <f>+VLOOKUP(M1444,[1]SKU!$B$3:$E$81,4,0)</f>
        <v>#N/A</v>
      </c>
      <c r="Z1444" s="8" t="str">
        <f t="shared" si="22"/>
        <v>FLEX</v>
      </c>
      <c r="AA1444" s="8" t="e">
        <f>+VLOOKUP(I1444,[1]SKU!$H$2:$I$97,2,0)</f>
        <v>#N/A</v>
      </c>
    </row>
    <row r="1445" spans="24:27">
      <c r="X1445" s="8" t="str">
        <f>+IFERROR(VLOOKUP(N1445,[1]Hoja1!$B$2:$F$52,4,0)*P1445,"")</f>
        <v/>
      </c>
      <c r="Y1445" s="8" t="e">
        <f>+VLOOKUP(M1445,[1]SKU!$B$3:$E$81,4,0)</f>
        <v>#N/A</v>
      </c>
      <c r="Z1445" s="8" t="str">
        <f t="shared" si="22"/>
        <v>FLEX</v>
      </c>
      <c r="AA1445" s="8" t="e">
        <f>+VLOOKUP(I1445,[1]SKU!$H$2:$I$97,2,0)</f>
        <v>#N/A</v>
      </c>
    </row>
    <row r="1446" spans="24:27">
      <c r="X1446" s="8" t="str">
        <f>+IFERROR(VLOOKUP(N1446,[1]Hoja1!$B$2:$F$52,4,0)*P1446,"")</f>
        <v/>
      </c>
      <c r="Y1446" s="8" t="e">
        <f>+VLOOKUP(M1446,[1]SKU!$B$3:$E$81,4,0)</f>
        <v>#N/A</v>
      </c>
      <c r="Z1446" s="8" t="str">
        <f t="shared" si="22"/>
        <v>FLEX</v>
      </c>
      <c r="AA1446" s="8" t="e">
        <f>+VLOOKUP(I1446,[1]SKU!$H$2:$I$97,2,0)</f>
        <v>#N/A</v>
      </c>
    </row>
    <row r="1447" spans="24:27">
      <c r="X1447" s="8" t="str">
        <f>+IFERROR(VLOOKUP(N1447,[1]Hoja1!$B$2:$F$52,4,0)*P1447,"")</f>
        <v/>
      </c>
      <c r="Y1447" s="8" t="e">
        <f>+VLOOKUP(M1447,[1]SKU!$B$3:$E$81,4,0)</f>
        <v>#N/A</v>
      </c>
      <c r="Z1447" s="8" t="str">
        <f t="shared" si="22"/>
        <v>FLEX</v>
      </c>
      <c r="AA1447" s="8" t="e">
        <f>+VLOOKUP(I1447,[1]SKU!$H$2:$I$97,2,0)</f>
        <v>#N/A</v>
      </c>
    </row>
    <row r="1448" spans="24:27">
      <c r="X1448" s="8" t="str">
        <f>+IFERROR(VLOOKUP(N1448,[1]Hoja1!$B$2:$F$52,4,0)*P1448,"")</f>
        <v/>
      </c>
      <c r="Y1448" s="8" t="e">
        <f>+VLOOKUP(M1448,[1]SKU!$B$3:$E$81,4,0)</f>
        <v>#N/A</v>
      </c>
      <c r="Z1448" s="8" t="str">
        <f t="shared" si="22"/>
        <v>FLEX</v>
      </c>
      <c r="AA1448" s="8" t="e">
        <f>+VLOOKUP(I1448,[1]SKU!$H$2:$I$97,2,0)</f>
        <v>#N/A</v>
      </c>
    </row>
    <row r="1449" spans="24:27">
      <c r="X1449" s="8" t="str">
        <f>+IFERROR(VLOOKUP(N1449,[1]Hoja1!$B$2:$F$52,4,0)*P1449,"")</f>
        <v/>
      </c>
      <c r="Y1449" s="8" t="e">
        <f>+VLOOKUP(M1449,[1]SKU!$B$3:$E$81,4,0)</f>
        <v>#N/A</v>
      </c>
      <c r="Z1449" s="8" t="str">
        <f t="shared" si="22"/>
        <v>FLEX</v>
      </c>
      <c r="AA1449" s="8" t="e">
        <f>+VLOOKUP(I1449,[1]SKU!$H$2:$I$97,2,0)</f>
        <v>#N/A</v>
      </c>
    </row>
    <row r="1450" spans="24:27">
      <c r="X1450" s="8" t="str">
        <f>+IFERROR(VLOOKUP(N1450,[1]Hoja1!$B$2:$F$52,4,0)*P1450,"")</f>
        <v/>
      </c>
      <c r="Y1450" s="8" t="e">
        <f>+VLOOKUP(M1450,[1]SKU!$B$3:$E$81,4,0)</f>
        <v>#N/A</v>
      </c>
      <c r="Z1450" s="8" t="str">
        <f t="shared" si="22"/>
        <v>FLEX</v>
      </c>
      <c r="AA1450" s="8" t="e">
        <f>+VLOOKUP(I1450,[1]SKU!$H$2:$I$97,2,0)</f>
        <v>#N/A</v>
      </c>
    </row>
    <row r="1451" spans="24:27">
      <c r="X1451" s="8" t="str">
        <f>+IFERROR(VLOOKUP(N1451,[1]Hoja1!$B$2:$F$52,4,0)*P1451,"")</f>
        <v/>
      </c>
      <c r="Y1451" s="8" t="e">
        <f>+VLOOKUP(M1451,[1]SKU!$B$3:$E$81,4,0)</f>
        <v>#N/A</v>
      </c>
      <c r="Z1451" s="8" t="str">
        <f t="shared" si="22"/>
        <v>FLEX</v>
      </c>
      <c r="AA1451" s="8" t="e">
        <f>+VLOOKUP(I1451,[1]SKU!$H$2:$I$97,2,0)</f>
        <v>#N/A</v>
      </c>
    </row>
    <row r="1452" spans="24:27">
      <c r="X1452" s="8" t="str">
        <f>+IFERROR(VLOOKUP(N1452,[1]Hoja1!$B$2:$F$52,4,0)*P1452,"")</f>
        <v/>
      </c>
      <c r="Y1452" s="8" t="e">
        <f>+VLOOKUP(M1452,[1]SKU!$B$3:$E$81,4,0)</f>
        <v>#N/A</v>
      </c>
      <c r="Z1452" s="8" t="str">
        <f t="shared" si="22"/>
        <v>FLEX</v>
      </c>
      <c r="AA1452" s="8" t="e">
        <f>+VLOOKUP(I1452,[1]SKU!$H$2:$I$97,2,0)</f>
        <v>#N/A</v>
      </c>
    </row>
    <row r="1453" spans="24:27">
      <c r="X1453" s="8" t="str">
        <f>+IFERROR(VLOOKUP(N1453,[1]Hoja1!$B$2:$F$52,4,0)*P1453,"")</f>
        <v/>
      </c>
      <c r="Y1453" s="8" t="e">
        <f>+VLOOKUP(M1453,[1]SKU!$B$3:$E$81,4,0)</f>
        <v>#N/A</v>
      </c>
      <c r="Z1453" s="8" t="str">
        <f t="shared" si="22"/>
        <v>FLEX</v>
      </c>
      <c r="AA1453" s="8" t="e">
        <f>+VLOOKUP(I1453,[1]SKU!$H$2:$I$97,2,0)</f>
        <v>#N/A</v>
      </c>
    </row>
    <row r="1454" spans="24:27">
      <c r="X1454" s="8" t="str">
        <f>+IFERROR(VLOOKUP(N1454,[1]Hoja1!$B$2:$F$52,4,0)*P1454,"")</f>
        <v/>
      </c>
      <c r="Y1454" s="8" t="e">
        <f>+VLOOKUP(M1454,[1]SKU!$B$3:$E$81,4,0)</f>
        <v>#N/A</v>
      </c>
      <c r="Z1454" s="8" t="str">
        <f t="shared" si="22"/>
        <v>FLEX</v>
      </c>
      <c r="AA1454" s="8" t="e">
        <f>+VLOOKUP(I1454,[1]SKU!$H$2:$I$97,2,0)</f>
        <v>#N/A</v>
      </c>
    </row>
    <row r="1455" spans="24:27">
      <c r="X1455" s="8" t="str">
        <f>+IFERROR(VLOOKUP(N1455,[1]Hoja1!$B$2:$F$52,4,0)*P1455,"")</f>
        <v/>
      </c>
      <c r="Y1455" s="8" t="e">
        <f>+VLOOKUP(M1455,[1]SKU!$B$3:$E$81,4,0)</f>
        <v>#N/A</v>
      </c>
      <c r="Z1455" s="8" t="str">
        <f t="shared" si="22"/>
        <v>FLEX</v>
      </c>
      <c r="AA1455" s="8" t="e">
        <f>+VLOOKUP(I1455,[1]SKU!$H$2:$I$97,2,0)</f>
        <v>#N/A</v>
      </c>
    </row>
    <row r="1456" spans="24:27">
      <c r="X1456" s="8" t="str">
        <f>+IFERROR(VLOOKUP(N1456,[1]Hoja1!$B$2:$F$52,4,0)*P1456,"")</f>
        <v/>
      </c>
      <c r="Y1456" s="8" t="e">
        <f>+VLOOKUP(M1456,[1]SKU!$B$3:$E$81,4,0)</f>
        <v>#N/A</v>
      </c>
      <c r="Z1456" s="8" t="str">
        <f t="shared" si="22"/>
        <v>FLEX</v>
      </c>
      <c r="AA1456" s="8" t="e">
        <f>+VLOOKUP(I1456,[1]SKU!$H$2:$I$97,2,0)</f>
        <v>#N/A</v>
      </c>
    </row>
    <row r="1457" spans="24:27">
      <c r="X1457" s="8" t="str">
        <f>+IFERROR(VLOOKUP(N1457,[1]Hoja1!$B$2:$F$52,4,0)*P1457,"")</f>
        <v/>
      </c>
      <c r="Y1457" s="8" t="e">
        <f>+VLOOKUP(M1457,[1]SKU!$B$3:$E$81,4,0)</f>
        <v>#N/A</v>
      </c>
      <c r="Z1457" s="8" t="str">
        <f t="shared" si="22"/>
        <v>FLEX</v>
      </c>
      <c r="AA1457" s="8" t="e">
        <f>+VLOOKUP(I1457,[1]SKU!$H$2:$I$97,2,0)</f>
        <v>#N/A</v>
      </c>
    </row>
    <row r="1458" spans="24:27">
      <c r="X1458" s="8" t="str">
        <f>+IFERROR(VLOOKUP(N1458,[1]Hoja1!$B$2:$F$52,4,0)*P1458,"")</f>
        <v/>
      </c>
      <c r="Y1458" s="8" t="e">
        <f>+VLOOKUP(M1458,[1]SKU!$B$3:$E$81,4,0)</f>
        <v>#N/A</v>
      </c>
      <c r="Z1458" s="8" t="str">
        <f t="shared" si="22"/>
        <v>FLEX</v>
      </c>
      <c r="AA1458" s="8" t="e">
        <f>+VLOOKUP(I1458,[1]SKU!$H$2:$I$97,2,0)</f>
        <v>#N/A</v>
      </c>
    </row>
    <row r="1459" spans="24:27">
      <c r="X1459" s="8" t="str">
        <f>+IFERROR(VLOOKUP(N1459,[1]Hoja1!$B$2:$F$52,4,0)*P1459,"")</f>
        <v/>
      </c>
      <c r="Y1459" s="8" t="e">
        <f>+VLOOKUP(M1459,[1]SKU!$B$3:$E$81,4,0)</f>
        <v>#N/A</v>
      </c>
      <c r="Z1459" s="8" t="str">
        <f t="shared" si="22"/>
        <v>FLEX</v>
      </c>
      <c r="AA1459" s="8" t="e">
        <f>+VLOOKUP(I1459,[1]SKU!$H$2:$I$97,2,0)</f>
        <v>#N/A</v>
      </c>
    </row>
    <row r="1460" spans="24:27">
      <c r="X1460" s="8" t="str">
        <f>+IFERROR(VLOOKUP(N1460,[1]Hoja1!$B$2:$F$52,4,0)*P1460,"")</f>
        <v/>
      </c>
      <c r="Y1460" s="8" t="e">
        <f>+VLOOKUP(M1460,[1]SKU!$B$3:$E$81,4,0)</f>
        <v>#N/A</v>
      </c>
      <c r="Z1460" s="8" t="str">
        <f t="shared" si="22"/>
        <v>FLEX</v>
      </c>
      <c r="AA1460" s="8" t="e">
        <f>+VLOOKUP(I1460,[1]SKU!$H$2:$I$97,2,0)</f>
        <v>#N/A</v>
      </c>
    </row>
    <row r="1461" spans="24:27">
      <c r="X1461" s="8" t="str">
        <f>+IFERROR(VLOOKUP(N1461,[1]Hoja1!$B$2:$F$52,4,0)*P1461,"")</f>
        <v/>
      </c>
      <c r="Y1461" s="8" t="e">
        <f>+VLOOKUP(M1461,[1]SKU!$B$3:$E$81,4,0)</f>
        <v>#N/A</v>
      </c>
      <c r="Z1461" s="8" t="str">
        <f t="shared" si="22"/>
        <v>FLEX</v>
      </c>
      <c r="AA1461" s="8" t="e">
        <f>+VLOOKUP(I1461,[1]SKU!$H$2:$I$97,2,0)</f>
        <v>#N/A</v>
      </c>
    </row>
    <row r="1462" spans="24:27">
      <c r="X1462" s="8" t="str">
        <f>+IFERROR(VLOOKUP(N1462,[1]Hoja1!$B$2:$F$52,4,0)*P1462,"")</f>
        <v/>
      </c>
      <c r="Y1462" s="8" t="e">
        <f>+VLOOKUP(M1462,[1]SKU!$B$3:$E$81,4,0)</f>
        <v>#N/A</v>
      </c>
      <c r="Z1462" s="8" t="str">
        <f t="shared" si="22"/>
        <v>FLEX</v>
      </c>
      <c r="AA1462" s="8" t="e">
        <f>+VLOOKUP(I1462,[1]SKU!$H$2:$I$97,2,0)</f>
        <v>#N/A</v>
      </c>
    </row>
    <row r="1463" spans="24:27">
      <c r="X1463" s="8" t="str">
        <f>+IFERROR(VLOOKUP(N1463,[1]Hoja1!$B$2:$F$52,4,0)*P1463,"")</f>
        <v/>
      </c>
      <c r="Y1463" s="8" t="e">
        <f>+VLOOKUP(M1463,[1]SKU!$B$3:$E$81,4,0)</f>
        <v>#N/A</v>
      </c>
      <c r="Z1463" s="8" t="str">
        <f t="shared" si="22"/>
        <v>FLEX</v>
      </c>
      <c r="AA1463" s="8" t="e">
        <f>+VLOOKUP(I1463,[1]SKU!$H$2:$I$97,2,0)</f>
        <v>#N/A</v>
      </c>
    </row>
    <row r="1464" spans="24:27">
      <c r="X1464" s="8" t="str">
        <f>+IFERROR(VLOOKUP(N1464,[1]Hoja1!$B$2:$F$52,4,0)*P1464,"")</f>
        <v/>
      </c>
      <c r="Y1464" s="8" t="e">
        <f>+VLOOKUP(M1464,[1]SKU!$B$3:$E$81,4,0)</f>
        <v>#N/A</v>
      </c>
      <c r="Z1464" s="8" t="str">
        <f t="shared" si="22"/>
        <v>FLEX</v>
      </c>
      <c r="AA1464" s="8" t="e">
        <f>+VLOOKUP(I1464,[1]SKU!$H$2:$I$97,2,0)</f>
        <v>#N/A</v>
      </c>
    </row>
    <row r="1465" spans="24:27">
      <c r="X1465" s="8" t="str">
        <f>+IFERROR(VLOOKUP(N1465,[1]Hoja1!$B$2:$F$52,4,0)*P1465,"")</f>
        <v/>
      </c>
      <c r="Y1465" s="8" t="e">
        <f>+VLOOKUP(M1465,[1]SKU!$B$3:$E$81,4,0)</f>
        <v>#N/A</v>
      </c>
      <c r="Z1465" s="8" t="str">
        <f t="shared" si="22"/>
        <v>FLEX</v>
      </c>
      <c r="AA1465" s="8" t="e">
        <f>+VLOOKUP(I1465,[1]SKU!$H$2:$I$97,2,0)</f>
        <v>#N/A</v>
      </c>
    </row>
    <row r="1466" spans="24:27">
      <c r="X1466" s="8" t="str">
        <f>+IFERROR(VLOOKUP(N1466,[1]Hoja1!$B$2:$F$52,4,0)*P1466,"")</f>
        <v/>
      </c>
      <c r="Y1466" s="8" t="e">
        <f>+VLOOKUP(M1466,[1]SKU!$B$3:$E$81,4,0)</f>
        <v>#N/A</v>
      </c>
      <c r="Z1466" s="8" t="str">
        <f t="shared" si="22"/>
        <v>FLEX</v>
      </c>
      <c r="AA1466" s="8" t="e">
        <f>+VLOOKUP(I1466,[1]SKU!$H$2:$I$97,2,0)</f>
        <v>#N/A</v>
      </c>
    </row>
    <row r="1467" spans="24:27">
      <c r="X1467" s="8" t="str">
        <f>+IFERROR(VLOOKUP(N1467,[1]Hoja1!$B$2:$F$52,4,0)*P1467,"")</f>
        <v/>
      </c>
      <c r="Y1467" s="8" t="e">
        <f>+VLOOKUP(M1467,[1]SKU!$B$3:$E$81,4,0)</f>
        <v>#N/A</v>
      </c>
      <c r="Z1467" s="8" t="str">
        <f t="shared" si="22"/>
        <v>FLEX</v>
      </c>
      <c r="AA1467" s="8" t="e">
        <f>+VLOOKUP(I1467,[1]SKU!$H$2:$I$97,2,0)</f>
        <v>#N/A</v>
      </c>
    </row>
    <row r="1468" spans="24:27">
      <c r="X1468" s="8" t="str">
        <f>+IFERROR(VLOOKUP(N1468,[1]Hoja1!$B$2:$F$52,4,0)*P1468,"")</f>
        <v/>
      </c>
      <c r="Y1468" s="8" t="e">
        <f>+VLOOKUP(M1468,[1]SKU!$B$3:$E$81,4,0)</f>
        <v>#N/A</v>
      </c>
      <c r="Z1468" s="8" t="str">
        <f t="shared" si="22"/>
        <v>FLEX</v>
      </c>
      <c r="AA1468" s="8" t="e">
        <f>+VLOOKUP(I1468,[1]SKU!$H$2:$I$97,2,0)</f>
        <v>#N/A</v>
      </c>
    </row>
    <row r="1469" spans="24:27">
      <c r="X1469" s="8" t="str">
        <f>+IFERROR(VLOOKUP(N1469,[1]Hoja1!$B$2:$F$52,4,0)*P1469,"")</f>
        <v/>
      </c>
      <c r="Y1469" s="8" t="e">
        <f>+VLOOKUP(M1469,[1]SKU!$B$3:$E$81,4,0)</f>
        <v>#N/A</v>
      </c>
      <c r="Z1469" s="8" t="str">
        <f t="shared" si="22"/>
        <v>FLEX</v>
      </c>
      <c r="AA1469" s="8" t="e">
        <f>+VLOOKUP(I1469,[1]SKU!$H$2:$I$97,2,0)</f>
        <v>#N/A</v>
      </c>
    </row>
    <row r="1470" spans="24:27">
      <c r="X1470" s="8" t="str">
        <f>+IFERROR(VLOOKUP(N1470,[1]Hoja1!$B$2:$F$52,4,0)*P1470,"")</f>
        <v/>
      </c>
      <c r="Y1470" s="8" t="e">
        <f>+VLOOKUP(M1470,[1]SKU!$B$3:$E$81,4,0)</f>
        <v>#N/A</v>
      </c>
      <c r="Z1470" s="8" t="str">
        <f t="shared" si="22"/>
        <v>FLEX</v>
      </c>
      <c r="AA1470" s="8" t="e">
        <f>+VLOOKUP(I1470,[1]SKU!$H$2:$I$97,2,0)</f>
        <v>#N/A</v>
      </c>
    </row>
    <row r="1471" spans="24:27">
      <c r="X1471" s="8" t="str">
        <f>+IFERROR(VLOOKUP(N1471,[1]Hoja1!$B$2:$F$52,4,0)*P1471,"")</f>
        <v/>
      </c>
      <c r="Y1471" s="8" t="e">
        <f>+VLOOKUP(M1471,[1]SKU!$B$3:$E$81,4,0)</f>
        <v>#N/A</v>
      </c>
      <c r="Z1471" s="8" t="str">
        <f t="shared" si="22"/>
        <v>FLEX</v>
      </c>
      <c r="AA1471" s="8" t="e">
        <f>+VLOOKUP(I1471,[1]SKU!$H$2:$I$97,2,0)</f>
        <v>#N/A</v>
      </c>
    </row>
    <row r="1472" spans="24:27">
      <c r="X1472" s="8" t="str">
        <f>+IFERROR(VLOOKUP(N1472,[1]Hoja1!$B$2:$F$52,4,0)*P1472,"")</f>
        <v/>
      </c>
      <c r="Y1472" s="8" t="e">
        <f>+VLOOKUP(M1472,[1]SKU!$B$3:$E$81,4,0)</f>
        <v>#N/A</v>
      </c>
      <c r="Z1472" s="8" t="str">
        <f t="shared" si="22"/>
        <v>FLEX</v>
      </c>
      <c r="AA1472" s="8" t="e">
        <f>+VLOOKUP(I1472,[1]SKU!$H$2:$I$97,2,0)</f>
        <v>#N/A</v>
      </c>
    </row>
    <row r="1473" spans="24:27">
      <c r="X1473" s="8" t="str">
        <f>+IFERROR(VLOOKUP(N1473,[1]Hoja1!$B$2:$F$52,4,0)*P1473,"")</f>
        <v/>
      </c>
      <c r="Y1473" s="8" t="e">
        <f>+VLOOKUP(M1473,[1]SKU!$B$3:$E$81,4,0)</f>
        <v>#N/A</v>
      </c>
      <c r="Z1473" s="8" t="str">
        <f t="shared" si="22"/>
        <v>FLEX</v>
      </c>
      <c r="AA1473" s="8" t="e">
        <f>+VLOOKUP(I1473,[1]SKU!$H$2:$I$97,2,0)</f>
        <v>#N/A</v>
      </c>
    </row>
    <row r="1474" spans="24:27">
      <c r="X1474" s="8" t="str">
        <f>+IFERROR(VLOOKUP(N1474,[1]Hoja1!$B$2:$F$52,4,0)*P1474,"")</f>
        <v/>
      </c>
      <c r="Y1474" s="8" t="e">
        <f>+VLOOKUP(M1474,[1]SKU!$B$3:$E$81,4,0)</f>
        <v>#N/A</v>
      </c>
      <c r="Z1474" s="8" t="str">
        <f t="shared" si="22"/>
        <v>FLEX</v>
      </c>
      <c r="AA1474" s="8" t="e">
        <f>+VLOOKUP(I1474,[1]SKU!$H$2:$I$97,2,0)</f>
        <v>#N/A</v>
      </c>
    </row>
    <row r="1475" spans="24:27">
      <c r="X1475" s="8" t="str">
        <f>+IFERROR(VLOOKUP(N1475,[1]Hoja1!$B$2:$F$52,4,0)*P1475,"")</f>
        <v/>
      </c>
      <c r="Y1475" s="8" t="e">
        <f>+VLOOKUP(M1475,[1]SKU!$B$3:$E$81,4,0)</f>
        <v>#N/A</v>
      </c>
      <c r="Z1475" s="8" t="str">
        <f t="shared" ref="Z1475:Z1538" si="23">+IF(J1475="VB01                          ","BEES","FLEX")</f>
        <v>FLEX</v>
      </c>
      <c r="AA1475" s="8" t="e">
        <f>+VLOOKUP(I1475,[1]SKU!$H$2:$I$97,2,0)</f>
        <v>#N/A</v>
      </c>
    </row>
    <row r="1476" spans="24:27">
      <c r="X1476" s="8" t="str">
        <f>+IFERROR(VLOOKUP(N1476,[1]Hoja1!$B$2:$F$52,4,0)*P1476,"")</f>
        <v/>
      </c>
      <c r="Y1476" s="8" t="e">
        <f>+VLOOKUP(M1476,[1]SKU!$B$3:$E$81,4,0)</f>
        <v>#N/A</v>
      </c>
      <c r="Z1476" s="8" t="str">
        <f t="shared" si="23"/>
        <v>FLEX</v>
      </c>
      <c r="AA1476" s="8" t="e">
        <f>+VLOOKUP(I1476,[1]SKU!$H$2:$I$97,2,0)</f>
        <v>#N/A</v>
      </c>
    </row>
    <row r="1477" spans="24:27">
      <c r="X1477" s="8" t="str">
        <f>+IFERROR(VLOOKUP(N1477,[1]Hoja1!$B$2:$F$52,4,0)*P1477,"")</f>
        <v/>
      </c>
      <c r="Y1477" s="8" t="e">
        <f>+VLOOKUP(M1477,[1]SKU!$B$3:$E$81,4,0)</f>
        <v>#N/A</v>
      </c>
      <c r="Z1477" s="8" t="str">
        <f t="shared" si="23"/>
        <v>FLEX</v>
      </c>
      <c r="AA1477" s="8" t="e">
        <f>+VLOOKUP(I1477,[1]SKU!$H$2:$I$97,2,0)</f>
        <v>#N/A</v>
      </c>
    </row>
    <row r="1478" spans="24:27">
      <c r="X1478" s="8" t="str">
        <f>+IFERROR(VLOOKUP(N1478,[1]Hoja1!$B$2:$F$52,4,0)*P1478,"")</f>
        <v/>
      </c>
      <c r="Y1478" s="8" t="e">
        <f>+VLOOKUP(M1478,[1]SKU!$B$3:$E$81,4,0)</f>
        <v>#N/A</v>
      </c>
      <c r="Z1478" s="8" t="str">
        <f t="shared" si="23"/>
        <v>FLEX</v>
      </c>
      <c r="AA1478" s="8" t="e">
        <f>+VLOOKUP(I1478,[1]SKU!$H$2:$I$97,2,0)</f>
        <v>#N/A</v>
      </c>
    </row>
    <row r="1479" spans="24:27">
      <c r="X1479" s="8" t="str">
        <f>+IFERROR(VLOOKUP(N1479,[1]Hoja1!$B$2:$F$52,4,0)*P1479,"")</f>
        <v/>
      </c>
      <c r="Y1479" s="8" t="e">
        <f>+VLOOKUP(M1479,[1]SKU!$B$3:$E$81,4,0)</f>
        <v>#N/A</v>
      </c>
      <c r="Z1479" s="8" t="str">
        <f t="shared" si="23"/>
        <v>FLEX</v>
      </c>
      <c r="AA1479" s="8" t="e">
        <f>+VLOOKUP(I1479,[1]SKU!$H$2:$I$97,2,0)</f>
        <v>#N/A</v>
      </c>
    </row>
    <row r="1480" spans="24:27">
      <c r="X1480" s="8" t="str">
        <f>+IFERROR(VLOOKUP(N1480,[1]Hoja1!$B$2:$F$52,4,0)*P1480,"")</f>
        <v/>
      </c>
      <c r="Y1480" s="8" t="e">
        <f>+VLOOKUP(M1480,[1]SKU!$B$3:$E$81,4,0)</f>
        <v>#N/A</v>
      </c>
      <c r="Z1480" s="8" t="str">
        <f t="shared" si="23"/>
        <v>FLEX</v>
      </c>
      <c r="AA1480" s="8" t="e">
        <f>+VLOOKUP(I1480,[1]SKU!$H$2:$I$97,2,0)</f>
        <v>#N/A</v>
      </c>
    </row>
    <row r="1481" spans="24:27">
      <c r="X1481" s="8" t="str">
        <f>+IFERROR(VLOOKUP(N1481,[1]Hoja1!$B$2:$F$52,4,0)*P1481,"")</f>
        <v/>
      </c>
      <c r="Y1481" s="8" t="e">
        <f>+VLOOKUP(M1481,[1]SKU!$B$3:$E$81,4,0)</f>
        <v>#N/A</v>
      </c>
      <c r="Z1481" s="8" t="str">
        <f t="shared" si="23"/>
        <v>FLEX</v>
      </c>
      <c r="AA1481" s="8" t="e">
        <f>+VLOOKUP(I1481,[1]SKU!$H$2:$I$97,2,0)</f>
        <v>#N/A</v>
      </c>
    </row>
    <row r="1482" spans="24:27">
      <c r="X1482" s="8" t="str">
        <f>+IFERROR(VLOOKUP(N1482,[1]Hoja1!$B$2:$F$52,4,0)*P1482,"")</f>
        <v/>
      </c>
      <c r="Y1482" s="8" t="e">
        <f>+VLOOKUP(M1482,[1]SKU!$B$3:$E$81,4,0)</f>
        <v>#N/A</v>
      </c>
      <c r="Z1482" s="8" t="str">
        <f t="shared" si="23"/>
        <v>FLEX</v>
      </c>
      <c r="AA1482" s="8" t="e">
        <f>+VLOOKUP(I1482,[1]SKU!$H$2:$I$97,2,0)</f>
        <v>#N/A</v>
      </c>
    </row>
    <row r="1483" spans="24:27">
      <c r="X1483" s="8" t="str">
        <f>+IFERROR(VLOOKUP(N1483,[1]Hoja1!$B$2:$F$52,4,0)*P1483,"")</f>
        <v/>
      </c>
      <c r="Y1483" s="8" t="e">
        <f>+VLOOKUP(M1483,[1]SKU!$B$3:$E$81,4,0)</f>
        <v>#N/A</v>
      </c>
      <c r="Z1483" s="8" t="str">
        <f t="shared" si="23"/>
        <v>FLEX</v>
      </c>
      <c r="AA1483" s="8" t="e">
        <f>+VLOOKUP(I1483,[1]SKU!$H$2:$I$97,2,0)</f>
        <v>#N/A</v>
      </c>
    </row>
    <row r="1484" spans="24:27">
      <c r="X1484" s="8" t="str">
        <f>+IFERROR(VLOOKUP(N1484,[1]Hoja1!$B$2:$F$52,4,0)*P1484,"")</f>
        <v/>
      </c>
      <c r="Y1484" s="8" t="e">
        <f>+VLOOKUP(M1484,[1]SKU!$B$3:$E$81,4,0)</f>
        <v>#N/A</v>
      </c>
      <c r="Z1484" s="8" t="str">
        <f t="shared" si="23"/>
        <v>FLEX</v>
      </c>
      <c r="AA1484" s="8" t="e">
        <f>+VLOOKUP(I1484,[1]SKU!$H$2:$I$97,2,0)</f>
        <v>#N/A</v>
      </c>
    </row>
    <row r="1485" spans="24:27">
      <c r="X1485" s="8" t="str">
        <f>+IFERROR(VLOOKUP(N1485,[1]Hoja1!$B$2:$F$52,4,0)*P1485,"")</f>
        <v/>
      </c>
      <c r="Y1485" s="8" t="e">
        <f>+VLOOKUP(M1485,[1]SKU!$B$3:$E$81,4,0)</f>
        <v>#N/A</v>
      </c>
      <c r="Z1485" s="8" t="str">
        <f t="shared" si="23"/>
        <v>FLEX</v>
      </c>
      <c r="AA1485" s="8" t="e">
        <f>+VLOOKUP(I1485,[1]SKU!$H$2:$I$97,2,0)</f>
        <v>#N/A</v>
      </c>
    </row>
    <row r="1486" spans="24:27">
      <c r="X1486" s="8" t="str">
        <f>+IFERROR(VLOOKUP(N1486,[1]Hoja1!$B$2:$F$52,4,0)*P1486,"")</f>
        <v/>
      </c>
      <c r="Y1486" s="8" t="e">
        <f>+VLOOKUP(M1486,[1]SKU!$B$3:$E$81,4,0)</f>
        <v>#N/A</v>
      </c>
      <c r="Z1486" s="8" t="str">
        <f t="shared" si="23"/>
        <v>FLEX</v>
      </c>
      <c r="AA1486" s="8" t="e">
        <f>+VLOOKUP(I1486,[1]SKU!$H$2:$I$97,2,0)</f>
        <v>#N/A</v>
      </c>
    </row>
    <row r="1487" spans="24:27">
      <c r="X1487" s="8" t="str">
        <f>+IFERROR(VLOOKUP(N1487,[1]Hoja1!$B$2:$F$52,4,0)*P1487,"")</f>
        <v/>
      </c>
      <c r="Y1487" s="8" t="e">
        <f>+VLOOKUP(M1487,[1]SKU!$B$3:$E$81,4,0)</f>
        <v>#N/A</v>
      </c>
      <c r="Z1487" s="8" t="str">
        <f t="shared" si="23"/>
        <v>FLEX</v>
      </c>
      <c r="AA1487" s="8" t="e">
        <f>+VLOOKUP(I1487,[1]SKU!$H$2:$I$97,2,0)</f>
        <v>#N/A</v>
      </c>
    </row>
    <row r="1488" spans="24:27">
      <c r="X1488" s="8" t="str">
        <f>+IFERROR(VLOOKUP(N1488,[1]Hoja1!$B$2:$F$52,4,0)*P1488,"")</f>
        <v/>
      </c>
      <c r="Y1488" s="8" t="e">
        <f>+VLOOKUP(M1488,[1]SKU!$B$3:$E$81,4,0)</f>
        <v>#N/A</v>
      </c>
      <c r="Z1488" s="8" t="str">
        <f t="shared" si="23"/>
        <v>FLEX</v>
      </c>
      <c r="AA1488" s="8" t="e">
        <f>+VLOOKUP(I1488,[1]SKU!$H$2:$I$97,2,0)</f>
        <v>#N/A</v>
      </c>
    </row>
    <row r="1489" spans="24:27">
      <c r="X1489" s="8" t="str">
        <f>+IFERROR(VLOOKUP(N1489,[1]Hoja1!$B$2:$F$52,4,0)*P1489,"")</f>
        <v/>
      </c>
      <c r="Y1489" s="8" t="e">
        <f>+VLOOKUP(M1489,[1]SKU!$B$3:$E$81,4,0)</f>
        <v>#N/A</v>
      </c>
      <c r="Z1489" s="8" t="str">
        <f t="shared" si="23"/>
        <v>FLEX</v>
      </c>
      <c r="AA1489" s="8" t="e">
        <f>+VLOOKUP(I1489,[1]SKU!$H$2:$I$97,2,0)</f>
        <v>#N/A</v>
      </c>
    </row>
    <row r="1490" spans="24:27">
      <c r="X1490" s="8" t="str">
        <f>+IFERROR(VLOOKUP(N1490,[1]Hoja1!$B$2:$F$52,4,0)*P1490,"")</f>
        <v/>
      </c>
      <c r="Y1490" s="8" t="e">
        <f>+VLOOKUP(M1490,[1]SKU!$B$3:$E$81,4,0)</f>
        <v>#N/A</v>
      </c>
      <c r="Z1490" s="8" t="str">
        <f t="shared" si="23"/>
        <v>FLEX</v>
      </c>
      <c r="AA1490" s="8" t="e">
        <f>+VLOOKUP(I1490,[1]SKU!$H$2:$I$97,2,0)</f>
        <v>#N/A</v>
      </c>
    </row>
    <row r="1491" spans="24:27">
      <c r="X1491" s="8" t="str">
        <f>+IFERROR(VLOOKUP(N1491,[1]Hoja1!$B$2:$F$52,4,0)*P1491,"")</f>
        <v/>
      </c>
      <c r="Y1491" s="8" t="e">
        <f>+VLOOKUP(M1491,[1]SKU!$B$3:$E$81,4,0)</f>
        <v>#N/A</v>
      </c>
      <c r="Z1491" s="8" t="str">
        <f t="shared" si="23"/>
        <v>FLEX</v>
      </c>
      <c r="AA1491" s="8" t="e">
        <f>+VLOOKUP(I1491,[1]SKU!$H$2:$I$97,2,0)</f>
        <v>#N/A</v>
      </c>
    </row>
    <row r="1492" spans="24:27">
      <c r="X1492" s="8" t="str">
        <f>+IFERROR(VLOOKUP(N1492,[1]Hoja1!$B$2:$F$52,4,0)*P1492,"")</f>
        <v/>
      </c>
      <c r="Y1492" s="8" t="e">
        <f>+VLOOKUP(M1492,[1]SKU!$B$3:$E$81,4,0)</f>
        <v>#N/A</v>
      </c>
      <c r="Z1492" s="8" t="str">
        <f t="shared" si="23"/>
        <v>FLEX</v>
      </c>
      <c r="AA1492" s="8" t="e">
        <f>+VLOOKUP(I1492,[1]SKU!$H$2:$I$97,2,0)</f>
        <v>#N/A</v>
      </c>
    </row>
    <row r="1493" spans="24:27">
      <c r="X1493" s="8" t="str">
        <f>+IFERROR(VLOOKUP(N1493,[1]Hoja1!$B$2:$F$52,4,0)*P1493,"")</f>
        <v/>
      </c>
      <c r="Y1493" s="8" t="e">
        <f>+VLOOKUP(M1493,[1]SKU!$B$3:$E$81,4,0)</f>
        <v>#N/A</v>
      </c>
      <c r="Z1493" s="8" t="str">
        <f t="shared" si="23"/>
        <v>FLEX</v>
      </c>
      <c r="AA1493" s="8" t="e">
        <f>+VLOOKUP(I1493,[1]SKU!$H$2:$I$97,2,0)</f>
        <v>#N/A</v>
      </c>
    </row>
    <row r="1494" spans="24:27">
      <c r="X1494" s="8" t="str">
        <f>+IFERROR(VLOOKUP(N1494,[1]Hoja1!$B$2:$F$52,4,0)*P1494,"")</f>
        <v/>
      </c>
      <c r="Y1494" s="8" t="e">
        <f>+VLOOKUP(M1494,[1]SKU!$B$3:$E$81,4,0)</f>
        <v>#N/A</v>
      </c>
      <c r="Z1494" s="8" t="str">
        <f t="shared" si="23"/>
        <v>FLEX</v>
      </c>
      <c r="AA1494" s="8" t="e">
        <f>+VLOOKUP(I1494,[1]SKU!$H$2:$I$97,2,0)</f>
        <v>#N/A</v>
      </c>
    </row>
    <row r="1495" spans="24:27">
      <c r="X1495" s="8" t="str">
        <f>+IFERROR(VLOOKUP(N1495,[1]Hoja1!$B$2:$F$52,4,0)*P1495,"")</f>
        <v/>
      </c>
      <c r="Y1495" s="8" t="e">
        <f>+VLOOKUP(M1495,[1]SKU!$B$3:$E$81,4,0)</f>
        <v>#N/A</v>
      </c>
      <c r="Z1495" s="8" t="str">
        <f t="shared" si="23"/>
        <v>FLEX</v>
      </c>
      <c r="AA1495" s="8" t="e">
        <f>+VLOOKUP(I1495,[1]SKU!$H$2:$I$97,2,0)</f>
        <v>#N/A</v>
      </c>
    </row>
    <row r="1496" spans="24:27">
      <c r="X1496" s="8" t="str">
        <f>+IFERROR(VLOOKUP(N1496,[1]Hoja1!$B$2:$F$52,4,0)*P1496,"")</f>
        <v/>
      </c>
      <c r="Y1496" s="8" t="e">
        <f>+VLOOKUP(M1496,[1]SKU!$B$3:$E$81,4,0)</f>
        <v>#N/A</v>
      </c>
      <c r="Z1496" s="8" t="str">
        <f t="shared" si="23"/>
        <v>FLEX</v>
      </c>
      <c r="AA1496" s="8" t="e">
        <f>+VLOOKUP(I1496,[1]SKU!$H$2:$I$97,2,0)</f>
        <v>#N/A</v>
      </c>
    </row>
    <row r="1497" spans="24:27">
      <c r="X1497" s="8" t="str">
        <f>+IFERROR(VLOOKUP(N1497,[1]Hoja1!$B$2:$F$52,4,0)*P1497,"")</f>
        <v/>
      </c>
      <c r="Y1497" s="8" t="e">
        <f>+VLOOKUP(M1497,[1]SKU!$B$3:$E$81,4,0)</f>
        <v>#N/A</v>
      </c>
      <c r="Z1497" s="8" t="str">
        <f t="shared" si="23"/>
        <v>FLEX</v>
      </c>
      <c r="AA1497" s="8" t="e">
        <f>+VLOOKUP(I1497,[1]SKU!$H$2:$I$97,2,0)</f>
        <v>#N/A</v>
      </c>
    </row>
    <row r="1498" spans="24:27">
      <c r="X1498" s="8" t="str">
        <f>+IFERROR(VLOOKUP(N1498,[1]Hoja1!$B$2:$F$52,4,0)*P1498,"")</f>
        <v/>
      </c>
      <c r="Y1498" s="8" t="e">
        <f>+VLOOKUP(M1498,[1]SKU!$B$3:$E$81,4,0)</f>
        <v>#N/A</v>
      </c>
      <c r="Z1498" s="8" t="str">
        <f t="shared" si="23"/>
        <v>FLEX</v>
      </c>
      <c r="AA1498" s="8" t="e">
        <f>+VLOOKUP(I1498,[1]SKU!$H$2:$I$97,2,0)</f>
        <v>#N/A</v>
      </c>
    </row>
    <row r="1499" spans="24:27">
      <c r="X1499" s="8" t="str">
        <f>+IFERROR(VLOOKUP(N1499,[1]Hoja1!$B$2:$F$52,4,0)*P1499,"")</f>
        <v/>
      </c>
      <c r="Y1499" s="8" t="e">
        <f>+VLOOKUP(M1499,[1]SKU!$B$3:$E$81,4,0)</f>
        <v>#N/A</v>
      </c>
      <c r="Z1499" s="8" t="str">
        <f t="shared" si="23"/>
        <v>FLEX</v>
      </c>
      <c r="AA1499" s="8" t="e">
        <f>+VLOOKUP(I1499,[1]SKU!$H$2:$I$97,2,0)</f>
        <v>#N/A</v>
      </c>
    </row>
    <row r="1500" spans="24:27">
      <c r="X1500" s="8" t="str">
        <f>+IFERROR(VLOOKUP(N1500,[1]Hoja1!$B$2:$F$52,4,0)*P1500,"")</f>
        <v/>
      </c>
      <c r="Y1500" s="8" t="e">
        <f>+VLOOKUP(M1500,[1]SKU!$B$3:$E$81,4,0)</f>
        <v>#N/A</v>
      </c>
      <c r="Z1500" s="8" t="str">
        <f t="shared" si="23"/>
        <v>FLEX</v>
      </c>
      <c r="AA1500" s="8" t="e">
        <f>+VLOOKUP(I1500,[1]SKU!$H$2:$I$97,2,0)</f>
        <v>#N/A</v>
      </c>
    </row>
    <row r="1501" spans="24:27">
      <c r="X1501" s="8" t="str">
        <f>+IFERROR(VLOOKUP(N1501,[1]Hoja1!$B$2:$F$52,4,0)*P1501,"")</f>
        <v/>
      </c>
      <c r="Y1501" s="8" t="e">
        <f>+VLOOKUP(M1501,[1]SKU!$B$3:$E$81,4,0)</f>
        <v>#N/A</v>
      </c>
      <c r="Z1501" s="8" t="str">
        <f t="shared" si="23"/>
        <v>FLEX</v>
      </c>
      <c r="AA1501" s="8" t="e">
        <f>+VLOOKUP(I1501,[1]SKU!$H$2:$I$97,2,0)</f>
        <v>#N/A</v>
      </c>
    </row>
    <row r="1502" spans="24:27">
      <c r="X1502" s="8" t="str">
        <f>+IFERROR(VLOOKUP(N1502,[1]Hoja1!$B$2:$F$52,4,0)*P1502,"")</f>
        <v/>
      </c>
      <c r="Y1502" s="8" t="e">
        <f>+VLOOKUP(M1502,[1]SKU!$B$3:$E$81,4,0)</f>
        <v>#N/A</v>
      </c>
      <c r="Z1502" s="8" t="str">
        <f t="shared" si="23"/>
        <v>FLEX</v>
      </c>
      <c r="AA1502" s="8" t="e">
        <f>+VLOOKUP(I1502,[1]SKU!$H$2:$I$97,2,0)</f>
        <v>#N/A</v>
      </c>
    </row>
    <row r="1503" spans="24:27">
      <c r="X1503" s="8" t="str">
        <f>+IFERROR(VLOOKUP(N1503,[1]Hoja1!$B$2:$F$52,4,0)*P1503,"")</f>
        <v/>
      </c>
      <c r="Y1503" s="8" t="e">
        <f>+VLOOKUP(M1503,[1]SKU!$B$3:$E$81,4,0)</f>
        <v>#N/A</v>
      </c>
      <c r="Z1503" s="8" t="str">
        <f t="shared" si="23"/>
        <v>FLEX</v>
      </c>
      <c r="AA1503" s="8" t="e">
        <f>+VLOOKUP(I1503,[1]SKU!$H$2:$I$97,2,0)</f>
        <v>#N/A</v>
      </c>
    </row>
    <row r="1504" spans="24:27">
      <c r="X1504" s="8" t="str">
        <f>+IFERROR(VLOOKUP(N1504,[1]Hoja1!$B$2:$F$52,4,0)*P1504,"")</f>
        <v/>
      </c>
      <c r="Y1504" s="8" t="e">
        <f>+VLOOKUP(M1504,[1]SKU!$B$3:$E$81,4,0)</f>
        <v>#N/A</v>
      </c>
      <c r="Z1504" s="8" t="str">
        <f t="shared" si="23"/>
        <v>FLEX</v>
      </c>
      <c r="AA1504" s="8" t="e">
        <f>+VLOOKUP(I1504,[1]SKU!$H$2:$I$97,2,0)</f>
        <v>#N/A</v>
      </c>
    </row>
    <row r="1505" spans="24:27">
      <c r="X1505" s="8" t="str">
        <f>+IFERROR(VLOOKUP(N1505,[1]Hoja1!$B$2:$F$52,4,0)*P1505,"")</f>
        <v/>
      </c>
      <c r="Y1505" s="8" t="e">
        <f>+VLOOKUP(M1505,[1]SKU!$B$3:$E$81,4,0)</f>
        <v>#N/A</v>
      </c>
      <c r="Z1505" s="8" t="str">
        <f t="shared" si="23"/>
        <v>FLEX</v>
      </c>
      <c r="AA1505" s="8" t="e">
        <f>+VLOOKUP(I1505,[1]SKU!$H$2:$I$97,2,0)</f>
        <v>#N/A</v>
      </c>
    </row>
    <row r="1506" spans="24:27">
      <c r="X1506" s="8" t="str">
        <f>+IFERROR(VLOOKUP(N1506,[1]Hoja1!$B$2:$F$52,4,0)*P1506,"")</f>
        <v/>
      </c>
      <c r="Y1506" s="8" t="e">
        <f>+VLOOKUP(M1506,[1]SKU!$B$3:$E$81,4,0)</f>
        <v>#N/A</v>
      </c>
      <c r="Z1506" s="8" t="str">
        <f t="shared" si="23"/>
        <v>FLEX</v>
      </c>
      <c r="AA1506" s="8" t="e">
        <f>+VLOOKUP(I1506,[1]SKU!$H$2:$I$97,2,0)</f>
        <v>#N/A</v>
      </c>
    </row>
    <row r="1507" spans="24:27">
      <c r="X1507" s="8" t="str">
        <f>+IFERROR(VLOOKUP(N1507,[1]Hoja1!$B$2:$F$52,4,0)*P1507,"")</f>
        <v/>
      </c>
      <c r="Y1507" s="8" t="e">
        <f>+VLOOKUP(M1507,[1]SKU!$B$3:$E$81,4,0)</f>
        <v>#N/A</v>
      </c>
      <c r="Z1507" s="8" t="str">
        <f t="shared" si="23"/>
        <v>FLEX</v>
      </c>
      <c r="AA1507" s="8" t="e">
        <f>+VLOOKUP(I1507,[1]SKU!$H$2:$I$97,2,0)</f>
        <v>#N/A</v>
      </c>
    </row>
    <row r="1508" spans="24:27">
      <c r="X1508" s="8" t="str">
        <f>+IFERROR(VLOOKUP(N1508,[1]Hoja1!$B$2:$F$52,4,0)*P1508,"")</f>
        <v/>
      </c>
      <c r="Y1508" s="8" t="e">
        <f>+VLOOKUP(M1508,[1]SKU!$B$3:$E$81,4,0)</f>
        <v>#N/A</v>
      </c>
      <c r="Z1508" s="8" t="str">
        <f t="shared" si="23"/>
        <v>FLEX</v>
      </c>
      <c r="AA1508" s="8" t="e">
        <f>+VLOOKUP(I1508,[1]SKU!$H$2:$I$97,2,0)</f>
        <v>#N/A</v>
      </c>
    </row>
    <row r="1509" spans="24:27">
      <c r="X1509" s="8" t="str">
        <f>+IFERROR(VLOOKUP(N1509,[1]Hoja1!$B$2:$F$52,4,0)*P1509,"")</f>
        <v/>
      </c>
      <c r="Y1509" s="8" t="e">
        <f>+VLOOKUP(M1509,[1]SKU!$B$3:$E$81,4,0)</f>
        <v>#N/A</v>
      </c>
      <c r="Z1509" s="8" t="str">
        <f t="shared" si="23"/>
        <v>FLEX</v>
      </c>
      <c r="AA1509" s="8" t="e">
        <f>+VLOOKUP(I1509,[1]SKU!$H$2:$I$97,2,0)</f>
        <v>#N/A</v>
      </c>
    </row>
    <row r="1510" spans="24:27">
      <c r="X1510" s="8" t="str">
        <f>+IFERROR(VLOOKUP(N1510,[1]Hoja1!$B$2:$F$52,4,0)*P1510,"")</f>
        <v/>
      </c>
      <c r="Y1510" s="8" t="e">
        <f>+VLOOKUP(M1510,[1]SKU!$B$3:$E$81,4,0)</f>
        <v>#N/A</v>
      </c>
      <c r="Z1510" s="8" t="str">
        <f t="shared" si="23"/>
        <v>FLEX</v>
      </c>
      <c r="AA1510" s="8" t="e">
        <f>+VLOOKUP(I1510,[1]SKU!$H$2:$I$97,2,0)</f>
        <v>#N/A</v>
      </c>
    </row>
    <row r="1511" spans="24:27">
      <c r="X1511" s="8" t="str">
        <f>+IFERROR(VLOOKUP(N1511,[1]Hoja1!$B$2:$F$52,4,0)*P1511,"")</f>
        <v/>
      </c>
      <c r="Y1511" s="8" t="e">
        <f>+VLOOKUP(M1511,[1]SKU!$B$3:$E$81,4,0)</f>
        <v>#N/A</v>
      </c>
      <c r="Z1511" s="8" t="str">
        <f t="shared" si="23"/>
        <v>FLEX</v>
      </c>
      <c r="AA1511" s="8" t="e">
        <f>+VLOOKUP(I1511,[1]SKU!$H$2:$I$97,2,0)</f>
        <v>#N/A</v>
      </c>
    </row>
    <row r="1512" spans="24:27">
      <c r="X1512" s="8" t="str">
        <f>+IFERROR(VLOOKUP(N1512,[1]Hoja1!$B$2:$F$52,4,0)*P1512,"")</f>
        <v/>
      </c>
      <c r="Y1512" s="8" t="e">
        <f>+VLOOKUP(M1512,[1]SKU!$B$3:$E$81,4,0)</f>
        <v>#N/A</v>
      </c>
      <c r="Z1512" s="8" t="str">
        <f t="shared" si="23"/>
        <v>FLEX</v>
      </c>
      <c r="AA1512" s="8" t="e">
        <f>+VLOOKUP(I1512,[1]SKU!$H$2:$I$97,2,0)</f>
        <v>#N/A</v>
      </c>
    </row>
    <row r="1513" spans="24:27">
      <c r="X1513" s="8" t="str">
        <f>+IFERROR(VLOOKUP(N1513,[1]Hoja1!$B$2:$F$52,4,0)*P1513,"")</f>
        <v/>
      </c>
      <c r="Y1513" s="8" t="e">
        <f>+VLOOKUP(M1513,[1]SKU!$B$3:$E$81,4,0)</f>
        <v>#N/A</v>
      </c>
      <c r="Z1513" s="8" t="str">
        <f t="shared" si="23"/>
        <v>FLEX</v>
      </c>
      <c r="AA1513" s="8" t="e">
        <f>+VLOOKUP(I1513,[1]SKU!$H$2:$I$97,2,0)</f>
        <v>#N/A</v>
      </c>
    </row>
    <row r="1514" spans="24:27">
      <c r="X1514" s="8" t="str">
        <f>+IFERROR(VLOOKUP(N1514,[1]Hoja1!$B$2:$F$52,4,0)*P1514,"")</f>
        <v/>
      </c>
      <c r="Y1514" s="8" t="e">
        <f>+VLOOKUP(M1514,[1]SKU!$B$3:$E$81,4,0)</f>
        <v>#N/A</v>
      </c>
      <c r="Z1514" s="8" t="str">
        <f t="shared" si="23"/>
        <v>FLEX</v>
      </c>
      <c r="AA1514" s="8" t="e">
        <f>+VLOOKUP(I1514,[1]SKU!$H$2:$I$97,2,0)</f>
        <v>#N/A</v>
      </c>
    </row>
    <row r="1515" spans="24:27">
      <c r="X1515" s="8" t="str">
        <f>+IFERROR(VLOOKUP(N1515,[1]Hoja1!$B$2:$F$52,4,0)*P1515,"")</f>
        <v/>
      </c>
      <c r="Y1515" s="8" t="e">
        <f>+VLOOKUP(M1515,[1]SKU!$B$3:$E$81,4,0)</f>
        <v>#N/A</v>
      </c>
      <c r="Z1515" s="8" t="str">
        <f t="shared" si="23"/>
        <v>FLEX</v>
      </c>
      <c r="AA1515" s="8" t="e">
        <f>+VLOOKUP(I1515,[1]SKU!$H$2:$I$97,2,0)</f>
        <v>#N/A</v>
      </c>
    </row>
    <row r="1516" spans="24:27">
      <c r="X1516" s="8" t="str">
        <f>+IFERROR(VLOOKUP(N1516,[1]Hoja1!$B$2:$F$52,4,0)*P1516,"")</f>
        <v/>
      </c>
      <c r="Y1516" s="8" t="e">
        <f>+VLOOKUP(M1516,[1]SKU!$B$3:$E$81,4,0)</f>
        <v>#N/A</v>
      </c>
      <c r="Z1516" s="8" t="str">
        <f t="shared" si="23"/>
        <v>FLEX</v>
      </c>
      <c r="AA1516" s="8" t="e">
        <f>+VLOOKUP(I1516,[1]SKU!$H$2:$I$97,2,0)</f>
        <v>#N/A</v>
      </c>
    </row>
    <row r="1517" spans="24:27">
      <c r="X1517" s="8" t="str">
        <f>+IFERROR(VLOOKUP(N1517,[1]Hoja1!$B$2:$F$52,4,0)*P1517,"")</f>
        <v/>
      </c>
      <c r="Y1517" s="8" t="e">
        <f>+VLOOKUP(M1517,[1]SKU!$B$3:$E$81,4,0)</f>
        <v>#N/A</v>
      </c>
      <c r="Z1517" s="8" t="str">
        <f t="shared" si="23"/>
        <v>FLEX</v>
      </c>
      <c r="AA1517" s="8" t="e">
        <f>+VLOOKUP(I1517,[1]SKU!$H$2:$I$97,2,0)</f>
        <v>#N/A</v>
      </c>
    </row>
    <row r="1518" spans="24:27">
      <c r="X1518" s="8" t="str">
        <f>+IFERROR(VLOOKUP(N1518,[1]Hoja1!$B$2:$F$52,4,0)*P1518,"")</f>
        <v/>
      </c>
      <c r="Y1518" s="8" t="e">
        <f>+VLOOKUP(M1518,[1]SKU!$B$3:$E$81,4,0)</f>
        <v>#N/A</v>
      </c>
      <c r="Z1518" s="8" t="str">
        <f t="shared" si="23"/>
        <v>FLEX</v>
      </c>
      <c r="AA1518" s="8" t="e">
        <f>+VLOOKUP(I1518,[1]SKU!$H$2:$I$97,2,0)</f>
        <v>#N/A</v>
      </c>
    </row>
    <row r="1519" spans="24:27">
      <c r="X1519" s="8" t="str">
        <f>+IFERROR(VLOOKUP(N1519,[1]Hoja1!$B$2:$F$52,4,0)*P1519,"")</f>
        <v/>
      </c>
      <c r="Y1519" s="8" t="e">
        <f>+VLOOKUP(M1519,[1]SKU!$B$3:$E$81,4,0)</f>
        <v>#N/A</v>
      </c>
      <c r="Z1519" s="8" t="str">
        <f t="shared" si="23"/>
        <v>FLEX</v>
      </c>
      <c r="AA1519" s="8" t="e">
        <f>+VLOOKUP(I1519,[1]SKU!$H$2:$I$97,2,0)</f>
        <v>#N/A</v>
      </c>
    </row>
    <row r="1520" spans="24:27">
      <c r="X1520" s="8" t="str">
        <f>+IFERROR(VLOOKUP(N1520,[1]Hoja1!$B$2:$F$52,4,0)*P1520,"")</f>
        <v/>
      </c>
      <c r="Y1520" s="8" t="e">
        <f>+VLOOKUP(M1520,[1]SKU!$B$3:$E$81,4,0)</f>
        <v>#N/A</v>
      </c>
      <c r="Z1520" s="8" t="str">
        <f t="shared" si="23"/>
        <v>FLEX</v>
      </c>
      <c r="AA1520" s="8" t="e">
        <f>+VLOOKUP(I1520,[1]SKU!$H$2:$I$97,2,0)</f>
        <v>#N/A</v>
      </c>
    </row>
    <row r="1521" spans="24:27">
      <c r="X1521" s="8" t="str">
        <f>+IFERROR(VLOOKUP(N1521,[1]Hoja1!$B$2:$F$52,4,0)*P1521,"")</f>
        <v/>
      </c>
      <c r="Y1521" s="8" t="e">
        <f>+VLOOKUP(M1521,[1]SKU!$B$3:$E$81,4,0)</f>
        <v>#N/A</v>
      </c>
      <c r="Z1521" s="8" t="str">
        <f t="shared" si="23"/>
        <v>FLEX</v>
      </c>
      <c r="AA1521" s="8" t="e">
        <f>+VLOOKUP(I1521,[1]SKU!$H$2:$I$97,2,0)</f>
        <v>#N/A</v>
      </c>
    </row>
    <row r="1522" spans="24:27">
      <c r="X1522" s="8" t="str">
        <f>+IFERROR(VLOOKUP(N1522,[1]Hoja1!$B$2:$F$52,4,0)*P1522,"")</f>
        <v/>
      </c>
      <c r="Y1522" s="8" t="e">
        <f>+VLOOKUP(M1522,[1]SKU!$B$3:$E$81,4,0)</f>
        <v>#N/A</v>
      </c>
      <c r="Z1522" s="8" t="str">
        <f t="shared" si="23"/>
        <v>FLEX</v>
      </c>
      <c r="AA1522" s="8" t="e">
        <f>+VLOOKUP(I1522,[1]SKU!$H$2:$I$97,2,0)</f>
        <v>#N/A</v>
      </c>
    </row>
    <row r="1523" spans="24:27">
      <c r="X1523" s="8" t="str">
        <f>+IFERROR(VLOOKUP(N1523,[1]Hoja1!$B$2:$F$52,4,0)*P1523,"")</f>
        <v/>
      </c>
      <c r="Y1523" s="8" t="e">
        <f>+VLOOKUP(M1523,[1]SKU!$B$3:$E$81,4,0)</f>
        <v>#N/A</v>
      </c>
      <c r="Z1523" s="8" t="str">
        <f t="shared" si="23"/>
        <v>FLEX</v>
      </c>
      <c r="AA1523" s="8" t="e">
        <f>+VLOOKUP(I1523,[1]SKU!$H$2:$I$97,2,0)</f>
        <v>#N/A</v>
      </c>
    </row>
    <row r="1524" spans="24:27">
      <c r="X1524" s="8" t="str">
        <f>+IFERROR(VLOOKUP(N1524,[1]Hoja1!$B$2:$F$52,4,0)*P1524,"")</f>
        <v/>
      </c>
      <c r="Y1524" s="8" t="e">
        <f>+VLOOKUP(M1524,[1]SKU!$B$3:$E$81,4,0)</f>
        <v>#N/A</v>
      </c>
      <c r="Z1524" s="8" t="str">
        <f t="shared" si="23"/>
        <v>FLEX</v>
      </c>
      <c r="AA1524" s="8" t="e">
        <f>+VLOOKUP(I1524,[1]SKU!$H$2:$I$97,2,0)</f>
        <v>#N/A</v>
      </c>
    </row>
    <row r="1525" spans="24:27">
      <c r="X1525" s="8" t="str">
        <f>+IFERROR(VLOOKUP(N1525,[1]Hoja1!$B$2:$F$52,4,0)*P1525,"")</f>
        <v/>
      </c>
      <c r="Y1525" s="8" t="e">
        <f>+VLOOKUP(M1525,[1]SKU!$B$3:$E$81,4,0)</f>
        <v>#N/A</v>
      </c>
      <c r="Z1525" s="8" t="str">
        <f t="shared" si="23"/>
        <v>FLEX</v>
      </c>
      <c r="AA1525" s="8" t="e">
        <f>+VLOOKUP(I1525,[1]SKU!$H$2:$I$97,2,0)</f>
        <v>#N/A</v>
      </c>
    </row>
    <row r="1526" spans="24:27">
      <c r="X1526" s="8" t="str">
        <f>+IFERROR(VLOOKUP(N1526,[1]Hoja1!$B$2:$F$52,4,0)*P1526,"")</f>
        <v/>
      </c>
      <c r="Y1526" s="8" t="e">
        <f>+VLOOKUP(M1526,[1]SKU!$B$3:$E$81,4,0)</f>
        <v>#N/A</v>
      </c>
      <c r="Z1526" s="8" t="str">
        <f t="shared" si="23"/>
        <v>FLEX</v>
      </c>
      <c r="AA1526" s="8" t="e">
        <f>+VLOOKUP(I1526,[1]SKU!$H$2:$I$97,2,0)</f>
        <v>#N/A</v>
      </c>
    </row>
    <row r="1527" spans="24:27">
      <c r="X1527" s="8" t="str">
        <f>+IFERROR(VLOOKUP(N1527,[1]Hoja1!$B$2:$F$52,4,0)*P1527,"")</f>
        <v/>
      </c>
      <c r="Y1527" s="8" t="e">
        <f>+VLOOKUP(M1527,[1]SKU!$B$3:$E$81,4,0)</f>
        <v>#N/A</v>
      </c>
      <c r="Z1527" s="8" t="str">
        <f t="shared" si="23"/>
        <v>FLEX</v>
      </c>
      <c r="AA1527" s="8" t="e">
        <f>+VLOOKUP(I1527,[1]SKU!$H$2:$I$97,2,0)</f>
        <v>#N/A</v>
      </c>
    </row>
    <row r="1528" spans="24:27">
      <c r="X1528" s="8" t="str">
        <f>+IFERROR(VLOOKUP(N1528,[1]Hoja1!$B$2:$F$52,4,0)*P1528,"")</f>
        <v/>
      </c>
      <c r="Y1528" s="8" t="e">
        <f>+VLOOKUP(M1528,[1]SKU!$B$3:$E$81,4,0)</f>
        <v>#N/A</v>
      </c>
      <c r="Z1528" s="8" t="str">
        <f t="shared" si="23"/>
        <v>FLEX</v>
      </c>
      <c r="AA1528" s="8" t="e">
        <f>+VLOOKUP(I1528,[1]SKU!$H$2:$I$97,2,0)</f>
        <v>#N/A</v>
      </c>
    </row>
    <row r="1529" spans="24:27">
      <c r="X1529" s="8" t="str">
        <f>+IFERROR(VLOOKUP(N1529,[1]Hoja1!$B$2:$F$52,4,0)*P1529,"")</f>
        <v/>
      </c>
      <c r="Y1529" s="8" t="e">
        <f>+VLOOKUP(M1529,[1]SKU!$B$3:$E$81,4,0)</f>
        <v>#N/A</v>
      </c>
      <c r="Z1529" s="8" t="str">
        <f t="shared" si="23"/>
        <v>FLEX</v>
      </c>
      <c r="AA1529" s="8" t="e">
        <f>+VLOOKUP(I1529,[1]SKU!$H$2:$I$97,2,0)</f>
        <v>#N/A</v>
      </c>
    </row>
    <row r="1530" spans="24:27">
      <c r="X1530" s="8" t="str">
        <f>+IFERROR(VLOOKUP(N1530,[1]Hoja1!$B$2:$F$52,4,0)*P1530,"")</f>
        <v/>
      </c>
      <c r="Y1530" s="8" t="e">
        <f>+VLOOKUP(M1530,[1]SKU!$B$3:$E$81,4,0)</f>
        <v>#N/A</v>
      </c>
      <c r="Z1530" s="8" t="str">
        <f t="shared" si="23"/>
        <v>FLEX</v>
      </c>
      <c r="AA1530" s="8" t="e">
        <f>+VLOOKUP(I1530,[1]SKU!$H$2:$I$97,2,0)</f>
        <v>#N/A</v>
      </c>
    </row>
    <row r="1531" spans="24:27">
      <c r="X1531" s="8" t="str">
        <f>+IFERROR(VLOOKUP(N1531,[1]Hoja1!$B$2:$F$52,4,0)*P1531,"")</f>
        <v/>
      </c>
      <c r="Y1531" s="8" t="e">
        <f>+VLOOKUP(M1531,[1]SKU!$B$3:$E$81,4,0)</f>
        <v>#N/A</v>
      </c>
      <c r="Z1531" s="8" t="str">
        <f t="shared" si="23"/>
        <v>FLEX</v>
      </c>
      <c r="AA1531" s="8" t="e">
        <f>+VLOOKUP(I1531,[1]SKU!$H$2:$I$97,2,0)</f>
        <v>#N/A</v>
      </c>
    </row>
    <row r="1532" spans="24:27">
      <c r="X1532" s="8" t="str">
        <f>+IFERROR(VLOOKUP(N1532,[1]Hoja1!$B$2:$F$52,4,0)*P1532,"")</f>
        <v/>
      </c>
      <c r="Y1532" s="8" t="e">
        <f>+VLOOKUP(M1532,[1]SKU!$B$3:$E$81,4,0)</f>
        <v>#N/A</v>
      </c>
      <c r="Z1532" s="8" t="str">
        <f t="shared" si="23"/>
        <v>FLEX</v>
      </c>
      <c r="AA1532" s="8" t="e">
        <f>+VLOOKUP(I1532,[1]SKU!$H$2:$I$97,2,0)</f>
        <v>#N/A</v>
      </c>
    </row>
    <row r="1533" spans="24:27">
      <c r="X1533" s="8" t="str">
        <f>+IFERROR(VLOOKUP(N1533,[1]Hoja1!$B$2:$F$52,4,0)*P1533,"")</f>
        <v/>
      </c>
      <c r="Y1533" s="8" t="e">
        <f>+VLOOKUP(M1533,[1]SKU!$B$3:$E$81,4,0)</f>
        <v>#N/A</v>
      </c>
      <c r="Z1533" s="8" t="str">
        <f t="shared" si="23"/>
        <v>FLEX</v>
      </c>
      <c r="AA1533" s="8" t="e">
        <f>+VLOOKUP(I1533,[1]SKU!$H$2:$I$97,2,0)</f>
        <v>#N/A</v>
      </c>
    </row>
    <row r="1534" spans="24:27">
      <c r="X1534" s="8" t="str">
        <f>+IFERROR(VLOOKUP(N1534,[1]Hoja1!$B$2:$F$52,4,0)*P1534,"")</f>
        <v/>
      </c>
      <c r="Y1534" s="8" t="e">
        <f>+VLOOKUP(M1534,[1]SKU!$B$3:$E$81,4,0)</f>
        <v>#N/A</v>
      </c>
      <c r="Z1534" s="8" t="str">
        <f t="shared" si="23"/>
        <v>FLEX</v>
      </c>
      <c r="AA1534" s="8" t="e">
        <f>+VLOOKUP(I1534,[1]SKU!$H$2:$I$97,2,0)</f>
        <v>#N/A</v>
      </c>
    </row>
    <row r="1535" spans="24:27">
      <c r="X1535" s="8" t="str">
        <f>+IFERROR(VLOOKUP(N1535,[1]Hoja1!$B$2:$F$52,4,0)*P1535,"")</f>
        <v/>
      </c>
      <c r="Y1535" s="8" t="e">
        <f>+VLOOKUP(M1535,[1]SKU!$B$3:$E$81,4,0)</f>
        <v>#N/A</v>
      </c>
      <c r="Z1535" s="8" t="str">
        <f t="shared" si="23"/>
        <v>FLEX</v>
      </c>
      <c r="AA1535" s="8" t="e">
        <f>+VLOOKUP(I1535,[1]SKU!$H$2:$I$97,2,0)</f>
        <v>#N/A</v>
      </c>
    </row>
    <row r="1536" spans="24:27">
      <c r="X1536" s="8" t="str">
        <f>+IFERROR(VLOOKUP(N1536,[1]Hoja1!$B$2:$F$52,4,0)*P1536,"")</f>
        <v/>
      </c>
      <c r="Y1536" s="8" t="e">
        <f>+VLOOKUP(M1536,[1]SKU!$B$3:$E$81,4,0)</f>
        <v>#N/A</v>
      </c>
      <c r="Z1536" s="8" t="str">
        <f t="shared" si="23"/>
        <v>FLEX</v>
      </c>
      <c r="AA1536" s="8" t="e">
        <f>+VLOOKUP(I1536,[1]SKU!$H$2:$I$97,2,0)</f>
        <v>#N/A</v>
      </c>
    </row>
    <row r="1537" spans="24:27">
      <c r="X1537" s="8" t="str">
        <f>+IFERROR(VLOOKUP(N1537,[1]Hoja1!$B$2:$F$52,4,0)*P1537,"")</f>
        <v/>
      </c>
      <c r="Y1537" s="8" t="e">
        <f>+VLOOKUP(M1537,[1]SKU!$B$3:$E$81,4,0)</f>
        <v>#N/A</v>
      </c>
      <c r="Z1537" s="8" t="str">
        <f t="shared" si="23"/>
        <v>FLEX</v>
      </c>
      <c r="AA1537" s="8" t="e">
        <f>+VLOOKUP(I1537,[1]SKU!$H$2:$I$97,2,0)</f>
        <v>#N/A</v>
      </c>
    </row>
    <row r="1538" spans="24:27">
      <c r="X1538" s="8" t="str">
        <f>+IFERROR(VLOOKUP(N1538,[1]Hoja1!$B$2:$F$52,4,0)*P1538,"")</f>
        <v/>
      </c>
      <c r="Y1538" s="8" t="e">
        <f>+VLOOKUP(M1538,[1]SKU!$B$3:$E$81,4,0)</f>
        <v>#N/A</v>
      </c>
      <c r="Z1538" s="8" t="str">
        <f t="shared" si="23"/>
        <v>FLEX</v>
      </c>
      <c r="AA1538" s="8" t="e">
        <f>+VLOOKUP(I1538,[1]SKU!$H$2:$I$97,2,0)</f>
        <v>#N/A</v>
      </c>
    </row>
    <row r="1539" spans="24:27">
      <c r="X1539" s="8" t="str">
        <f>+IFERROR(VLOOKUP(N1539,[1]Hoja1!$B$2:$F$52,4,0)*P1539,"")</f>
        <v/>
      </c>
      <c r="Y1539" s="8" t="e">
        <f>+VLOOKUP(M1539,[1]SKU!$B$3:$E$81,4,0)</f>
        <v>#N/A</v>
      </c>
      <c r="Z1539" s="8" t="str">
        <f t="shared" ref="Z1539:Z1602" si="24">+IF(J1539="VB01                          ","BEES","FLEX")</f>
        <v>FLEX</v>
      </c>
      <c r="AA1539" s="8" t="e">
        <f>+VLOOKUP(I1539,[1]SKU!$H$2:$I$97,2,0)</f>
        <v>#N/A</v>
      </c>
    </row>
    <row r="1540" spans="24:27">
      <c r="X1540" s="8" t="str">
        <f>+IFERROR(VLOOKUP(N1540,[1]Hoja1!$B$2:$F$52,4,0)*P1540,"")</f>
        <v/>
      </c>
      <c r="Y1540" s="8" t="e">
        <f>+VLOOKUP(M1540,[1]SKU!$B$3:$E$81,4,0)</f>
        <v>#N/A</v>
      </c>
      <c r="Z1540" s="8" t="str">
        <f t="shared" si="24"/>
        <v>FLEX</v>
      </c>
      <c r="AA1540" s="8" t="e">
        <f>+VLOOKUP(I1540,[1]SKU!$H$2:$I$97,2,0)</f>
        <v>#N/A</v>
      </c>
    </row>
    <row r="1541" spans="24:27">
      <c r="X1541" s="8" t="str">
        <f>+IFERROR(VLOOKUP(N1541,[1]Hoja1!$B$2:$F$52,4,0)*P1541,"")</f>
        <v/>
      </c>
      <c r="Y1541" s="8" t="e">
        <f>+VLOOKUP(M1541,[1]SKU!$B$3:$E$81,4,0)</f>
        <v>#N/A</v>
      </c>
      <c r="Z1541" s="8" t="str">
        <f t="shared" si="24"/>
        <v>FLEX</v>
      </c>
      <c r="AA1541" s="8" t="e">
        <f>+VLOOKUP(I1541,[1]SKU!$H$2:$I$97,2,0)</f>
        <v>#N/A</v>
      </c>
    </row>
    <row r="1542" spans="24:27">
      <c r="X1542" s="8" t="str">
        <f>+IFERROR(VLOOKUP(N1542,[1]Hoja1!$B$2:$F$52,4,0)*P1542,"")</f>
        <v/>
      </c>
      <c r="Y1542" s="8" t="e">
        <f>+VLOOKUP(M1542,[1]SKU!$B$3:$E$81,4,0)</f>
        <v>#N/A</v>
      </c>
      <c r="Z1542" s="8" t="str">
        <f t="shared" si="24"/>
        <v>FLEX</v>
      </c>
      <c r="AA1542" s="8" t="e">
        <f>+VLOOKUP(I1542,[1]SKU!$H$2:$I$97,2,0)</f>
        <v>#N/A</v>
      </c>
    </row>
    <row r="1543" spans="24:27">
      <c r="X1543" s="8" t="str">
        <f>+IFERROR(VLOOKUP(N1543,[1]Hoja1!$B$2:$F$52,4,0)*P1543,"")</f>
        <v/>
      </c>
      <c r="Y1543" s="8" t="e">
        <f>+VLOOKUP(M1543,[1]SKU!$B$3:$E$81,4,0)</f>
        <v>#N/A</v>
      </c>
      <c r="Z1543" s="8" t="str">
        <f t="shared" si="24"/>
        <v>FLEX</v>
      </c>
      <c r="AA1543" s="8" t="e">
        <f>+VLOOKUP(I1543,[1]SKU!$H$2:$I$97,2,0)</f>
        <v>#N/A</v>
      </c>
    </row>
    <row r="1544" spans="24:27">
      <c r="X1544" s="8" t="str">
        <f>+IFERROR(VLOOKUP(N1544,[1]Hoja1!$B$2:$F$52,4,0)*P1544,"")</f>
        <v/>
      </c>
      <c r="Y1544" s="8" t="e">
        <f>+VLOOKUP(M1544,[1]SKU!$B$3:$E$81,4,0)</f>
        <v>#N/A</v>
      </c>
      <c r="Z1544" s="8" t="str">
        <f t="shared" si="24"/>
        <v>FLEX</v>
      </c>
      <c r="AA1544" s="8" t="e">
        <f>+VLOOKUP(I1544,[1]SKU!$H$2:$I$97,2,0)</f>
        <v>#N/A</v>
      </c>
    </row>
    <row r="1545" spans="24:27">
      <c r="X1545" s="8" t="str">
        <f>+IFERROR(VLOOKUP(N1545,[1]Hoja1!$B$2:$F$52,4,0)*P1545,"")</f>
        <v/>
      </c>
      <c r="Y1545" s="8" t="e">
        <f>+VLOOKUP(M1545,[1]SKU!$B$3:$E$81,4,0)</f>
        <v>#N/A</v>
      </c>
      <c r="Z1545" s="8" t="str">
        <f t="shared" si="24"/>
        <v>FLEX</v>
      </c>
      <c r="AA1545" s="8" t="e">
        <f>+VLOOKUP(I1545,[1]SKU!$H$2:$I$97,2,0)</f>
        <v>#N/A</v>
      </c>
    </row>
    <row r="1546" spans="24:27">
      <c r="X1546" s="8" t="str">
        <f>+IFERROR(VLOOKUP(N1546,[1]Hoja1!$B$2:$F$52,4,0)*P1546,"")</f>
        <v/>
      </c>
      <c r="Y1546" s="8" t="e">
        <f>+VLOOKUP(M1546,[1]SKU!$B$3:$E$81,4,0)</f>
        <v>#N/A</v>
      </c>
      <c r="Z1546" s="8" t="str">
        <f t="shared" si="24"/>
        <v>FLEX</v>
      </c>
      <c r="AA1546" s="8" t="e">
        <f>+VLOOKUP(I1546,[1]SKU!$H$2:$I$97,2,0)</f>
        <v>#N/A</v>
      </c>
    </row>
    <row r="1547" spans="24:27">
      <c r="X1547" s="8" t="str">
        <f>+IFERROR(VLOOKUP(N1547,[1]Hoja1!$B$2:$F$52,4,0)*P1547,"")</f>
        <v/>
      </c>
      <c r="Y1547" s="8" t="e">
        <f>+VLOOKUP(M1547,[1]SKU!$B$3:$E$81,4,0)</f>
        <v>#N/A</v>
      </c>
      <c r="Z1547" s="8" t="str">
        <f t="shared" si="24"/>
        <v>FLEX</v>
      </c>
      <c r="AA1547" s="8" t="e">
        <f>+VLOOKUP(I1547,[1]SKU!$H$2:$I$97,2,0)</f>
        <v>#N/A</v>
      </c>
    </row>
    <row r="1548" spans="24:27">
      <c r="X1548" s="8" t="str">
        <f>+IFERROR(VLOOKUP(N1548,[1]Hoja1!$B$2:$F$52,4,0)*P1548,"")</f>
        <v/>
      </c>
      <c r="Y1548" s="8" t="e">
        <f>+VLOOKUP(M1548,[1]SKU!$B$3:$E$81,4,0)</f>
        <v>#N/A</v>
      </c>
      <c r="Z1548" s="8" t="str">
        <f t="shared" si="24"/>
        <v>FLEX</v>
      </c>
      <c r="AA1548" s="8" t="e">
        <f>+VLOOKUP(I1548,[1]SKU!$H$2:$I$97,2,0)</f>
        <v>#N/A</v>
      </c>
    </row>
    <row r="1549" spans="24:27">
      <c r="X1549" s="8" t="str">
        <f>+IFERROR(VLOOKUP(N1549,[1]Hoja1!$B$2:$F$52,4,0)*P1549,"")</f>
        <v/>
      </c>
      <c r="Y1549" s="8" t="e">
        <f>+VLOOKUP(M1549,[1]SKU!$B$3:$E$81,4,0)</f>
        <v>#N/A</v>
      </c>
      <c r="Z1549" s="8" t="str">
        <f t="shared" si="24"/>
        <v>FLEX</v>
      </c>
      <c r="AA1549" s="8" t="e">
        <f>+VLOOKUP(I1549,[1]SKU!$H$2:$I$97,2,0)</f>
        <v>#N/A</v>
      </c>
    </row>
    <row r="1550" spans="24:27">
      <c r="X1550" s="8" t="str">
        <f>+IFERROR(VLOOKUP(N1550,[1]Hoja1!$B$2:$F$52,4,0)*P1550,"")</f>
        <v/>
      </c>
      <c r="Y1550" s="8" t="e">
        <f>+VLOOKUP(M1550,[1]SKU!$B$3:$E$81,4,0)</f>
        <v>#N/A</v>
      </c>
      <c r="Z1550" s="8" t="str">
        <f t="shared" si="24"/>
        <v>FLEX</v>
      </c>
      <c r="AA1550" s="8" t="e">
        <f>+VLOOKUP(I1550,[1]SKU!$H$2:$I$97,2,0)</f>
        <v>#N/A</v>
      </c>
    </row>
    <row r="1551" spans="24:27">
      <c r="X1551" s="8" t="str">
        <f>+IFERROR(VLOOKUP(N1551,[1]Hoja1!$B$2:$F$52,4,0)*P1551,"")</f>
        <v/>
      </c>
      <c r="Y1551" s="8" t="e">
        <f>+VLOOKUP(M1551,[1]SKU!$B$3:$E$81,4,0)</f>
        <v>#N/A</v>
      </c>
      <c r="Z1551" s="8" t="str">
        <f t="shared" si="24"/>
        <v>FLEX</v>
      </c>
      <c r="AA1551" s="8" t="e">
        <f>+VLOOKUP(I1551,[1]SKU!$H$2:$I$97,2,0)</f>
        <v>#N/A</v>
      </c>
    </row>
    <row r="1552" spans="24:27">
      <c r="X1552" s="8" t="str">
        <f>+IFERROR(VLOOKUP(N1552,[1]Hoja1!$B$2:$F$52,4,0)*P1552,"")</f>
        <v/>
      </c>
      <c r="Y1552" s="8" t="e">
        <f>+VLOOKUP(M1552,[1]SKU!$B$3:$E$81,4,0)</f>
        <v>#N/A</v>
      </c>
      <c r="Z1552" s="8" t="str">
        <f t="shared" si="24"/>
        <v>FLEX</v>
      </c>
      <c r="AA1552" s="8" t="e">
        <f>+VLOOKUP(I1552,[1]SKU!$H$2:$I$97,2,0)</f>
        <v>#N/A</v>
      </c>
    </row>
    <row r="1553" spans="24:27">
      <c r="X1553" s="8" t="str">
        <f>+IFERROR(VLOOKUP(N1553,[1]Hoja1!$B$2:$F$52,4,0)*P1553,"")</f>
        <v/>
      </c>
      <c r="Y1553" s="8" t="e">
        <f>+VLOOKUP(M1553,[1]SKU!$B$3:$E$81,4,0)</f>
        <v>#N/A</v>
      </c>
      <c r="Z1553" s="8" t="str">
        <f t="shared" si="24"/>
        <v>FLEX</v>
      </c>
      <c r="AA1553" s="8" t="e">
        <f>+VLOOKUP(I1553,[1]SKU!$H$2:$I$97,2,0)</f>
        <v>#N/A</v>
      </c>
    </row>
    <row r="1554" spans="24:27">
      <c r="X1554" s="8" t="str">
        <f>+IFERROR(VLOOKUP(N1554,[1]Hoja1!$B$2:$F$52,4,0)*P1554,"")</f>
        <v/>
      </c>
      <c r="Y1554" s="8" t="e">
        <f>+VLOOKUP(M1554,[1]SKU!$B$3:$E$81,4,0)</f>
        <v>#N/A</v>
      </c>
      <c r="Z1554" s="8" t="str">
        <f t="shared" si="24"/>
        <v>FLEX</v>
      </c>
      <c r="AA1554" s="8" t="e">
        <f>+VLOOKUP(I1554,[1]SKU!$H$2:$I$97,2,0)</f>
        <v>#N/A</v>
      </c>
    </row>
    <row r="1555" spans="24:27">
      <c r="X1555" s="8" t="str">
        <f>+IFERROR(VLOOKUP(N1555,[1]Hoja1!$B$2:$F$52,4,0)*P1555,"")</f>
        <v/>
      </c>
      <c r="Y1555" s="8" t="e">
        <f>+VLOOKUP(M1555,[1]SKU!$B$3:$E$81,4,0)</f>
        <v>#N/A</v>
      </c>
      <c r="Z1555" s="8" t="str">
        <f t="shared" si="24"/>
        <v>FLEX</v>
      </c>
      <c r="AA1555" s="8" t="e">
        <f>+VLOOKUP(I1555,[1]SKU!$H$2:$I$97,2,0)</f>
        <v>#N/A</v>
      </c>
    </row>
    <row r="1556" spans="24:27">
      <c r="X1556" s="8" t="str">
        <f>+IFERROR(VLOOKUP(N1556,[1]Hoja1!$B$2:$F$52,4,0)*P1556,"")</f>
        <v/>
      </c>
      <c r="Y1556" s="8" t="e">
        <f>+VLOOKUP(M1556,[1]SKU!$B$3:$E$81,4,0)</f>
        <v>#N/A</v>
      </c>
      <c r="Z1556" s="8" t="str">
        <f t="shared" si="24"/>
        <v>FLEX</v>
      </c>
      <c r="AA1556" s="8" t="e">
        <f>+VLOOKUP(I1556,[1]SKU!$H$2:$I$97,2,0)</f>
        <v>#N/A</v>
      </c>
    </row>
    <row r="1557" spans="24:27">
      <c r="X1557" s="8" t="str">
        <f>+IFERROR(VLOOKUP(N1557,[1]Hoja1!$B$2:$F$52,4,0)*P1557,"")</f>
        <v/>
      </c>
      <c r="Y1557" s="8" t="e">
        <f>+VLOOKUP(M1557,[1]SKU!$B$3:$E$81,4,0)</f>
        <v>#N/A</v>
      </c>
      <c r="Z1557" s="8" t="str">
        <f t="shared" si="24"/>
        <v>FLEX</v>
      </c>
      <c r="AA1557" s="8" t="e">
        <f>+VLOOKUP(I1557,[1]SKU!$H$2:$I$97,2,0)</f>
        <v>#N/A</v>
      </c>
    </row>
    <row r="1558" spans="24:27">
      <c r="X1558" s="8" t="str">
        <f>+IFERROR(VLOOKUP(N1558,[1]Hoja1!$B$2:$F$52,4,0)*P1558,"")</f>
        <v/>
      </c>
      <c r="Y1558" s="8" t="e">
        <f>+VLOOKUP(M1558,[1]SKU!$B$3:$E$81,4,0)</f>
        <v>#N/A</v>
      </c>
      <c r="Z1558" s="8" t="str">
        <f t="shared" si="24"/>
        <v>FLEX</v>
      </c>
      <c r="AA1558" s="8" t="e">
        <f>+VLOOKUP(I1558,[1]SKU!$H$2:$I$97,2,0)</f>
        <v>#N/A</v>
      </c>
    </row>
    <row r="1559" spans="24:27">
      <c r="X1559" s="8" t="str">
        <f>+IFERROR(VLOOKUP(N1559,[1]Hoja1!$B$2:$F$52,4,0)*P1559,"")</f>
        <v/>
      </c>
      <c r="Y1559" s="8" t="e">
        <f>+VLOOKUP(M1559,[1]SKU!$B$3:$E$81,4,0)</f>
        <v>#N/A</v>
      </c>
      <c r="Z1559" s="8" t="str">
        <f t="shared" si="24"/>
        <v>FLEX</v>
      </c>
      <c r="AA1559" s="8" t="e">
        <f>+VLOOKUP(I1559,[1]SKU!$H$2:$I$97,2,0)</f>
        <v>#N/A</v>
      </c>
    </row>
    <row r="1560" spans="24:27">
      <c r="X1560" s="8" t="str">
        <f>+IFERROR(VLOOKUP(N1560,[1]Hoja1!$B$2:$F$52,4,0)*P1560,"")</f>
        <v/>
      </c>
      <c r="Y1560" s="8" t="e">
        <f>+VLOOKUP(M1560,[1]SKU!$B$3:$E$81,4,0)</f>
        <v>#N/A</v>
      </c>
      <c r="Z1560" s="8" t="str">
        <f t="shared" si="24"/>
        <v>FLEX</v>
      </c>
      <c r="AA1560" s="8" t="e">
        <f>+VLOOKUP(I1560,[1]SKU!$H$2:$I$97,2,0)</f>
        <v>#N/A</v>
      </c>
    </row>
    <row r="1561" spans="24:27">
      <c r="X1561" s="8" t="str">
        <f>+IFERROR(VLOOKUP(N1561,[1]Hoja1!$B$2:$F$52,4,0)*P1561,"")</f>
        <v/>
      </c>
      <c r="Y1561" s="8" t="e">
        <f>+VLOOKUP(M1561,[1]SKU!$B$3:$E$81,4,0)</f>
        <v>#N/A</v>
      </c>
      <c r="Z1561" s="8" t="str">
        <f t="shared" si="24"/>
        <v>FLEX</v>
      </c>
      <c r="AA1561" s="8" t="e">
        <f>+VLOOKUP(I1561,[1]SKU!$H$2:$I$97,2,0)</f>
        <v>#N/A</v>
      </c>
    </row>
    <row r="1562" spans="24:27">
      <c r="X1562" s="8" t="str">
        <f>+IFERROR(VLOOKUP(N1562,[1]Hoja1!$B$2:$F$52,4,0)*P1562,"")</f>
        <v/>
      </c>
      <c r="Y1562" s="8" t="e">
        <f>+VLOOKUP(M1562,[1]SKU!$B$3:$E$81,4,0)</f>
        <v>#N/A</v>
      </c>
      <c r="Z1562" s="8" t="str">
        <f t="shared" si="24"/>
        <v>FLEX</v>
      </c>
      <c r="AA1562" s="8" t="e">
        <f>+VLOOKUP(I1562,[1]SKU!$H$2:$I$97,2,0)</f>
        <v>#N/A</v>
      </c>
    </row>
    <row r="1563" spans="24:27">
      <c r="X1563" s="8" t="str">
        <f>+IFERROR(VLOOKUP(N1563,[1]Hoja1!$B$2:$F$52,4,0)*P1563,"")</f>
        <v/>
      </c>
      <c r="Y1563" s="8" t="e">
        <f>+VLOOKUP(M1563,[1]SKU!$B$3:$E$81,4,0)</f>
        <v>#N/A</v>
      </c>
      <c r="Z1563" s="8" t="str">
        <f t="shared" si="24"/>
        <v>FLEX</v>
      </c>
      <c r="AA1563" s="8" t="e">
        <f>+VLOOKUP(I1563,[1]SKU!$H$2:$I$97,2,0)</f>
        <v>#N/A</v>
      </c>
    </row>
    <row r="1564" spans="24:27">
      <c r="X1564" s="8" t="str">
        <f>+IFERROR(VLOOKUP(N1564,[1]Hoja1!$B$2:$F$52,4,0)*P1564,"")</f>
        <v/>
      </c>
      <c r="Y1564" s="8" t="e">
        <f>+VLOOKUP(M1564,[1]SKU!$B$3:$E$81,4,0)</f>
        <v>#N/A</v>
      </c>
      <c r="Z1564" s="8" t="str">
        <f t="shared" si="24"/>
        <v>FLEX</v>
      </c>
      <c r="AA1564" s="8" t="e">
        <f>+VLOOKUP(I1564,[1]SKU!$H$2:$I$97,2,0)</f>
        <v>#N/A</v>
      </c>
    </row>
    <row r="1565" spans="24:27">
      <c r="X1565" s="8" t="str">
        <f>+IFERROR(VLOOKUP(N1565,[1]Hoja1!$B$2:$F$52,4,0)*P1565,"")</f>
        <v/>
      </c>
      <c r="Y1565" s="8" t="e">
        <f>+VLOOKUP(M1565,[1]SKU!$B$3:$E$81,4,0)</f>
        <v>#N/A</v>
      </c>
      <c r="Z1565" s="8" t="str">
        <f t="shared" si="24"/>
        <v>FLEX</v>
      </c>
      <c r="AA1565" s="8" t="e">
        <f>+VLOOKUP(I1565,[1]SKU!$H$2:$I$97,2,0)</f>
        <v>#N/A</v>
      </c>
    </row>
    <row r="1566" spans="24:27">
      <c r="X1566" s="8" t="str">
        <f>+IFERROR(VLOOKUP(N1566,[1]Hoja1!$B$2:$F$52,4,0)*P1566,"")</f>
        <v/>
      </c>
      <c r="Y1566" s="8" t="e">
        <f>+VLOOKUP(M1566,[1]SKU!$B$3:$E$81,4,0)</f>
        <v>#N/A</v>
      </c>
      <c r="Z1566" s="8" t="str">
        <f t="shared" si="24"/>
        <v>FLEX</v>
      </c>
      <c r="AA1566" s="8" t="e">
        <f>+VLOOKUP(I1566,[1]SKU!$H$2:$I$97,2,0)</f>
        <v>#N/A</v>
      </c>
    </row>
    <row r="1567" spans="24:27">
      <c r="X1567" s="8" t="str">
        <f>+IFERROR(VLOOKUP(N1567,[1]Hoja1!$B$2:$F$52,4,0)*P1567,"")</f>
        <v/>
      </c>
      <c r="Y1567" s="8" t="e">
        <f>+VLOOKUP(M1567,[1]SKU!$B$3:$E$81,4,0)</f>
        <v>#N/A</v>
      </c>
      <c r="Z1567" s="8" t="str">
        <f t="shared" si="24"/>
        <v>FLEX</v>
      </c>
      <c r="AA1567" s="8" t="e">
        <f>+VLOOKUP(I1567,[1]SKU!$H$2:$I$97,2,0)</f>
        <v>#N/A</v>
      </c>
    </row>
    <row r="1568" spans="24:27">
      <c r="X1568" s="8" t="str">
        <f>+IFERROR(VLOOKUP(N1568,[1]Hoja1!$B$2:$F$52,4,0)*P1568,"")</f>
        <v/>
      </c>
      <c r="Y1568" s="8" t="e">
        <f>+VLOOKUP(M1568,[1]SKU!$B$3:$E$81,4,0)</f>
        <v>#N/A</v>
      </c>
      <c r="Z1568" s="8" t="str">
        <f t="shared" si="24"/>
        <v>FLEX</v>
      </c>
      <c r="AA1568" s="8" t="e">
        <f>+VLOOKUP(I1568,[1]SKU!$H$2:$I$97,2,0)</f>
        <v>#N/A</v>
      </c>
    </row>
    <row r="1569" spans="24:27">
      <c r="X1569" s="8" t="str">
        <f>+IFERROR(VLOOKUP(N1569,[1]Hoja1!$B$2:$F$52,4,0)*P1569,"")</f>
        <v/>
      </c>
      <c r="Y1569" s="8" t="e">
        <f>+VLOOKUP(M1569,[1]SKU!$B$3:$E$81,4,0)</f>
        <v>#N/A</v>
      </c>
      <c r="Z1569" s="8" t="str">
        <f t="shared" si="24"/>
        <v>FLEX</v>
      </c>
      <c r="AA1569" s="8" t="e">
        <f>+VLOOKUP(I1569,[1]SKU!$H$2:$I$97,2,0)</f>
        <v>#N/A</v>
      </c>
    </row>
    <row r="1570" spans="24:27">
      <c r="X1570" s="8" t="str">
        <f>+IFERROR(VLOOKUP(N1570,[1]Hoja1!$B$2:$F$52,4,0)*P1570,"")</f>
        <v/>
      </c>
      <c r="Y1570" s="8" t="e">
        <f>+VLOOKUP(M1570,[1]SKU!$B$3:$E$81,4,0)</f>
        <v>#N/A</v>
      </c>
      <c r="Z1570" s="8" t="str">
        <f t="shared" si="24"/>
        <v>FLEX</v>
      </c>
      <c r="AA1570" s="8" t="e">
        <f>+VLOOKUP(I1570,[1]SKU!$H$2:$I$97,2,0)</f>
        <v>#N/A</v>
      </c>
    </row>
    <row r="1571" spans="24:27">
      <c r="X1571" s="8" t="str">
        <f>+IFERROR(VLOOKUP(N1571,[1]Hoja1!$B$2:$F$52,4,0)*P1571,"")</f>
        <v/>
      </c>
      <c r="Y1571" s="8" t="e">
        <f>+VLOOKUP(M1571,[1]SKU!$B$3:$E$81,4,0)</f>
        <v>#N/A</v>
      </c>
      <c r="Z1571" s="8" t="str">
        <f t="shared" si="24"/>
        <v>FLEX</v>
      </c>
      <c r="AA1571" s="8" t="e">
        <f>+VLOOKUP(I1571,[1]SKU!$H$2:$I$97,2,0)</f>
        <v>#N/A</v>
      </c>
    </row>
    <row r="1572" spans="24:27">
      <c r="X1572" s="8" t="str">
        <f>+IFERROR(VLOOKUP(N1572,[1]Hoja1!$B$2:$F$52,4,0)*P1572,"")</f>
        <v/>
      </c>
      <c r="Y1572" s="8" t="e">
        <f>+VLOOKUP(M1572,[1]SKU!$B$3:$E$81,4,0)</f>
        <v>#N/A</v>
      </c>
      <c r="Z1572" s="8" t="str">
        <f t="shared" si="24"/>
        <v>FLEX</v>
      </c>
      <c r="AA1572" s="8" t="e">
        <f>+VLOOKUP(I1572,[1]SKU!$H$2:$I$97,2,0)</f>
        <v>#N/A</v>
      </c>
    </row>
    <row r="1573" spans="24:27">
      <c r="X1573" s="8" t="str">
        <f>+IFERROR(VLOOKUP(N1573,[1]Hoja1!$B$2:$F$52,4,0)*P1573,"")</f>
        <v/>
      </c>
      <c r="Y1573" s="8" t="e">
        <f>+VLOOKUP(M1573,[1]SKU!$B$3:$E$81,4,0)</f>
        <v>#N/A</v>
      </c>
      <c r="Z1573" s="8" t="str">
        <f t="shared" si="24"/>
        <v>FLEX</v>
      </c>
      <c r="AA1573" s="8" t="e">
        <f>+VLOOKUP(I1573,[1]SKU!$H$2:$I$97,2,0)</f>
        <v>#N/A</v>
      </c>
    </row>
    <row r="1574" spans="24:27">
      <c r="X1574" s="8" t="str">
        <f>+IFERROR(VLOOKUP(N1574,[1]Hoja1!$B$2:$F$52,4,0)*P1574,"")</f>
        <v/>
      </c>
      <c r="Y1574" s="8" t="e">
        <f>+VLOOKUP(M1574,[1]SKU!$B$3:$E$81,4,0)</f>
        <v>#N/A</v>
      </c>
      <c r="Z1574" s="8" t="str">
        <f t="shared" si="24"/>
        <v>FLEX</v>
      </c>
      <c r="AA1574" s="8" t="e">
        <f>+VLOOKUP(I1574,[1]SKU!$H$2:$I$97,2,0)</f>
        <v>#N/A</v>
      </c>
    </row>
    <row r="1575" spans="24:27">
      <c r="X1575" s="8" t="str">
        <f>+IFERROR(VLOOKUP(N1575,[1]Hoja1!$B$2:$F$52,4,0)*P1575,"")</f>
        <v/>
      </c>
      <c r="Y1575" s="8" t="e">
        <f>+VLOOKUP(M1575,[1]SKU!$B$3:$E$81,4,0)</f>
        <v>#N/A</v>
      </c>
      <c r="Z1575" s="8" t="str">
        <f t="shared" si="24"/>
        <v>FLEX</v>
      </c>
      <c r="AA1575" s="8" t="e">
        <f>+VLOOKUP(I1575,[1]SKU!$H$2:$I$97,2,0)</f>
        <v>#N/A</v>
      </c>
    </row>
    <row r="1576" spans="24:27">
      <c r="X1576" s="8" t="str">
        <f>+IFERROR(VLOOKUP(N1576,[1]Hoja1!$B$2:$F$52,4,0)*P1576,"")</f>
        <v/>
      </c>
      <c r="Y1576" s="8" t="e">
        <f>+VLOOKUP(M1576,[1]SKU!$B$3:$E$81,4,0)</f>
        <v>#N/A</v>
      </c>
      <c r="Z1576" s="8" t="str">
        <f t="shared" si="24"/>
        <v>FLEX</v>
      </c>
      <c r="AA1576" s="8" t="e">
        <f>+VLOOKUP(I1576,[1]SKU!$H$2:$I$97,2,0)</f>
        <v>#N/A</v>
      </c>
    </row>
    <row r="1577" spans="24:27">
      <c r="X1577" s="8" t="str">
        <f>+IFERROR(VLOOKUP(N1577,[1]Hoja1!$B$2:$F$52,4,0)*P1577,"")</f>
        <v/>
      </c>
      <c r="Y1577" s="8" t="e">
        <f>+VLOOKUP(M1577,[1]SKU!$B$3:$E$81,4,0)</f>
        <v>#N/A</v>
      </c>
      <c r="Z1577" s="8" t="str">
        <f t="shared" si="24"/>
        <v>FLEX</v>
      </c>
      <c r="AA1577" s="8" t="e">
        <f>+VLOOKUP(I1577,[1]SKU!$H$2:$I$97,2,0)</f>
        <v>#N/A</v>
      </c>
    </row>
    <row r="1578" spans="24:27">
      <c r="X1578" s="8" t="str">
        <f>+IFERROR(VLOOKUP(N1578,[1]Hoja1!$B$2:$F$52,4,0)*P1578,"")</f>
        <v/>
      </c>
      <c r="Y1578" s="8" t="e">
        <f>+VLOOKUP(M1578,[1]SKU!$B$3:$E$81,4,0)</f>
        <v>#N/A</v>
      </c>
      <c r="Z1578" s="8" t="str">
        <f t="shared" si="24"/>
        <v>FLEX</v>
      </c>
      <c r="AA1578" s="8" t="e">
        <f>+VLOOKUP(I1578,[1]SKU!$H$2:$I$97,2,0)</f>
        <v>#N/A</v>
      </c>
    </row>
    <row r="1579" spans="24:27">
      <c r="X1579" s="8" t="str">
        <f>+IFERROR(VLOOKUP(N1579,[1]Hoja1!$B$2:$F$52,4,0)*P1579,"")</f>
        <v/>
      </c>
      <c r="Y1579" s="8" t="e">
        <f>+VLOOKUP(M1579,[1]SKU!$B$3:$E$81,4,0)</f>
        <v>#N/A</v>
      </c>
      <c r="Z1579" s="8" t="str">
        <f t="shared" si="24"/>
        <v>FLEX</v>
      </c>
      <c r="AA1579" s="8" t="e">
        <f>+VLOOKUP(I1579,[1]SKU!$H$2:$I$97,2,0)</f>
        <v>#N/A</v>
      </c>
    </row>
    <row r="1580" spans="24:27">
      <c r="X1580" s="8" t="str">
        <f>+IFERROR(VLOOKUP(N1580,[1]Hoja1!$B$2:$F$52,4,0)*P1580,"")</f>
        <v/>
      </c>
      <c r="Y1580" s="8" t="e">
        <f>+VLOOKUP(M1580,[1]SKU!$B$3:$E$81,4,0)</f>
        <v>#N/A</v>
      </c>
      <c r="Z1580" s="8" t="str">
        <f t="shared" si="24"/>
        <v>FLEX</v>
      </c>
      <c r="AA1580" s="8" t="e">
        <f>+VLOOKUP(I1580,[1]SKU!$H$2:$I$97,2,0)</f>
        <v>#N/A</v>
      </c>
    </row>
    <row r="1581" spans="24:27">
      <c r="X1581" s="8" t="str">
        <f>+IFERROR(VLOOKUP(N1581,[1]Hoja1!$B$2:$F$52,4,0)*P1581,"")</f>
        <v/>
      </c>
      <c r="Y1581" s="8" t="e">
        <f>+VLOOKUP(M1581,[1]SKU!$B$3:$E$81,4,0)</f>
        <v>#N/A</v>
      </c>
      <c r="Z1581" s="8" t="str">
        <f t="shared" si="24"/>
        <v>FLEX</v>
      </c>
      <c r="AA1581" s="8" t="e">
        <f>+VLOOKUP(I1581,[1]SKU!$H$2:$I$97,2,0)</f>
        <v>#N/A</v>
      </c>
    </row>
    <row r="1582" spans="24:27">
      <c r="X1582" s="8" t="str">
        <f>+IFERROR(VLOOKUP(N1582,[1]Hoja1!$B$2:$F$52,4,0)*P1582,"")</f>
        <v/>
      </c>
      <c r="Y1582" s="8" t="e">
        <f>+VLOOKUP(M1582,[1]SKU!$B$3:$E$81,4,0)</f>
        <v>#N/A</v>
      </c>
      <c r="Z1582" s="8" t="str">
        <f t="shared" si="24"/>
        <v>FLEX</v>
      </c>
      <c r="AA1582" s="8" t="e">
        <f>+VLOOKUP(I1582,[1]SKU!$H$2:$I$97,2,0)</f>
        <v>#N/A</v>
      </c>
    </row>
    <row r="1583" spans="24:27">
      <c r="X1583" s="8" t="str">
        <f>+IFERROR(VLOOKUP(N1583,[1]Hoja1!$B$2:$F$52,4,0)*P1583,"")</f>
        <v/>
      </c>
      <c r="Y1583" s="8" t="e">
        <f>+VLOOKUP(M1583,[1]SKU!$B$3:$E$81,4,0)</f>
        <v>#N/A</v>
      </c>
      <c r="Z1583" s="8" t="str">
        <f t="shared" si="24"/>
        <v>FLEX</v>
      </c>
      <c r="AA1583" s="8" t="e">
        <f>+VLOOKUP(I1583,[1]SKU!$H$2:$I$97,2,0)</f>
        <v>#N/A</v>
      </c>
    </row>
    <row r="1584" spans="24:27">
      <c r="X1584" s="8" t="str">
        <f>+IFERROR(VLOOKUP(N1584,[1]Hoja1!$B$2:$F$52,4,0)*P1584,"")</f>
        <v/>
      </c>
      <c r="Y1584" s="8" t="e">
        <f>+VLOOKUP(M1584,[1]SKU!$B$3:$E$81,4,0)</f>
        <v>#N/A</v>
      </c>
      <c r="Z1584" s="8" t="str">
        <f t="shared" si="24"/>
        <v>FLEX</v>
      </c>
      <c r="AA1584" s="8" t="e">
        <f>+VLOOKUP(I1584,[1]SKU!$H$2:$I$97,2,0)</f>
        <v>#N/A</v>
      </c>
    </row>
    <row r="1585" spans="24:27">
      <c r="X1585" s="8" t="str">
        <f>+IFERROR(VLOOKUP(N1585,[1]Hoja1!$B$2:$F$52,4,0)*P1585,"")</f>
        <v/>
      </c>
      <c r="Y1585" s="8" t="e">
        <f>+VLOOKUP(M1585,[1]SKU!$B$3:$E$81,4,0)</f>
        <v>#N/A</v>
      </c>
      <c r="Z1585" s="8" t="str">
        <f t="shared" si="24"/>
        <v>FLEX</v>
      </c>
      <c r="AA1585" s="8" t="e">
        <f>+VLOOKUP(I1585,[1]SKU!$H$2:$I$97,2,0)</f>
        <v>#N/A</v>
      </c>
    </row>
    <row r="1586" spans="24:27">
      <c r="X1586" s="8" t="str">
        <f>+IFERROR(VLOOKUP(N1586,[1]Hoja1!$B$2:$F$52,4,0)*P1586,"")</f>
        <v/>
      </c>
      <c r="Y1586" s="8" t="e">
        <f>+VLOOKUP(M1586,[1]SKU!$B$3:$E$81,4,0)</f>
        <v>#N/A</v>
      </c>
      <c r="Z1586" s="8" t="str">
        <f t="shared" si="24"/>
        <v>FLEX</v>
      </c>
      <c r="AA1586" s="8" t="e">
        <f>+VLOOKUP(I1586,[1]SKU!$H$2:$I$97,2,0)</f>
        <v>#N/A</v>
      </c>
    </row>
    <row r="1587" spans="24:27">
      <c r="X1587" s="8" t="str">
        <f>+IFERROR(VLOOKUP(N1587,[1]Hoja1!$B$2:$F$52,4,0)*P1587,"")</f>
        <v/>
      </c>
      <c r="Y1587" s="8" t="e">
        <f>+VLOOKUP(M1587,[1]SKU!$B$3:$E$81,4,0)</f>
        <v>#N/A</v>
      </c>
      <c r="Z1587" s="8" t="str">
        <f t="shared" si="24"/>
        <v>FLEX</v>
      </c>
      <c r="AA1587" s="8" t="e">
        <f>+VLOOKUP(I1587,[1]SKU!$H$2:$I$97,2,0)</f>
        <v>#N/A</v>
      </c>
    </row>
    <row r="1588" spans="24:27">
      <c r="X1588" s="8" t="str">
        <f>+IFERROR(VLOOKUP(N1588,[1]Hoja1!$B$2:$F$52,4,0)*P1588,"")</f>
        <v/>
      </c>
      <c r="Y1588" s="8" t="e">
        <f>+VLOOKUP(M1588,[1]SKU!$B$3:$E$81,4,0)</f>
        <v>#N/A</v>
      </c>
      <c r="Z1588" s="8" t="str">
        <f t="shared" si="24"/>
        <v>FLEX</v>
      </c>
      <c r="AA1588" s="8" t="e">
        <f>+VLOOKUP(I1588,[1]SKU!$H$2:$I$97,2,0)</f>
        <v>#N/A</v>
      </c>
    </row>
    <row r="1589" spans="24:27">
      <c r="X1589" s="8" t="str">
        <f>+IFERROR(VLOOKUP(N1589,[1]Hoja1!$B$2:$F$52,4,0)*P1589,"")</f>
        <v/>
      </c>
      <c r="Y1589" s="8" t="e">
        <f>+VLOOKUP(M1589,[1]SKU!$B$3:$E$81,4,0)</f>
        <v>#N/A</v>
      </c>
      <c r="Z1589" s="8" t="str">
        <f t="shared" si="24"/>
        <v>FLEX</v>
      </c>
      <c r="AA1589" s="8" t="e">
        <f>+VLOOKUP(I1589,[1]SKU!$H$2:$I$97,2,0)</f>
        <v>#N/A</v>
      </c>
    </row>
    <row r="1590" spans="24:27">
      <c r="X1590" s="8" t="str">
        <f>+IFERROR(VLOOKUP(N1590,[1]Hoja1!$B$2:$F$52,4,0)*P1590,"")</f>
        <v/>
      </c>
      <c r="Y1590" s="8" t="e">
        <f>+VLOOKUP(M1590,[1]SKU!$B$3:$E$81,4,0)</f>
        <v>#N/A</v>
      </c>
      <c r="Z1590" s="8" t="str">
        <f t="shared" si="24"/>
        <v>FLEX</v>
      </c>
      <c r="AA1590" s="8" t="e">
        <f>+VLOOKUP(I1590,[1]SKU!$H$2:$I$97,2,0)</f>
        <v>#N/A</v>
      </c>
    </row>
    <row r="1591" spans="24:27">
      <c r="X1591" s="8" t="str">
        <f>+IFERROR(VLOOKUP(N1591,[1]Hoja1!$B$2:$F$52,4,0)*P1591,"")</f>
        <v/>
      </c>
      <c r="Y1591" s="8" t="e">
        <f>+VLOOKUP(M1591,[1]SKU!$B$3:$E$81,4,0)</f>
        <v>#N/A</v>
      </c>
      <c r="Z1591" s="8" t="str">
        <f t="shared" si="24"/>
        <v>FLEX</v>
      </c>
      <c r="AA1591" s="8" t="e">
        <f>+VLOOKUP(I1591,[1]SKU!$H$2:$I$97,2,0)</f>
        <v>#N/A</v>
      </c>
    </row>
    <row r="1592" spans="24:27">
      <c r="X1592" s="8" t="str">
        <f>+IFERROR(VLOOKUP(N1592,[1]Hoja1!$B$2:$F$52,4,0)*P1592,"")</f>
        <v/>
      </c>
      <c r="Y1592" s="8" t="e">
        <f>+VLOOKUP(M1592,[1]SKU!$B$3:$E$81,4,0)</f>
        <v>#N/A</v>
      </c>
      <c r="Z1592" s="8" t="str">
        <f t="shared" si="24"/>
        <v>FLEX</v>
      </c>
      <c r="AA1592" s="8" t="e">
        <f>+VLOOKUP(I1592,[1]SKU!$H$2:$I$97,2,0)</f>
        <v>#N/A</v>
      </c>
    </row>
    <row r="1593" spans="24:27">
      <c r="X1593" s="8" t="str">
        <f>+IFERROR(VLOOKUP(N1593,[1]Hoja1!$B$2:$F$52,4,0)*P1593,"")</f>
        <v/>
      </c>
      <c r="Y1593" s="8" t="e">
        <f>+VLOOKUP(M1593,[1]SKU!$B$3:$E$81,4,0)</f>
        <v>#N/A</v>
      </c>
      <c r="Z1593" s="8" t="str">
        <f t="shared" si="24"/>
        <v>FLEX</v>
      </c>
      <c r="AA1593" s="8" t="e">
        <f>+VLOOKUP(I1593,[1]SKU!$H$2:$I$97,2,0)</f>
        <v>#N/A</v>
      </c>
    </row>
    <row r="1594" spans="24:27">
      <c r="X1594" s="8" t="str">
        <f>+IFERROR(VLOOKUP(N1594,[1]Hoja1!$B$2:$F$52,4,0)*P1594,"")</f>
        <v/>
      </c>
      <c r="Y1594" s="8" t="e">
        <f>+VLOOKUP(M1594,[1]SKU!$B$3:$E$81,4,0)</f>
        <v>#N/A</v>
      </c>
      <c r="Z1594" s="8" t="str">
        <f t="shared" si="24"/>
        <v>FLEX</v>
      </c>
      <c r="AA1594" s="8" t="e">
        <f>+VLOOKUP(I1594,[1]SKU!$H$2:$I$97,2,0)</f>
        <v>#N/A</v>
      </c>
    </row>
    <row r="1595" spans="24:27">
      <c r="X1595" s="8" t="str">
        <f>+IFERROR(VLOOKUP(N1595,[1]Hoja1!$B$2:$F$52,4,0)*P1595,"")</f>
        <v/>
      </c>
      <c r="Y1595" s="8" t="e">
        <f>+VLOOKUP(M1595,[1]SKU!$B$3:$E$81,4,0)</f>
        <v>#N/A</v>
      </c>
      <c r="Z1595" s="8" t="str">
        <f t="shared" si="24"/>
        <v>FLEX</v>
      </c>
      <c r="AA1595" s="8" t="e">
        <f>+VLOOKUP(I1595,[1]SKU!$H$2:$I$97,2,0)</f>
        <v>#N/A</v>
      </c>
    </row>
    <row r="1596" spans="24:27">
      <c r="X1596" s="8" t="str">
        <f>+IFERROR(VLOOKUP(N1596,[1]Hoja1!$B$2:$F$52,4,0)*P1596,"")</f>
        <v/>
      </c>
      <c r="Y1596" s="8" t="e">
        <f>+VLOOKUP(M1596,[1]SKU!$B$3:$E$81,4,0)</f>
        <v>#N/A</v>
      </c>
      <c r="Z1596" s="8" t="str">
        <f t="shared" si="24"/>
        <v>FLEX</v>
      </c>
      <c r="AA1596" s="8" t="e">
        <f>+VLOOKUP(I1596,[1]SKU!$H$2:$I$97,2,0)</f>
        <v>#N/A</v>
      </c>
    </row>
    <row r="1597" spans="24:27">
      <c r="X1597" s="8" t="str">
        <f>+IFERROR(VLOOKUP(N1597,[1]Hoja1!$B$2:$F$52,4,0)*P1597,"")</f>
        <v/>
      </c>
      <c r="Y1597" s="8" t="e">
        <f>+VLOOKUP(M1597,[1]SKU!$B$3:$E$81,4,0)</f>
        <v>#N/A</v>
      </c>
      <c r="Z1597" s="8" t="str">
        <f t="shared" si="24"/>
        <v>FLEX</v>
      </c>
      <c r="AA1597" s="8" t="e">
        <f>+VLOOKUP(I1597,[1]SKU!$H$2:$I$97,2,0)</f>
        <v>#N/A</v>
      </c>
    </row>
    <row r="1598" spans="24:27">
      <c r="X1598" s="8" t="str">
        <f>+IFERROR(VLOOKUP(N1598,[1]Hoja1!$B$2:$F$52,4,0)*P1598,"")</f>
        <v/>
      </c>
      <c r="Y1598" s="8" t="e">
        <f>+VLOOKUP(M1598,[1]SKU!$B$3:$E$81,4,0)</f>
        <v>#N/A</v>
      </c>
      <c r="Z1598" s="8" t="str">
        <f t="shared" si="24"/>
        <v>FLEX</v>
      </c>
      <c r="AA1598" s="8" t="e">
        <f>+VLOOKUP(I1598,[1]SKU!$H$2:$I$97,2,0)</f>
        <v>#N/A</v>
      </c>
    </row>
    <row r="1599" spans="24:27">
      <c r="X1599" s="8" t="str">
        <f>+IFERROR(VLOOKUP(N1599,[1]Hoja1!$B$2:$F$52,4,0)*P1599,"")</f>
        <v/>
      </c>
      <c r="Y1599" s="8" t="e">
        <f>+VLOOKUP(M1599,[1]SKU!$B$3:$E$81,4,0)</f>
        <v>#N/A</v>
      </c>
      <c r="Z1599" s="8" t="str">
        <f t="shared" si="24"/>
        <v>FLEX</v>
      </c>
      <c r="AA1599" s="8" t="e">
        <f>+VLOOKUP(I1599,[1]SKU!$H$2:$I$97,2,0)</f>
        <v>#N/A</v>
      </c>
    </row>
    <row r="1600" spans="24:27">
      <c r="X1600" s="8" t="str">
        <f>+IFERROR(VLOOKUP(N1600,[1]Hoja1!$B$2:$F$52,4,0)*P1600,"")</f>
        <v/>
      </c>
      <c r="Y1600" s="8" t="e">
        <f>+VLOOKUP(M1600,[1]SKU!$B$3:$E$81,4,0)</f>
        <v>#N/A</v>
      </c>
      <c r="Z1600" s="8" t="str">
        <f t="shared" si="24"/>
        <v>FLEX</v>
      </c>
      <c r="AA1600" s="8" t="e">
        <f>+VLOOKUP(I1600,[1]SKU!$H$2:$I$97,2,0)</f>
        <v>#N/A</v>
      </c>
    </row>
    <row r="1601" spans="24:27">
      <c r="X1601" s="8" t="str">
        <f>+IFERROR(VLOOKUP(N1601,[1]Hoja1!$B$2:$F$52,4,0)*P1601,"")</f>
        <v/>
      </c>
      <c r="Y1601" s="8" t="e">
        <f>+VLOOKUP(M1601,[1]SKU!$B$3:$E$81,4,0)</f>
        <v>#N/A</v>
      </c>
      <c r="Z1601" s="8" t="str">
        <f t="shared" si="24"/>
        <v>FLEX</v>
      </c>
      <c r="AA1601" s="8" t="e">
        <f>+VLOOKUP(I1601,[1]SKU!$H$2:$I$97,2,0)</f>
        <v>#N/A</v>
      </c>
    </row>
    <row r="1602" spans="24:27">
      <c r="X1602" s="8" t="str">
        <f>+IFERROR(VLOOKUP(N1602,[1]Hoja1!$B$2:$F$52,4,0)*P1602,"")</f>
        <v/>
      </c>
      <c r="Y1602" s="8" t="e">
        <f>+VLOOKUP(M1602,[1]SKU!$B$3:$E$81,4,0)</f>
        <v>#N/A</v>
      </c>
      <c r="Z1602" s="8" t="str">
        <f t="shared" si="24"/>
        <v>FLEX</v>
      </c>
      <c r="AA1602" s="8" t="e">
        <f>+VLOOKUP(I1602,[1]SKU!$H$2:$I$97,2,0)</f>
        <v>#N/A</v>
      </c>
    </row>
    <row r="1603" spans="24:27">
      <c r="X1603" s="8" t="str">
        <f>+IFERROR(VLOOKUP(N1603,[1]Hoja1!$B$2:$F$52,4,0)*P1603,"")</f>
        <v/>
      </c>
      <c r="Y1603" s="8" t="e">
        <f>+VLOOKUP(M1603,[1]SKU!$B$3:$E$81,4,0)</f>
        <v>#N/A</v>
      </c>
      <c r="Z1603" s="8" t="str">
        <f t="shared" ref="Z1603:Z1666" si="25">+IF(J1603="VB01                          ","BEES","FLEX")</f>
        <v>FLEX</v>
      </c>
      <c r="AA1603" s="8" t="e">
        <f>+VLOOKUP(I1603,[1]SKU!$H$2:$I$97,2,0)</f>
        <v>#N/A</v>
      </c>
    </row>
    <row r="1604" spans="24:27">
      <c r="X1604" s="8" t="str">
        <f>+IFERROR(VLOOKUP(N1604,[1]Hoja1!$B$2:$F$52,4,0)*P1604,"")</f>
        <v/>
      </c>
      <c r="Y1604" s="8" t="e">
        <f>+VLOOKUP(M1604,[1]SKU!$B$3:$E$81,4,0)</f>
        <v>#N/A</v>
      </c>
      <c r="Z1604" s="8" t="str">
        <f t="shared" si="25"/>
        <v>FLEX</v>
      </c>
      <c r="AA1604" s="8" t="e">
        <f>+VLOOKUP(I1604,[1]SKU!$H$2:$I$97,2,0)</f>
        <v>#N/A</v>
      </c>
    </row>
    <row r="1605" spans="24:27">
      <c r="X1605" s="8" t="str">
        <f>+IFERROR(VLOOKUP(N1605,[1]Hoja1!$B$2:$F$52,4,0)*P1605,"")</f>
        <v/>
      </c>
      <c r="Y1605" s="8" t="e">
        <f>+VLOOKUP(M1605,[1]SKU!$B$3:$E$81,4,0)</f>
        <v>#N/A</v>
      </c>
      <c r="Z1605" s="8" t="str">
        <f t="shared" si="25"/>
        <v>FLEX</v>
      </c>
      <c r="AA1605" s="8" t="e">
        <f>+VLOOKUP(I1605,[1]SKU!$H$2:$I$97,2,0)</f>
        <v>#N/A</v>
      </c>
    </row>
    <row r="1606" spans="24:27">
      <c r="X1606" s="8" t="str">
        <f>+IFERROR(VLOOKUP(N1606,[1]Hoja1!$B$2:$F$52,4,0)*P1606,"")</f>
        <v/>
      </c>
      <c r="Y1606" s="8" t="e">
        <f>+VLOOKUP(M1606,[1]SKU!$B$3:$E$81,4,0)</f>
        <v>#N/A</v>
      </c>
      <c r="Z1606" s="8" t="str">
        <f t="shared" si="25"/>
        <v>FLEX</v>
      </c>
      <c r="AA1606" s="8" t="e">
        <f>+VLOOKUP(I1606,[1]SKU!$H$2:$I$97,2,0)</f>
        <v>#N/A</v>
      </c>
    </row>
    <row r="1607" spans="24:27">
      <c r="X1607" s="8" t="str">
        <f>+IFERROR(VLOOKUP(N1607,[1]Hoja1!$B$2:$F$52,4,0)*P1607,"")</f>
        <v/>
      </c>
      <c r="Y1607" s="8" t="e">
        <f>+VLOOKUP(M1607,[1]SKU!$B$3:$E$81,4,0)</f>
        <v>#N/A</v>
      </c>
      <c r="Z1607" s="8" t="str">
        <f t="shared" si="25"/>
        <v>FLEX</v>
      </c>
      <c r="AA1607" s="8" t="e">
        <f>+VLOOKUP(I1607,[1]SKU!$H$2:$I$97,2,0)</f>
        <v>#N/A</v>
      </c>
    </row>
    <row r="1608" spans="24:27">
      <c r="X1608" s="8" t="str">
        <f>+IFERROR(VLOOKUP(N1608,[1]Hoja1!$B$2:$F$52,4,0)*P1608,"")</f>
        <v/>
      </c>
      <c r="Y1608" s="8" t="e">
        <f>+VLOOKUP(M1608,[1]SKU!$B$3:$E$81,4,0)</f>
        <v>#N/A</v>
      </c>
      <c r="Z1608" s="8" t="str">
        <f t="shared" si="25"/>
        <v>FLEX</v>
      </c>
      <c r="AA1608" s="8" t="e">
        <f>+VLOOKUP(I1608,[1]SKU!$H$2:$I$97,2,0)</f>
        <v>#N/A</v>
      </c>
    </row>
    <row r="1609" spans="24:27">
      <c r="X1609" s="8" t="str">
        <f>+IFERROR(VLOOKUP(N1609,[1]Hoja1!$B$2:$F$52,4,0)*P1609,"")</f>
        <v/>
      </c>
      <c r="Y1609" s="8" t="e">
        <f>+VLOOKUP(M1609,[1]SKU!$B$3:$E$81,4,0)</f>
        <v>#N/A</v>
      </c>
      <c r="Z1609" s="8" t="str">
        <f t="shared" si="25"/>
        <v>FLEX</v>
      </c>
      <c r="AA1609" s="8" t="e">
        <f>+VLOOKUP(I1609,[1]SKU!$H$2:$I$97,2,0)</f>
        <v>#N/A</v>
      </c>
    </row>
    <row r="1610" spans="24:27">
      <c r="X1610" s="8" t="str">
        <f>+IFERROR(VLOOKUP(N1610,[1]Hoja1!$B$2:$F$52,4,0)*P1610,"")</f>
        <v/>
      </c>
      <c r="Y1610" s="8" t="e">
        <f>+VLOOKUP(M1610,[1]SKU!$B$3:$E$81,4,0)</f>
        <v>#N/A</v>
      </c>
      <c r="Z1610" s="8" t="str">
        <f t="shared" si="25"/>
        <v>FLEX</v>
      </c>
      <c r="AA1610" s="8" t="e">
        <f>+VLOOKUP(I1610,[1]SKU!$H$2:$I$97,2,0)</f>
        <v>#N/A</v>
      </c>
    </row>
    <row r="1611" spans="24:27">
      <c r="X1611" s="8" t="str">
        <f>+IFERROR(VLOOKUP(N1611,[1]Hoja1!$B$2:$F$52,4,0)*P1611,"")</f>
        <v/>
      </c>
      <c r="Y1611" s="8" t="e">
        <f>+VLOOKUP(M1611,[1]SKU!$B$3:$E$81,4,0)</f>
        <v>#N/A</v>
      </c>
      <c r="Z1611" s="8" t="str">
        <f t="shared" si="25"/>
        <v>FLEX</v>
      </c>
      <c r="AA1611" s="8" t="e">
        <f>+VLOOKUP(I1611,[1]SKU!$H$2:$I$97,2,0)</f>
        <v>#N/A</v>
      </c>
    </row>
    <row r="1612" spans="24:27">
      <c r="X1612" s="8" t="str">
        <f>+IFERROR(VLOOKUP(N1612,[1]Hoja1!$B$2:$F$52,4,0)*P1612,"")</f>
        <v/>
      </c>
      <c r="Y1612" s="8" t="e">
        <f>+VLOOKUP(M1612,[1]SKU!$B$3:$E$81,4,0)</f>
        <v>#N/A</v>
      </c>
      <c r="Z1612" s="8" t="str">
        <f t="shared" si="25"/>
        <v>FLEX</v>
      </c>
      <c r="AA1612" s="8" t="e">
        <f>+VLOOKUP(I1612,[1]SKU!$H$2:$I$97,2,0)</f>
        <v>#N/A</v>
      </c>
    </row>
    <row r="1613" spans="24:27">
      <c r="X1613" s="8" t="str">
        <f>+IFERROR(VLOOKUP(N1613,[1]Hoja1!$B$2:$F$52,4,0)*P1613,"")</f>
        <v/>
      </c>
      <c r="Y1613" s="8" t="e">
        <f>+VLOOKUP(M1613,[1]SKU!$B$3:$E$81,4,0)</f>
        <v>#N/A</v>
      </c>
      <c r="Z1613" s="8" t="str">
        <f t="shared" si="25"/>
        <v>FLEX</v>
      </c>
      <c r="AA1613" s="8" t="e">
        <f>+VLOOKUP(I1613,[1]SKU!$H$2:$I$97,2,0)</f>
        <v>#N/A</v>
      </c>
    </row>
    <row r="1614" spans="24:27">
      <c r="X1614" s="8" t="str">
        <f>+IFERROR(VLOOKUP(N1614,[1]Hoja1!$B$2:$F$52,4,0)*P1614,"")</f>
        <v/>
      </c>
      <c r="Y1614" s="8" t="e">
        <f>+VLOOKUP(M1614,[1]SKU!$B$3:$E$81,4,0)</f>
        <v>#N/A</v>
      </c>
      <c r="Z1614" s="8" t="str">
        <f t="shared" si="25"/>
        <v>FLEX</v>
      </c>
      <c r="AA1614" s="8" t="e">
        <f>+VLOOKUP(I1614,[1]SKU!$H$2:$I$97,2,0)</f>
        <v>#N/A</v>
      </c>
    </row>
    <row r="1615" spans="24:27">
      <c r="X1615" s="8" t="str">
        <f>+IFERROR(VLOOKUP(N1615,[1]Hoja1!$B$2:$F$52,4,0)*P1615,"")</f>
        <v/>
      </c>
      <c r="Y1615" s="8" t="e">
        <f>+VLOOKUP(M1615,[1]SKU!$B$3:$E$81,4,0)</f>
        <v>#N/A</v>
      </c>
      <c r="Z1615" s="8" t="str">
        <f t="shared" si="25"/>
        <v>FLEX</v>
      </c>
      <c r="AA1615" s="8" t="e">
        <f>+VLOOKUP(I1615,[1]SKU!$H$2:$I$97,2,0)</f>
        <v>#N/A</v>
      </c>
    </row>
    <row r="1616" spans="24:27">
      <c r="X1616" s="8" t="str">
        <f>+IFERROR(VLOOKUP(N1616,[1]Hoja1!$B$2:$F$52,4,0)*P1616,"")</f>
        <v/>
      </c>
      <c r="Y1616" s="8" t="e">
        <f>+VLOOKUP(M1616,[1]SKU!$B$3:$E$81,4,0)</f>
        <v>#N/A</v>
      </c>
      <c r="Z1616" s="8" t="str">
        <f t="shared" si="25"/>
        <v>FLEX</v>
      </c>
      <c r="AA1616" s="8" t="e">
        <f>+VLOOKUP(I1616,[1]SKU!$H$2:$I$97,2,0)</f>
        <v>#N/A</v>
      </c>
    </row>
    <row r="1617" spans="24:27">
      <c r="X1617" s="8" t="str">
        <f>+IFERROR(VLOOKUP(N1617,[1]Hoja1!$B$2:$F$52,4,0)*P1617,"")</f>
        <v/>
      </c>
      <c r="Y1617" s="8" t="e">
        <f>+VLOOKUP(M1617,[1]SKU!$B$3:$E$81,4,0)</f>
        <v>#N/A</v>
      </c>
      <c r="Z1617" s="8" t="str">
        <f t="shared" si="25"/>
        <v>FLEX</v>
      </c>
      <c r="AA1617" s="8" t="e">
        <f>+VLOOKUP(I1617,[1]SKU!$H$2:$I$97,2,0)</f>
        <v>#N/A</v>
      </c>
    </row>
    <row r="1618" spans="24:27">
      <c r="X1618" s="8" t="str">
        <f>+IFERROR(VLOOKUP(N1618,[1]Hoja1!$B$2:$F$52,4,0)*P1618,"")</f>
        <v/>
      </c>
      <c r="Y1618" s="8" t="e">
        <f>+VLOOKUP(M1618,[1]SKU!$B$3:$E$81,4,0)</f>
        <v>#N/A</v>
      </c>
      <c r="Z1618" s="8" t="str">
        <f t="shared" si="25"/>
        <v>FLEX</v>
      </c>
      <c r="AA1618" s="8" t="e">
        <f>+VLOOKUP(I1618,[1]SKU!$H$2:$I$97,2,0)</f>
        <v>#N/A</v>
      </c>
    </row>
    <row r="1619" spans="24:27">
      <c r="X1619" s="8" t="str">
        <f>+IFERROR(VLOOKUP(N1619,[1]Hoja1!$B$2:$F$52,4,0)*P1619,"")</f>
        <v/>
      </c>
      <c r="Y1619" s="8" t="e">
        <f>+VLOOKUP(M1619,[1]SKU!$B$3:$E$81,4,0)</f>
        <v>#N/A</v>
      </c>
      <c r="Z1619" s="8" t="str">
        <f t="shared" si="25"/>
        <v>FLEX</v>
      </c>
      <c r="AA1619" s="8" t="e">
        <f>+VLOOKUP(I1619,[1]SKU!$H$2:$I$97,2,0)</f>
        <v>#N/A</v>
      </c>
    </row>
    <row r="1620" spans="24:27">
      <c r="X1620" s="8" t="str">
        <f>+IFERROR(VLOOKUP(N1620,[1]Hoja1!$B$2:$F$52,4,0)*P1620,"")</f>
        <v/>
      </c>
      <c r="Y1620" s="8" t="e">
        <f>+VLOOKUP(M1620,[1]SKU!$B$3:$E$81,4,0)</f>
        <v>#N/A</v>
      </c>
      <c r="Z1620" s="8" t="str">
        <f t="shared" si="25"/>
        <v>FLEX</v>
      </c>
      <c r="AA1620" s="8" t="e">
        <f>+VLOOKUP(I1620,[1]SKU!$H$2:$I$97,2,0)</f>
        <v>#N/A</v>
      </c>
    </row>
    <row r="1621" spans="24:27">
      <c r="X1621" s="8" t="str">
        <f>+IFERROR(VLOOKUP(N1621,[1]Hoja1!$B$2:$F$52,4,0)*P1621,"")</f>
        <v/>
      </c>
      <c r="Y1621" s="8" t="e">
        <f>+VLOOKUP(M1621,[1]SKU!$B$3:$E$81,4,0)</f>
        <v>#N/A</v>
      </c>
      <c r="Z1621" s="8" t="str">
        <f t="shared" si="25"/>
        <v>FLEX</v>
      </c>
      <c r="AA1621" s="8" t="e">
        <f>+VLOOKUP(I1621,[1]SKU!$H$2:$I$97,2,0)</f>
        <v>#N/A</v>
      </c>
    </row>
    <row r="1622" spans="24:27">
      <c r="X1622" s="8" t="str">
        <f>+IFERROR(VLOOKUP(N1622,[1]Hoja1!$B$2:$F$52,4,0)*P1622,"")</f>
        <v/>
      </c>
      <c r="Y1622" s="8" t="e">
        <f>+VLOOKUP(M1622,[1]SKU!$B$3:$E$81,4,0)</f>
        <v>#N/A</v>
      </c>
      <c r="Z1622" s="8" t="str">
        <f t="shared" si="25"/>
        <v>FLEX</v>
      </c>
      <c r="AA1622" s="8" t="e">
        <f>+VLOOKUP(I1622,[1]SKU!$H$2:$I$97,2,0)</f>
        <v>#N/A</v>
      </c>
    </row>
    <row r="1623" spans="24:27">
      <c r="X1623" s="8" t="str">
        <f>+IFERROR(VLOOKUP(N1623,[1]Hoja1!$B$2:$F$52,4,0)*P1623,"")</f>
        <v/>
      </c>
      <c r="Y1623" s="8" t="e">
        <f>+VLOOKUP(M1623,[1]SKU!$B$3:$E$81,4,0)</f>
        <v>#N/A</v>
      </c>
      <c r="Z1623" s="8" t="str">
        <f t="shared" si="25"/>
        <v>FLEX</v>
      </c>
      <c r="AA1623" s="8" t="e">
        <f>+VLOOKUP(I1623,[1]SKU!$H$2:$I$97,2,0)</f>
        <v>#N/A</v>
      </c>
    </row>
    <row r="1624" spans="24:27">
      <c r="X1624" s="8" t="str">
        <f>+IFERROR(VLOOKUP(N1624,[1]Hoja1!$B$2:$F$52,4,0)*P1624,"")</f>
        <v/>
      </c>
      <c r="Y1624" s="8" t="e">
        <f>+VLOOKUP(M1624,[1]SKU!$B$3:$E$81,4,0)</f>
        <v>#N/A</v>
      </c>
      <c r="Z1624" s="8" t="str">
        <f t="shared" si="25"/>
        <v>FLEX</v>
      </c>
      <c r="AA1624" s="8" t="e">
        <f>+VLOOKUP(I1624,[1]SKU!$H$2:$I$97,2,0)</f>
        <v>#N/A</v>
      </c>
    </row>
    <row r="1625" spans="24:27">
      <c r="X1625" s="8" t="str">
        <f>+IFERROR(VLOOKUP(N1625,[1]Hoja1!$B$2:$F$52,4,0)*P1625,"")</f>
        <v/>
      </c>
      <c r="Y1625" s="8" t="e">
        <f>+VLOOKUP(M1625,[1]SKU!$B$3:$E$81,4,0)</f>
        <v>#N/A</v>
      </c>
      <c r="Z1625" s="8" t="str">
        <f t="shared" si="25"/>
        <v>FLEX</v>
      </c>
      <c r="AA1625" s="8" t="e">
        <f>+VLOOKUP(I1625,[1]SKU!$H$2:$I$97,2,0)</f>
        <v>#N/A</v>
      </c>
    </row>
    <row r="1626" spans="24:27">
      <c r="X1626" s="8" t="str">
        <f>+IFERROR(VLOOKUP(N1626,[1]Hoja1!$B$2:$F$52,4,0)*P1626,"")</f>
        <v/>
      </c>
      <c r="Y1626" s="8" t="e">
        <f>+VLOOKUP(M1626,[1]SKU!$B$3:$E$81,4,0)</f>
        <v>#N/A</v>
      </c>
      <c r="Z1626" s="8" t="str">
        <f t="shared" si="25"/>
        <v>FLEX</v>
      </c>
      <c r="AA1626" s="8" t="e">
        <f>+VLOOKUP(I1626,[1]SKU!$H$2:$I$97,2,0)</f>
        <v>#N/A</v>
      </c>
    </row>
    <row r="1627" spans="24:27">
      <c r="X1627" s="8" t="str">
        <f>+IFERROR(VLOOKUP(N1627,[1]Hoja1!$B$2:$F$52,4,0)*P1627,"")</f>
        <v/>
      </c>
      <c r="Y1627" s="8" t="e">
        <f>+VLOOKUP(M1627,[1]SKU!$B$3:$E$81,4,0)</f>
        <v>#N/A</v>
      </c>
      <c r="Z1627" s="8" t="str">
        <f t="shared" si="25"/>
        <v>FLEX</v>
      </c>
      <c r="AA1627" s="8" t="e">
        <f>+VLOOKUP(I1627,[1]SKU!$H$2:$I$97,2,0)</f>
        <v>#N/A</v>
      </c>
    </row>
    <row r="1628" spans="24:27">
      <c r="X1628" s="8" t="str">
        <f>+IFERROR(VLOOKUP(N1628,[1]Hoja1!$B$2:$F$52,4,0)*P1628,"")</f>
        <v/>
      </c>
      <c r="Y1628" s="8" t="e">
        <f>+VLOOKUP(M1628,[1]SKU!$B$3:$E$81,4,0)</f>
        <v>#N/A</v>
      </c>
      <c r="Z1628" s="8" t="str">
        <f t="shared" si="25"/>
        <v>FLEX</v>
      </c>
      <c r="AA1628" s="8" t="e">
        <f>+VLOOKUP(I1628,[1]SKU!$H$2:$I$97,2,0)</f>
        <v>#N/A</v>
      </c>
    </row>
    <row r="1629" spans="24:27">
      <c r="X1629" s="8" t="str">
        <f>+IFERROR(VLOOKUP(N1629,[1]Hoja1!$B$2:$F$52,4,0)*P1629,"")</f>
        <v/>
      </c>
      <c r="Y1629" s="8" t="e">
        <f>+VLOOKUP(M1629,[1]SKU!$B$3:$E$81,4,0)</f>
        <v>#N/A</v>
      </c>
      <c r="Z1629" s="8" t="str">
        <f t="shared" si="25"/>
        <v>FLEX</v>
      </c>
      <c r="AA1629" s="8" t="e">
        <f>+VLOOKUP(I1629,[1]SKU!$H$2:$I$97,2,0)</f>
        <v>#N/A</v>
      </c>
    </row>
    <row r="1630" spans="24:27">
      <c r="X1630" s="8" t="str">
        <f>+IFERROR(VLOOKUP(N1630,[1]Hoja1!$B$2:$F$52,4,0)*P1630,"")</f>
        <v/>
      </c>
      <c r="Y1630" s="8" t="e">
        <f>+VLOOKUP(M1630,[1]SKU!$B$3:$E$81,4,0)</f>
        <v>#N/A</v>
      </c>
      <c r="Z1630" s="8" t="str">
        <f t="shared" si="25"/>
        <v>FLEX</v>
      </c>
      <c r="AA1630" s="8" t="e">
        <f>+VLOOKUP(I1630,[1]SKU!$H$2:$I$97,2,0)</f>
        <v>#N/A</v>
      </c>
    </row>
    <row r="1631" spans="24:27">
      <c r="X1631" s="8" t="str">
        <f>+IFERROR(VLOOKUP(N1631,[1]Hoja1!$B$2:$F$52,4,0)*P1631,"")</f>
        <v/>
      </c>
      <c r="Y1631" s="8" t="e">
        <f>+VLOOKUP(M1631,[1]SKU!$B$3:$E$81,4,0)</f>
        <v>#N/A</v>
      </c>
      <c r="Z1631" s="8" t="str">
        <f t="shared" si="25"/>
        <v>FLEX</v>
      </c>
      <c r="AA1631" s="8" t="e">
        <f>+VLOOKUP(I1631,[1]SKU!$H$2:$I$97,2,0)</f>
        <v>#N/A</v>
      </c>
    </row>
    <row r="1632" spans="24:27">
      <c r="X1632" s="8" t="str">
        <f>+IFERROR(VLOOKUP(N1632,[1]Hoja1!$B$2:$F$52,4,0)*P1632,"")</f>
        <v/>
      </c>
      <c r="Y1632" s="8" t="e">
        <f>+VLOOKUP(M1632,[1]SKU!$B$3:$E$81,4,0)</f>
        <v>#N/A</v>
      </c>
      <c r="Z1632" s="8" t="str">
        <f t="shared" si="25"/>
        <v>FLEX</v>
      </c>
      <c r="AA1632" s="8" t="e">
        <f>+VLOOKUP(I1632,[1]SKU!$H$2:$I$97,2,0)</f>
        <v>#N/A</v>
      </c>
    </row>
    <row r="1633" spans="24:27">
      <c r="X1633" s="8" t="str">
        <f>+IFERROR(VLOOKUP(N1633,[1]Hoja1!$B$2:$F$52,4,0)*P1633,"")</f>
        <v/>
      </c>
      <c r="Y1633" s="8" t="e">
        <f>+VLOOKUP(M1633,[1]SKU!$B$3:$E$81,4,0)</f>
        <v>#N/A</v>
      </c>
      <c r="Z1633" s="8" t="str">
        <f t="shared" si="25"/>
        <v>FLEX</v>
      </c>
      <c r="AA1633" s="8" t="e">
        <f>+VLOOKUP(I1633,[1]SKU!$H$2:$I$97,2,0)</f>
        <v>#N/A</v>
      </c>
    </row>
    <row r="1634" spans="24:27">
      <c r="X1634" s="8" t="str">
        <f>+IFERROR(VLOOKUP(N1634,[1]Hoja1!$B$2:$F$52,4,0)*P1634,"")</f>
        <v/>
      </c>
      <c r="Y1634" s="8" t="e">
        <f>+VLOOKUP(M1634,[1]SKU!$B$3:$E$81,4,0)</f>
        <v>#N/A</v>
      </c>
      <c r="Z1634" s="8" t="str">
        <f t="shared" si="25"/>
        <v>FLEX</v>
      </c>
      <c r="AA1634" s="8" t="e">
        <f>+VLOOKUP(I1634,[1]SKU!$H$2:$I$97,2,0)</f>
        <v>#N/A</v>
      </c>
    </row>
    <row r="1635" spans="24:27">
      <c r="X1635" s="8" t="str">
        <f>+IFERROR(VLOOKUP(N1635,[1]Hoja1!$B$2:$F$52,4,0)*P1635,"")</f>
        <v/>
      </c>
      <c r="Y1635" s="8" t="e">
        <f>+VLOOKUP(M1635,[1]SKU!$B$3:$E$81,4,0)</f>
        <v>#N/A</v>
      </c>
      <c r="Z1635" s="8" t="str">
        <f t="shared" si="25"/>
        <v>FLEX</v>
      </c>
      <c r="AA1635" s="8" t="e">
        <f>+VLOOKUP(I1635,[1]SKU!$H$2:$I$97,2,0)</f>
        <v>#N/A</v>
      </c>
    </row>
    <row r="1636" spans="24:27">
      <c r="X1636" s="8" t="str">
        <f>+IFERROR(VLOOKUP(N1636,[1]Hoja1!$B$2:$F$52,4,0)*P1636,"")</f>
        <v/>
      </c>
      <c r="Y1636" s="8" t="e">
        <f>+VLOOKUP(M1636,[1]SKU!$B$3:$E$81,4,0)</f>
        <v>#N/A</v>
      </c>
      <c r="Z1636" s="8" t="str">
        <f t="shared" si="25"/>
        <v>FLEX</v>
      </c>
      <c r="AA1636" s="8" t="e">
        <f>+VLOOKUP(I1636,[1]SKU!$H$2:$I$97,2,0)</f>
        <v>#N/A</v>
      </c>
    </row>
    <row r="1637" spans="24:27">
      <c r="X1637" s="8" t="str">
        <f>+IFERROR(VLOOKUP(N1637,[1]Hoja1!$B$2:$F$52,4,0)*P1637,"")</f>
        <v/>
      </c>
      <c r="Y1637" s="8" t="e">
        <f>+VLOOKUP(M1637,[1]SKU!$B$3:$E$81,4,0)</f>
        <v>#N/A</v>
      </c>
      <c r="Z1637" s="8" t="str">
        <f t="shared" si="25"/>
        <v>FLEX</v>
      </c>
      <c r="AA1637" s="8" t="e">
        <f>+VLOOKUP(I1637,[1]SKU!$H$2:$I$97,2,0)</f>
        <v>#N/A</v>
      </c>
    </row>
    <row r="1638" spans="24:27">
      <c r="X1638" s="8" t="str">
        <f>+IFERROR(VLOOKUP(N1638,[1]Hoja1!$B$2:$F$52,4,0)*P1638,"")</f>
        <v/>
      </c>
      <c r="Y1638" s="8" t="e">
        <f>+VLOOKUP(M1638,[1]SKU!$B$3:$E$81,4,0)</f>
        <v>#N/A</v>
      </c>
      <c r="Z1638" s="8" t="str">
        <f t="shared" si="25"/>
        <v>FLEX</v>
      </c>
      <c r="AA1638" s="8" t="e">
        <f>+VLOOKUP(I1638,[1]SKU!$H$2:$I$97,2,0)</f>
        <v>#N/A</v>
      </c>
    </row>
    <row r="1639" spans="24:27">
      <c r="X1639" s="8" t="str">
        <f>+IFERROR(VLOOKUP(N1639,[1]Hoja1!$B$2:$F$52,4,0)*P1639,"")</f>
        <v/>
      </c>
      <c r="Y1639" s="8" t="e">
        <f>+VLOOKUP(M1639,[1]SKU!$B$3:$E$81,4,0)</f>
        <v>#N/A</v>
      </c>
      <c r="Z1639" s="8" t="str">
        <f t="shared" si="25"/>
        <v>FLEX</v>
      </c>
      <c r="AA1639" s="8" t="e">
        <f>+VLOOKUP(I1639,[1]SKU!$H$2:$I$97,2,0)</f>
        <v>#N/A</v>
      </c>
    </row>
    <row r="1640" spans="24:27">
      <c r="X1640" s="8" t="str">
        <f>+IFERROR(VLOOKUP(N1640,[1]Hoja1!$B$2:$F$52,4,0)*P1640,"")</f>
        <v/>
      </c>
      <c r="Y1640" s="8" t="e">
        <f>+VLOOKUP(M1640,[1]SKU!$B$3:$E$81,4,0)</f>
        <v>#N/A</v>
      </c>
      <c r="Z1640" s="8" t="str">
        <f t="shared" si="25"/>
        <v>FLEX</v>
      </c>
      <c r="AA1640" s="8" t="e">
        <f>+VLOOKUP(I1640,[1]SKU!$H$2:$I$97,2,0)</f>
        <v>#N/A</v>
      </c>
    </row>
    <row r="1641" spans="24:27">
      <c r="X1641" s="8" t="str">
        <f>+IFERROR(VLOOKUP(N1641,[1]Hoja1!$B$2:$F$52,4,0)*P1641,"")</f>
        <v/>
      </c>
      <c r="Y1641" s="8" t="e">
        <f>+VLOOKUP(M1641,[1]SKU!$B$3:$E$81,4,0)</f>
        <v>#N/A</v>
      </c>
      <c r="Z1641" s="8" t="str">
        <f t="shared" si="25"/>
        <v>FLEX</v>
      </c>
      <c r="AA1641" s="8" t="e">
        <f>+VLOOKUP(I1641,[1]SKU!$H$2:$I$97,2,0)</f>
        <v>#N/A</v>
      </c>
    </row>
    <row r="1642" spans="24:27">
      <c r="X1642" s="8" t="str">
        <f>+IFERROR(VLOOKUP(N1642,[1]Hoja1!$B$2:$F$52,4,0)*P1642,"")</f>
        <v/>
      </c>
      <c r="Y1642" s="8" t="e">
        <f>+VLOOKUP(M1642,[1]SKU!$B$3:$E$81,4,0)</f>
        <v>#N/A</v>
      </c>
      <c r="Z1642" s="8" t="str">
        <f t="shared" si="25"/>
        <v>FLEX</v>
      </c>
      <c r="AA1642" s="8" t="e">
        <f>+VLOOKUP(I1642,[1]SKU!$H$2:$I$97,2,0)</f>
        <v>#N/A</v>
      </c>
    </row>
    <row r="1643" spans="24:27">
      <c r="X1643" s="8" t="str">
        <f>+IFERROR(VLOOKUP(N1643,[1]Hoja1!$B$2:$F$52,4,0)*P1643,"")</f>
        <v/>
      </c>
      <c r="Y1643" s="8" t="e">
        <f>+VLOOKUP(M1643,[1]SKU!$B$3:$E$81,4,0)</f>
        <v>#N/A</v>
      </c>
      <c r="Z1643" s="8" t="str">
        <f t="shared" si="25"/>
        <v>FLEX</v>
      </c>
      <c r="AA1643" s="8" t="e">
        <f>+VLOOKUP(I1643,[1]SKU!$H$2:$I$97,2,0)</f>
        <v>#N/A</v>
      </c>
    </row>
    <row r="1644" spans="24:27">
      <c r="X1644" s="8" t="str">
        <f>+IFERROR(VLOOKUP(N1644,[1]Hoja1!$B$2:$F$52,4,0)*P1644,"")</f>
        <v/>
      </c>
      <c r="Y1644" s="8" t="e">
        <f>+VLOOKUP(M1644,[1]SKU!$B$3:$E$81,4,0)</f>
        <v>#N/A</v>
      </c>
      <c r="Z1644" s="8" t="str">
        <f t="shared" si="25"/>
        <v>FLEX</v>
      </c>
      <c r="AA1644" s="8" t="e">
        <f>+VLOOKUP(I1644,[1]SKU!$H$2:$I$97,2,0)</f>
        <v>#N/A</v>
      </c>
    </row>
    <row r="1645" spans="24:27">
      <c r="X1645" s="8" t="str">
        <f>+IFERROR(VLOOKUP(N1645,[1]Hoja1!$B$2:$F$52,4,0)*P1645,"")</f>
        <v/>
      </c>
      <c r="Y1645" s="8" t="e">
        <f>+VLOOKUP(M1645,[1]SKU!$B$3:$E$81,4,0)</f>
        <v>#N/A</v>
      </c>
      <c r="Z1645" s="8" t="str">
        <f t="shared" si="25"/>
        <v>FLEX</v>
      </c>
      <c r="AA1645" s="8" t="e">
        <f>+VLOOKUP(I1645,[1]SKU!$H$2:$I$97,2,0)</f>
        <v>#N/A</v>
      </c>
    </row>
    <row r="1646" spans="24:27">
      <c r="X1646" s="8" t="str">
        <f>+IFERROR(VLOOKUP(N1646,[1]Hoja1!$B$2:$F$52,4,0)*P1646,"")</f>
        <v/>
      </c>
      <c r="Y1646" s="8" t="e">
        <f>+VLOOKUP(M1646,[1]SKU!$B$3:$E$81,4,0)</f>
        <v>#N/A</v>
      </c>
      <c r="Z1646" s="8" t="str">
        <f t="shared" si="25"/>
        <v>FLEX</v>
      </c>
      <c r="AA1646" s="8" t="e">
        <f>+VLOOKUP(I1646,[1]SKU!$H$2:$I$97,2,0)</f>
        <v>#N/A</v>
      </c>
    </row>
    <row r="1647" spans="24:27">
      <c r="X1647" s="8" t="str">
        <f>+IFERROR(VLOOKUP(N1647,[1]Hoja1!$B$2:$F$52,4,0)*P1647,"")</f>
        <v/>
      </c>
      <c r="Y1647" s="8" t="e">
        <f>+VLOOKUP(M1647,[1]SKU!$B$3:$E$81,4,0)</f>
        <v>#N/A</v>
      </c>
      <c r="Z1647" s="8" t="str">
        <f t="shared" si="25"/>
        <v>FLEX</v>
      </c>
      <c r="AA1647" s="8" t="e">
        <f>+VLOOKUP(I1647,[1]SKU!$H$2:$I$97,2,0)</f>
        <v>#N/A</v>
      </c>
    </row>
    <row r="1648" spans="24:27">
      <c r="X1648" s="8" t="str">
        <f>+IFERROR(VLOOKUP(N1648,[1]Hoja1!$B$2:$F$52,4,0)*P1648,"")</f>
        <v/>
      </c>
      <c r="Y1648" s="8" t="e">
        <f>+VLOOKUP(M1648,[1]SKU!$B$3:$E$81,4,0)</f>
        <v>#N/A</v>
      </c>
      <c r="Z1648" s="8" t="str">
        <f t="shared" si="25"/>
        <v>FLEX</v>
      </c>
      <c r="AA1648" s="8" t="e">
        <f>+VLOOKUP(I1648,[1]SKU!$H$2:$I$97,2,0)</f>
        <v>#N/A</v>
      </c>
    </row>
    <row r="1649" spans="24:27">
      <c r="X1649" s="8" t="str">
        <f>+IFERROR(VLOOKUP(N1649,[1]Hoja1!$B$2:$F$52,4,0)*P1649,"")</f>
        <v/>
      </c>
      <c r="Y1649" s="8" t="e">
        <f>+VLOOKUP(M1649,[1]SKU!$B$3:$E$81,4,0)</f>
        <v>#N/A</v>
      </c>
      <c r="Z1649" s="8" t="str">
        <f t="shared" si="25"/>
        <v>FLEX</v>
      </c>
      <c r="AA1649" s="8" t="e">
        <f>+VLOOKUP(I1649,[1]SKU!$H$2:$I$97,2,0)</f>
        <v>#N/A</v>
      </c>
    </row>
    <row r="1650" spans="24:27">
      <c r="X1650" s="8" t="str">
        <f>+IFERROR(VLOOKUP(N1650,[1]Hoja1!$B$2:$F$52,4,0)*P1650,"")</f>
        <v/>
      </c>
      <c r="Y1650" s="8" t="e">
        <f>+VLOOKUP(M1650,[1]SKU!$B$3:$E$81,4,0)</f>
        <v>#N/A</v>
      </c>
      <c r="Z1650" s="8" t="str">
        <f t="shared" si="25"/>
        <v>FLEX</v>
      </c>
      <c r="AA1650" s="8" t="e">
        <f>+VLOOKUP(I1650,[1]SKU!$H$2:$I$97,2,0)</f>
        <v>#N/A</v>
      </c>
    </row>
    <row r="1651" spans="24:27">
      <c r="X1651" s="8" t="str">
        <f>+IFERROR(VLOOKUP(N1651,[1]Hoja1!$B$2:$F$52,4,0)*P1651,"")</f>
        <v/>
      </c>
      <c r="Y1651" s="8" t="e">
        <f>+VLOOKUP(M1651,[1]SKU!$B$3:$E$81,4,0)</f>
        <v>#N/A</v>
      </c>
      <c r="Z1651" s="8" t="str">
        <f t="shared" si="25"/>
        <v>FLEX</v>
      </c>
      <c r="AA1651" s="8" t="e">
        <f>+VLOOKUP(I1651,[1]SKU!$H$2:$I$97,2,0)</f>
        <v>#N/A</v>
      </c>
    </row>
    <row r="1652" spans="24:27">
      <c r="X1652" s="8" t="str">
        <f>+IFERROR(VLOOKUP(N1652,[1]Hoja1!$B$2:$F$52,4,0)*P1652,"")</f>
        <v/>
      </c>
      <c r="Y1652" s="8" t="e">
        <f>+VLOOKUP(M1652,[1]SKU!$B$3:$E$81,4,0)</f>
        <v>#N/A</v>
      </c>
      <c r="Z1652" s="8" t="str">
        <f t="shared" si="25"/>
        <v>FLEX</v>
      </c>
      <c r="AA1652" s="8" t="e">
        <f>+VLOOKUP(I1652,[1]SKU!$H$2:$I$97,2,0)</f>
        <v>#N/A</v>
      </c>
    </row>
    <row r="1653" spans="24:27">
      <c r="X1653" s="8" t="str">
        <f>+IFERROR(VLOOKUP(N1653,[1]Hoja1!$B$2:$F$52,4,0)*P1653,"")</f>
        <v/>
      </c>
      <c r="Y1653" s="8" t="e">
        <f>+VLOOKUP(M1653,[1]SKU!$B$3:$E$81,4,0)</f>
        <v>#N/A</v>
      </c>
      <c r="Z1653" s="8" t="str">
        <f t="shared" si="25"/>
        <v>FLEX</v>
      </c>
      <c r="AA1653" s="8" t="e">
        <f>+VLOOKUP(I1653,[1]SKU!$H$2:$I$97,2,0)</f>
        <v>#N/A</v>
      </c>
    </row>
    <row r="1654" spans="24:27">
      <c r="X1654" s="8" t="str">
        <f>+IFERROR(VLOOKUP(N1654,[1]Hoja1!$B$2:$F$52,4,0)*P1654,"")</f>
        <v/>
      </c>
      <c r="Y1654" s="8" t="e">
        <f>+VLOOKUP(M1654,[1]SKU!$B$3:$E$81,4,0)</f>
        <v>#N/A</v>
      </c>
      <c r="Z1654" s="8" t="str">
        <f t="shared" si="25"/>
        <v>FLEX</v>
      </c>
      <c r="AA1654" s="8" t="e">
        <f>+VLOOKUP(I1654,[1]SKU!$H$2:$I$97,2,0)</f>
        <v>#N/A</v>
      </c>
    </row>
    <row r="1655" spans="24:27">
      <c r="X1655" s="8" t="str">
        <f>+IFERROR(VLOOKUP(N1655,[1]Hoja1!$B$2:$F$52,4,0)*P1655,"")</f>
        <v/>
      </c>
      <c r="Y1655" s="8" t="e">
        <f>+VLOOKUP(M1655,[1]SKU!$B$3:$E$81,4,0)</f>
        <v>#N/A</v>
      </c>
      <c r="Z1655" s="8" t="str">
        <f t="shared" si="25"/>
        <v>FLEX</v>
      </c>
      <c r="AA1655" s="8" t="e">
        <f>+VLOOKUP(I1655,[1]SKU!$H$2:$I$97,2,0)</f>
        <v>#N/A</v>
      </c>
    </row>
    <row r="1656" spans="24:27">
      <c r="X1656" s="8" t="str">
        <f>+IFERROR(VLOOKUP(N1656,[1]Hoja1!$B$2:$F$52,4,0)*P1656,"")</f>
        <v/>
      </c>
      <c r="Y1656" s="8" t="e">
        <f>+VLOOKUP(M1656,[1]SKU!$B$3:$E$81,4,0)</f>
        <v>#N/A</v>
      </c>
      <c r="Z1656" s="8" t="str">
        <f t="shared" si="25"/>
        <v>FLEX</v>
      </c>
      <c r="AA1656" s="8" t="e">
        <f>+VLOOKUP(I1656,[1]SKU!$H$2:$I$97,2,0)</f>
        <v>#N/A</v>
      </c>
    </row>
    <row r="1657" spans="24:27">
      <c r="X1657" s="8" t="str">
        <f>+IFERROR(VLOOKUP(N1657,[1]Hoja1!$B$2:$F$52,4,0)*P1657,"")</f>
        <v/>
      </c>
      <c r="Y1657" s="8" t="e">
        <f>+VLOOKUP(M1657,[1]SKU!$B$3:$E$81,4,0)</f>
        <v>#N/A</v>
      </c>
      <c r="Z1657" s="8" t="str">
        <f t="shared" si="25"/>
        <v>FLEX</v>
      </c>
      <c r="AA1657" s="8" t="e">
        <f>+VLOOKUP(I1657,[1]SKU!$H$2:$I$97,2,0)</f>
        <v>#N/A</v>
      </c>
    </row>
    <row r="1658" spans="24:27">
      <c r="X1658" s="8" t="str">
        <f>+IFERROR(VLOOKUP(N1658,[1]Hoja1!$B$2:$F$52,4,0)*P1658,"")</f>
        <v/>
      </c>
      <c r="Y1658" s="8" t="e">
        <f>+VLOOKUP(M1658,[1]SKU!$B$3:$E$81,4,0)</f>
        <v>#N/A</v>
      </c>
      <c r="Z1658" s="8" t="str">
        <f t="shared" si="25"/>
        <v>FLEX</v>
      </c>
      <c r="AA1658" s="8" t="e">
        <f>+VLOOKUP(I1658,[1]SKU!$H$2:$I$97,2,0)</f>
        <v>#N/A</v>
      </c>
    </row>
    <row r="1659" spans="24:27">
      <c r="X1659" s="8" t="str">
        <f>+IFERROR(VLOOKUP(N1659,[1]Hoja1!$B$2:$F$52,4,0)*P1659,"")</f>
        <v/>
      </c>
      <c r="Y1659" s="8" t="e">
        <f>+VLOOKUP(M1659,[1]SKU!$B$3:$E$81,4,0)</f>
        <v>#N/A</v>
      </c>
      <c r="Z1659" s="8" t="str">
        <f t="shared" si="25"/>
        <v>FLEX</v>
      </c>
      <c r="AA1659" s="8" t="e">
        <f>+VLOOKUP(I1659,[1]SKU!$H$2:$I$97,2,0)</f>
        <v>#N/A</v>
      </c>
    </row>
    <row r="1660" spans="24:27">
      <c r="X1660" s="8" t="str">
        <f>+IFERROR(VLOOKUP(N1660,[1]Hoja1!$B$2:$F$52,4,0)*P1660,"")</f>
        <v/>
      </c>
      <c r="Y1660" s="8" t="e">
        <f>+VLOOKUP(M1660,[1]SKU!$B$3:$E$81,4,0)</f>
        <v>#N/A</v>
      </c>
      <c r="Z1660" s="8" t="str">
        <f t="shared" si="25"/>
        <v>FLEX</v>
      </c>
      <c r="AA1660" s="8" t="e">
        <f>+VLOOKUP(I1660,[1]SKU!$H$2:$I$97,2,0)</f>
        <v>#N/A</v>
      </c>
    </row>
    <row r="1661" spans="24:27">
      <c r="X1661" s="8" t="str">
        <f>+IFERROR(VLOOKUP(N1661,[1]Hoja1!$B$2:$F$52,4,0)*P1661,"")</f>
        <v/>
      </c>
      <c r="Y1661" s="8" t="e">
        <f>+VLOOKUP(M1661,[1]SKU!$B$3:$E$81,4,0)</f>
        <v>#N/A</v>
      </c>
      <c r="Z1661" s="8" t="str">
        <f t="shared" si="25"/>
        <v>FLEX</v>
      </c>
      <c r="AA1661" s="8" t="e">
        <f>+VLOOKUP(I1661,[1]SKU!$H$2:$I$97,2,0)</f>
        <v>#N/A</v>
      </c>
    </row>
    <row r="1662" spans="24:27">
      <c r="X1662" s="8" t="str">
        <f>+IFERROR(VLOOKUP(N1662,[1]Hoja1!$B$2:$F$52,4,0)*P1662,"")</f>
        <v/>
      </c>
      <c r="Y1662" s="8" t="e">
        <f>+VLOOKUP(M1662,[1]SKU!$B$3:$E$81,4,0)</f>
        <v>#N/A</v>
      </c>
      <c r="Z1662" s="8" t="str">
        <f t="shared" si="25"/>
        <v>FLEX</v>
      </c>
      <c r="AA1662" s="8" t="e">
        <f>+VLOOKUP(I1662,[1]SKU!$H$2:$I$97,2,0)</f>
        <v>#N/A</v>
      </c>
    </row>
    <row r="1663" spans="24:27">
      <c r="X1663" s="8" t="str">
        <f>+IFERROR(VLOOKUP(N1663,[1]Hoja1!$B$2:$F$52,4,0)*P1663,"")</f>
        <v/>
      </c>
      <c r="Y1663" s="8" t="e">
        <f>+VLOOKUP(M1663,[1]SKU!$B$3:$E$81,4,0)</f>
        <v>#N/A</v>
      </c>
      <c r="Z1663" s="8" t="str">
        <f t="shared" si="25"/>
        <v>FLEX</v>
      </c>
      <c r="AA1663" s="8" t="e">
        <f>+VLOOKUP(I1663,[1]SKU!$H$2:$I$97,2,0)</f>
        <v>#N/A</v>
      </c>
    </row>
    <row r="1664" spans="24:27">
      <c r="X1664" s="8" t="str">
        <f>+IFERROR(VLOOKUP(N1664,[1]Hoja1!$B$2:$F$52,4,0)*P1664,"")</f>
        <v/>
      </c>
      <c r="Y1664" s="8" t="e">
        <f>+VLOOKUP(M1664,[1]SKU!$B$3:$E$81,4,0)</f>
        <v>#N/A</v>
      </c>
      <c r="Z1664" s="8" t="str">
        <f t="shared" si="25"/>
        <v>FLEX</v>
      </c>
      <c r="AA1664" s="8" t="e">
        <f>+VLOOKUP(I1664,[1]SKU!$H$2:$I$97,2,0)</f>
        <v>#N/A</v>
      </c>
    </row>
    <row r="1665" spans="24:27">
      <c r="X1665" s="8" t="str">
        <f>+IFERROR(VLOOKUP(N1665,[1]Hoja1!$B$2:$F$52,4,0)*P1665,"")</f>
        <v/>
      </c>
      <c r="Y1665" s="8" t="e">
        <f>+VLOOKUP(M1665,[1]SKU!$B$3:$E$81,4,0)</f>
        <v>#N/A</v>
      </c>
      <c r="Z1665" s="8" t="str">
        <f t="shared" si="25"/>
        <v>FLEX</v>
      </c>
      <c r="AA1665" s="8" t="e">
        <f>+VLOOKUP(I1665,[1]SKU!$H$2:$I$97,2,0)</f>
        <v>#N/A</v>
      </c>
    </row>
    <row r="1666" spans="24:27">
      <c r="X1666" s="8" t="str">
        <f>+IFERROR(VLOOKUP(N1666,[1]Hoja1!$B$2:$F$52,4,0)*P1666,"")</f>
        <v/>
      </c>
      <c r="Y1666" s="8" t="e">
        <f>+VLOOKUP(M1666,[1]SKU!$B$3:$E$81,4,0)</f>
        <v>#N/A</v>
      </c>
      <c r="Z1666" s="8" t="str">
        <f t="shared" si="25"/>
        <v>FLEX</v>
      </c>
      <c r="AA1666" s="8" t="e">
        <f>+VLOOKUP(I1666,[1]SKU!$H$2:$I$97,2,0)</f>
        <v>#N/A</v>
      </c>
    </row>
    <row r="1667" spans="24:27">
      <c r="X1667" s="8" t="str">
        <f>+IFERROR(VLOOKUP(N1667,[1]Hoja1!$B$2:$F$52,4,0)*P1667,"")</f>
        <v/>
      </c>
      <c r="Y1667" s="8" t="e">
        <f>+VLOOKUP(M1667,[1]SKU!$B$3:$E$81,4,0)</f>
        <v>#N/A</v>
      </c>
      <c r="Z1667" s="8" t="str">
        <f t="shared" ref="Z1667:Z1730" si="26">+IF(J1667="VB01                          ","BEES","FLEX")</f>
        <v>FLEX</v>
      </c>
      <c r="AA1667" s="8" t="e">
        <f>+VLOOKUP(I1667,[1]SKU!$H$2:$I$97,2,0)</f>
        <v>#N/A</v>
      </c>
    </row>
    <row r="1668" spans="24:27">
      <c r="X1668" s="8" t="str">
        <f>+IFERROR(VLOOKUP(N1668,[1]Hoja1!$B$2:$F$52,4,0)*P1668,"")</f>
        <v/>
      </c>
      <c r="Y1668" s="8" t="e">
        <f>+VLOOKUP(M1668,[1]SKU!$B$3:$E$81,4,0)</f>
        <v>#N/A</v>
      </c>
      <c r="Z1668" s="8" t="str">
        <f t="shared" si="26"/>
        <v>FLEX</v>
      </c>
      <c r="AA1668" s="8" t="e">
        <f>+VLOOKUP(I1668,[1]SKU!$H$2:$I$97,2,0)</f>
        <v>#N/A</v>
      </c>
    </row>
    <row r="1669" spans="24:27">
      <c r="X1669" s="8" t="str">
        <f>+IFERROR(VLOOKUP(N1669,[1]Hoja1!$B$2:$F$52,4,0)*P1669,"")</f>
        <v/>
      </c>
      <c r="Y1669" s="8" t="e">
        <f>+VLOOKUP(M1669,[1]SKU!$B$3:$E$81,4,0)</f>
        <v>#N/A</v>
      </c>
      <c r="Z1669" s="8" t="str">
        <f t="shared" si="26"/>
        <v>FLEX</v>
      </c>
      <c r="AA1669" s="8" t="e">
        <f>+VLOOKUP(I1669,[1]SKU!$H$2:$I$97,2,0)</f>
        <v>#N/A</v>
      </c>
    </row>
    <row r="1670" spans="24:27">
      <c r="X1670" s="8" t="str">
        <f>+IFERROR(VLOOKUP(N1670,[1]Hoja1!$B$2:$F$52,4,0)*P1670,"")</f>
        <v/>
      </c>
      <c r="Y1670" s="8" t="e">
        <f>+VLOOKUP(M1670,[1]SKU!$B$3:$E$81,4,0)</f>
        <v>#N/A</v>
      </c>
      <c r="Z1670" s="8" t="str">
        <f t="shared" si="26"/>
        <v>FLEX</v>
      </c>
      <c r="AA1670" s="8" t="e">
        <f>+VLOOKUP(I1670,[1]SKU!$H$2:$I$97,2,0)</f>
        <v>#N/A</v>
      </c>
    </row>
    <row r="1671" spans="24:27">
      <c r="X1671" s="8" t="str">
        <f>+IFERROR(VLOOKUP(N1671,[1]Hoja1!$B$2:$F$52,4,0)*P1671,"")</f>
        <v/>
      </c>
      <c r="Y1671" s="8" t="e">
        <f>+VLOOKUP(M1671,[1]SKU!$B$3:$E$81,4,0)</f>
        <v>#N/A</v>
      </c>
      <c r="Z1671" s="8" t="str">
        <f t="shared" si="26"/>
        <v>FLEX</v>
      </c>
      <c r="AA1671" s="8" t="e">
        <f>+VLOOKUP(I1671,[1]SKU!$H$2:$I$97,2,0)</f>
        <v>#N/A</v>
      </c>
    </row>
    <row r="1672" spans="24:27">
      <c r="X1672" s="8" t="str">
        <f>+IFERROR(VLOOKUP(N1672,[1]Hoja1!$B$2:$F$52,4,0)*P1672,"")</f>
        <v/>
      </c>
      <c r="Y1672" s="8" t="e">
        <f>+VLOOKUP(M1672,[1]SKU!$B$3:$E$81,4,0)</f>
        <v>#N/A</v>
      </c>
      <c r="Z1672" s="8" t="str">
        <f t="shared" si="26"/>
        <v>FLEX</v>
      </c>
      <c r="AA1672" s="8" t="e">
        <f>+VLOOKUP(I1672,[1]SKU!$H$2:$I$97,2,0)</f>
        <v>#N/A</v>
      </c>
    </row>
    <row r="1673" spans="24:27">
      <c r="X1673" s="8" t="str">
        <f>+IFERROR(VLOOKUP(N1673,[1]Hoja1!$B$2:$F$52,4,0)*P1673,"")</f>
        <v/>
      </c>
      <c r="Y1673" s="8" t="e">
        <f>+VLOOKUP(M1673,[1]SKU!$B$3:$E$81,4,0)</f>
        <v>#N/A</v>
      </c>
      <c r="Z1673" s="8" t="str">
        <f t="shared" si="26"/>
        <v>FLEX</v>
      </c>
      <c r="AA1673" s="8" t="e">
        <f>+VLOOKUP(I1673,[1]SKU!$H$2:$I$97,2,0)</f>
        <v>#N/A</v>
      </c>
    </row>
    <row r="1674" spans="24:27">
      <c r="X1674" s="8" t="str">
        <f>+IFERROR(VLOOKUP(N1674,[1]Hoja1!$B$2:$F$52,4,0)*P1674,"")</f>
        <v/>
      </c>
      <c r="Y1674" s="8" t="e">
        <f>+VLOOKUP(M1674,[1]SKU!$B$3:$E$81,4,0)</f>
        <v>#N/A</v>
      </c>
      <c r="Z1674" s="8" t="str">
        <f t="shared" si="26"/>
        <v>FLEX</v>
      </c>
      <c r="AA1674" s="8" t="e">
        <f>+VLOOKUP(I1674,[1]SKU!$H$2:$I$97,2,0)</f>
        <v>#N/A</v>
      </c>
    </row>
    <row r="1675" spans="24:27">
      <c r="X1675" s="8" t="str">
        <f>+IFERROR(VLOOKUP(N1675,[1]Hoja1!$B$2:$F$52,4,0)*P1675,"")</f>
        <v/>
      </c>
      <c r="Y1675" s="8" t="e">
        <f>+VLOOKUP(M1675,[1]SKU!$B$3:$E$81,4,0)</f>
        <v>#N/A</v>
      </c>
      <c r="Z1675" s="8" t="str">
        <f t="shared" si="26"/>
        <v>FLEX</v>
      </c>
      <c r="AA1675" s="8" t="e">
        <f>+VLOOKUP(I1675,[1]SKU!$H$2:$I$97,2,0)</f>
        <v>#N/A</v>
      </c>
    </row>
    <row r="1676" spans="24:27">
      <c r="X1676" s="8" t="str">
        <f>+IFERROR(VLOOKUP(N1676,[1]Hoja1!$B$2:$F$52,4,0)*P1676,"")</f>
        <v/>
      </c>
      <c r="Y1676" s="8" t="e">
        <f>+VLOOKUP(M1676,[1]SKU!$B$3:$E$81,4,0)</f>
        <v>#N/A</v>
      </c>
      <c r="Z1676" s="8" t="str">
        <f t="shared" si="26"/>
        <v>FLEX</v>
      </c>
      <c r="AA1676" s="8" t="e">
        <f>+VLOOKUP(I1676,[1]SKU!$H$2:$I$97,2,0)</f>
        <v>#N/A</v>
      </c>
    </row>
    <row r="1677" spans="24:27">
      <c r="X1677" s="8" t="str">
        <f>+IFERROR(VLOOKUP(N1677,[1]Hoja1!$B$2:$F$52,4,0)*P1677,"")</f>
        <v/>
      </c>
      <c r="Y1677" s="8" t="e">
        <f>+VLOOKUP(M1677,[1]SKU!$B$3:$E$81,4,0)</f>
        <v>#N/A</v>
      </c>
      <c r="Z1677" s="8" t="str">
        <f t="shared" si="26"/>
        <v>FLEX</v>
      </c>
      <c r="AA1677" s="8" t="e">
        <f>+VLOOKUP(I1677,[1]SKU!$H$2:$I$97,2,0)</f>
        <v>#N/A</v>
      </c>
    </row>
    <row r="1678" spans="24:27">
      <c r="X1678" s="8" t="str">
        <f>+IFERROR(VLOOKUP(N1678,[1]Hoja1!$B$2:$F$52,4,0)*P1678,"")</f>
        <v/>
      </c>
      <c r="Y1678" s="8" t="e">
        <f>+VLOOKUP(M1678,[1]SKU!$B$3:$E$81,4,0)</f>
        <v>#N/A</v>
      </c>
      <c r="Z1678" s="8" t="str">
        <f t="shared" si="26"/>
        <v>FLEX</v>
      </c>
      <c r="AA1678" s="8" t="e">
        <f>+VLOOKUP(I1678,[1]SKU!$H$2:$I$97,2,0)</f>
        <v>#N/A</v>
      </c>
    </row>
    <row r="1679" spans="24:27">
      <c r="X1679" s="8" t="str">
        <f>+IFERROR(VLOOKUP(N1679,[1]Hoja1!$B$2:$F$52,4,0)*P1679,"")</f>
        <v/>
      </c>
      <c r="Y1679" s="8" t="e">
        <f>+VLOOKUP(M1679,[1]SKU!$B$3:$E$81,4,0)</f>
        <v>#N/A</v>
      </c>
      <c r="Z1679" s="8" t="str">
        <f t="shared" si="26"/>
        <v>FLEX</v>
      </c>
      <c r="AA1679" s="8" t="e">
        <f>+VLOOKUP(I1679,[1]SKU!$H$2:$I$97,2,0)</f>
        <v>#N/A</v>
      </c>
    </row>
    <row r="1680" spans="24:27">
      <c r="X1680" s="8" t="str">
        <f>+IFERROR(VLOOKUP(N1680,[1]Hoja1!$B$2:$F$52,4,0)*P1680,"")</f>
        <v/>
      </c>
      <c r="Y1680" s="8" t="e">
        <f>+VLOOKUP(M1680,[1]SKU!$B$3:$E$81,4,0)</f>
        <v>#N/A</v>
      </c>
      <c r="Z1680" s="8" t="str">
        <f t="shared" si="26"/>
        <v>FLEX</v>
      </c>
      <c r="AA1680" s="8" t="e">
        <f>+VLOOKUP(I1680,[1]SKU!$H$2:$I$97,2,0)</f>
        <v>#N/A</v>
      </c>
    </row>
    <row r="1681" spans="24:27">
      <c r="X1681" s="8" t="str">
        <f>+IFERROR(VLOOKUP(N1681,[1]Hoja1!$B$2:$F$52,4,0)*P1681,"")</f>
        <v/>
      </c>
      <c r="Y1681" s="8" t="e">
        <f>+VLOOKUP(M1681,[1]SKU!$B$3:$E$81,4,0)</f>
        <v>#N/A</v>
      </c>
      <c r="Z1681" s="8" t="str">
        <f t="shared" si="26"/>
        <v>FLEX</v>
      </c>
      <c r="AA1681" s="8" t="e">
        <f>+VLOOKUP(I1681,[1]SKU!$H$2:$I$97,2,0)</f>
        <v>#N/A</v>
      </c>
    </row>
    <row r="1682" spans="24:27">
      <c r="X1682" s="8" t="str">
        <f>+IFERROR(VLOOKUP(N1682,[1]Hoja1!$B$2:$F$52,4,0)*P1682,"")</f>
        <v/>
      </c>
      <c r="Y1682" s="8" t="e">
        <f>+VLOOKUP(M1682,[1]SKU!$B$3:$E$81,4,0)</f>
        <v>#N/A</v>
      </c>
      <c r="Z1682" s="8" t="str">
        <f t="shared" si="26"/>
        <v>FLEX</v>
      </c>
      <c r="AA1682" s="8" t="e">
        <f>+VLOOKUP(I1682,[1]SKU!$H$2:$I$97,2,0)</f>
        <v>#N/A</v>
      </c>
    </row>
    <row r="1683" spans="24:27">
      <c r="X1683" s="8" t="str">
        <f>+IFERROR(VLOOKUP(N1683,[1]Hoja1!$B$2:$F$52,4,0)*P1683,"")</f>
        <v/>
      </c>
      <c r="Y1683" s="8" t="e">
        <f>+VLOOKUP(M1683,[1]SKU!$B$3:$E$81,4,0)</f>
        <v>#N/A</v>
      </c>
      <c r="Z1683" s="8" t="str">
        <f t="shared" si="26"/>
        <v>FLEX</v>
      </c>
      <c r="AA1683" s="8" t="e">
        <f>+VLOOKUP(I1683,[1]SKU!$H$2:$I$97,2,0)</f>
        <v>#N/A</v>
      </c>
    </row>
    <row r="1684" spans="24:27">
      <c r="X1684" s="8" t="str">
        <f>+IFERROR(VLOOKUP(N1684,[1]Hoja1!$B$2:$F$52,4,0)*P1684,"")</f>
        <v/>
      </c>
      <c r="Y1684" s="8" t="e">
        <f>+VLOOKUP(M1684,[1]SKU!$B$3:$E$81,4,0)</f>
        <v>#N/A</v>
      </c>
      <c r="Z1684" s="8" t="str">
        <f t="shared" si="26"/>
        <v>FLEX</v>
      </c>
      <c r="AA1684" s="8" t="e">
        <f>+VLOOKUP(I1684,[1]SKU!$H$2:$I$97,2,0)</f>
        <v>#N/A</v>
      </c>
    </row>
    <row r="1685" spans="24:27">
      <c r="X1685" s="8" t="str">
        <f>+IFERROR(VLOOKUP(N1685,[1]Hoja1!$B$2:$F$52,4,0)*P1685,"")</f>
        <v/>
      </c>
      <c r="Y1685" s="8" t="e">
        <f>+VLOOKUP(M1685,[1]SKU!$B$3:$E$81,4,0)</f>
        <v>#N/A</v>
      </c>
      <c r="Z1685" s="8" t="str">
        <f t="shared" si="26"/>
        <v>FLEX</v>
      </c>
      <c r="AA1685" s="8" t="e">
        <f>+VLOOKUP(I1685,[1]SKU!$H$2:$I$97,2,0)</f>
        <v>#N/A</v>
      </c>
    </row>
    <row r="1686" spans="24:27">
      <c r="X1686" s="8" t="str">
        <f>+IFERROR(VLOOKUP(N1686,[1]Hoja1!$B$2:$F$52,4,0)*P1686,"")</f>
        <v/>
      </c>
      <c r="Y1686" s="8" t="e">
        <f>+VLOOKUP(M1686,[1]SKU!$B$3:$E$81,4,0)</f>
        <v>#N/A</v>
      </c>
      <c r="Z1686" s="8" t="str">
        <f t="shared" si="26"/>
        <v>FLEX</v>
      </c>
      <c r="AA1686" s="8" t="e">
        <f>+VLOOKUP(I1686,[1]SKU!$H$2:$I$97,2,0)</f>
        <v>#N/A</v>
      </c>
    </row>
    <row r="1687" spans="24:27">
      <c r="X1687" s="8" t="str">
        <f>+IFERROR(VLOOKUP(N1687,[1]Hoja1!$B$2:$F$52,4,0)*P1687,"")</f>
        <v/>
      </c>
      <c r="Y1687" s="8" t="e">
        <f>+VLOOKUP(M1687,[1]SKU!$B$3:$E$81,4,0)</f>
        <v>#N/A</v>
      </c>
      <c r="Z1687" s="8" t="str">
        <f t="shared" si="26"/>
        <v>FLEX</v>
      </c>
      <c r="AA1687" s="8" t="e">
        <f>+VLOOKUP(I1687,[1]SKU!$H$2:$I$97,2,0)</f>
        <v>#N/A</v>
      </c>
    </row>
    <row r="1688" spans="24:27">
      <c r="X1688" s="8" t="str">
        <f>+IFERROR(VLOOKUP(N1688,[1]Hoja1!$B$2:$F$52,4,0)*P1688,"")</f>
        <v/>
      </c>
      <c r="Y1688" s="8" t="e">
        <f>+VLOOKUP(M1688,[1]SKU!$B$3:$E$81,4,0)</f>
        <v>#N/A</v>
      </c>
      <c r="Z1688" s="8" t="str">
        <f t="shared" si="26"/>
        <v>FLEX</v>
      </c>
      <c r="AA1688" s="8" t="e">
        <f>+VLOOKUP(I1688,[1]SKU!$H$2:$I$97,2,0)</f>
        <v>#N/A</v>
      </c>
    </row>
    <row r="1689" spans="24:27">
      <c r="X1689" s="8" t="str">
        <f>+IFERROR(VLOOKUP(N1689,[1]Hoja1!$B$2:$F$52,4,0)*P1689,"")</f>
        <v/>
      </c>
      <c r="Y1689" s="8" t="e">
        <f>+VLOOKUP(M1689,[1]SKU!$B$3:$E$81,4,0)</f>
        <v>#N/A</v>
      </c>
      <c r="Z1689" s="8" t="str">
        <f t="shared" si="26"/>
        <v>FLEX</v>
      </c>
      <c r="AA1689" s="8" t="e">
        <f>+VLOOKUP(I1689,[1]SKU!$H$2:$I$97,2,0)</f>
        <v>#N/A</v>
      </c>
    </row>
    <row r="1690" spans="24:27">
      <c r="X1690" s="8" t="str">
        <f>+IFERROR(VLOOKUP(N1690,[1]Hoja1!$B$2:$F$52,4,0)*P1690,"")</f>
        <v/>
      </c>
      <c r="Y1690" s="8" t="e">
        <f>+VLOOKUP(M1690,[1]SKU!$B$3:$E$81,4,0)</f>
        <v>#N/A</v>
      </c>
      <c r="Z1690" s="8" t="str">
        <f t="shared" si="26"/>
        <v>FLEX</v>
      </c>
      <c r="AA1690" s="8" t="e">
        <f>+VLOOKUP(I1690,[1]SKU!$H$2:$I$97,2,0)</f>
        <v>#N/A</v>
      </c>
    </row>
    <row r="1691" spans="24:27">
      <c r="X1691" s="8" t="str">
        <f>+IFERROR(VLOOKUP(N1691,[1]Hoja1!$B$2:$F$52,4,0)*P1691,"")</f>
        <v/>
      </c>
      <c r="Y1691" s="8" t="e">
        <f>+VLOOKUP(M1691,[1]SKU!$B$3:$E$81,4,0)</f>
        <v>#N/A</v>
      </c>
      <c r="Z1691" s="8" t="str">
        <f t="shared" si="26"/>
        <v>FLEX</v>
      </c>
      <c r="AA1691" s="8" t="e">
        <f>+VLOOKUP(I1691,[1]SKU!$H$2:$I$97,2,0)</f>
        <v>#N/A</v>
      </c>
    </row>
    <row r="1692" spans="24:27">
      <c r="X1692" s="8" t="str">
        <f>+IFERROR(VLOOKUP(N1692,[1]Hoja1!$B$2:$F$52,4,0)*P1692,"")</f>
        <v/>
      </c>
      <c r="Y1692" s="8" t="e">
        <f>+VLOOKUP(M1692,[1]SKU!$B$3:$E$81,4,0)</f>
        <v>#N/A</v>
      </c>
      <c r="Z1692" s="8" t="str">
        <f t="shared" si="26"/>
        <v>FLEX</v>
      </c>
      <c r="AA1692" s="8" t="e">
        <f>+VLOOKUP(I1692,[1]SKU!$H$2:$I$97,2,0)</f>
        <v>#N/A</v>
      </c>
    </row>
    <row r="1693" spans="24:27">
      <c r="X1693" s="8" t="str">
        <f>+IFERROR(VLOOKUP(N1693,[1]Hoja1!$B$2:$F$52,4,0)*P1693,"")</f>
        <v/>
      </c>
      <c r="Y1693" s="8" t="e">
        <f>+VLOOKUP(M1693,[1]SKU!$B$3:$E$81,4,0)</f>
        <v>#N/A</v>
      </c>
      <c r="Z1693" s="8" t="str">
        <f t="shared" si="26"/>
        <v>FLEX</v>
      </c>
      <c r="AA1693" s="8" t="e">
        <f>+VLOOKUP(I1693,[1]SKU!$H$2:$I$97,2,0)</f>
        <v>#N/A</v>
      </c>
    </row>
    <row r="1694" spans="24:27">
      <c r="X1694" s="8" t="str">
        <f>+IFERROR(VLOOKUP(N1694,[1]Hoja1!$B$2:$F$52,4,0)*P1694,"")</f>
        <v/>
      </c>
      <c r="Y1694" s="8" t="e">
        <f>+VLOOKUP(M1694,[1]SKU!$B$3:$E$81,4,0)</f>
        <v>#N/A</v>
      </c>
      <c r="Z1694" s="8" t="str">
        <f t="shared" si="26"/>
        <v>FLEX</v>
      </c>
      <c r="AA1694" s="8" t="e">
        <f>+VLOOKUP(I1694,[1]SKU!$H$2:$I$97,2,0)</f>
        <v>#N/A</v>
      </c>
    </row>
    <row r="1695" spans="24:27">
      <c r="X1695" s="8" t="str">
        <f>+IFERROR(VLOOKUP(N1695,[1]Hoja1!$B$2:$F$52,4,0)*P1695,"")</f>
        <v/>
      </c>
      <c r="Y1695" s="8" t="e">
        <f>+VLOOKUP(M1695,[1]SKU!$B$3:$E$81,4,0)</f>
        <v>#N/A</v>
      </c>
      <c r="Z1695" s="8" t="str">
        <f t="shared" si="26"/>
        <v>FLEX</v>
      </c>
      <c r="AA1695" s="8" t="e">
        <f>+VLOOKUP(I1695,[1]SKU!$H$2:$I$97,2,0)</f>
        <v>#N/A</v>
      </c>
    </row>
    <row r="1696" spans="24:27">
      <c r="X1696" s="8" t="str">
        <f>+IFERROR(VLOOKUP(N1696,[1]Hoja1!$B$2:$F$52,4,0)*P1696,"")</f>
        <v/>
      </c>
      <c r="Y1696" s="8" t="e">
        <f>+VLOOKUP(M1696,[1]SKU!$B$3:$E$81,4,0)</f>
        <v>#N/A</v>
      </c>
      <c r="Z1696" s="8" t="str">
        <f t="shared" si="26"/>
        <v>FLEX</v>
      </c>
      <c r="AA1696" s="8" t="e">
        <f>+VLOOKUP(I1696,[1]SKU!$H$2:$I$97,2,0)</f>
        <v>#N/A</v>
      </c>
    </row>
    <row r="1697" spans="24:27">
      <c r="X1697" s="8" t="str">
        <f>+IFERROR(VLOOKUP(N1697,[1]Hoja1!$B$2:$F$52,4,0)*P1697,"")</f>
        <v/>
      </c>
      <c r="Y1697" s="8" t="e">
        <f>+VLOOKUP(M1697,[1]SKU!$B$3:$E$81,4,0)</f>
        <v>#N/A</v>
      </c>
      <c r="Z1697" s="8" t="str">
        <f t="shared" si="26"/>
        <v>FLEX</v>
      </c>
      <c r="AA1697" s="8" t="e">
        <f>+VLOOKUP(I1697,[1]SKU!$H$2:$I$97,2,0)</f>
        <v>#N/A</v>
      </c>
    </row>
    <row r="1698" spans="24:27">
      <c r="X1698" s="8" t="str">
        <f>+IFERROR(VLOOKUP(N1698,[1]Hoja1!$B$2:$F$52,4,0)*P1698,"")</f>
        <v/>
      </c>
      <c r="Y1698" s="8" t="e">
        <f>+VLOOKUP(M1698,[1]SKU!$B$3:$E$81,4,0)</f>
        <v>#N/A</v>
      </c>
      <c r="Z1698" s="8" t="str">
        <f t="shared" si="26"/>
        <v>FLEX</v>
      </c>
      <c r="AA1698" s="8" t="e">
        <f>+VLOOKUP(I1698,[1]SKU!$H$2:$I$97,2,0)</f>
        <v>#N/A</v>
      </c>
    </row>
    <row r="1699" spans="24:27">
      <c r="X1699" s="8" t="str">
        <f>+IFERROR(VLOOKUP(N1699,[1]Hoja1!$B$2:$F$52,4,0)*P1699,"")</f>
        <v/>
      </c>
      <c r="Y1699" s="8" t="e">
        <f>+VLOOKUP(M1699,[1]SKU!$B$3:$E$81,4,0)</f>
        <v>#N/A</v>
      </c>
      <c r="Z1699" s="8" t="str">
        <f t="shared" si="26"/>
        <v>FLEX</v>
      </c>
      <c r="AA1699" s="8" t="e">
        <f>+VLOOKUP(I1699,[1]SKU!$H$2:$I$97,2,0)</f>
        <v>#N/A</v>
      </c>
    </row>
    <row r="1700" spans="24:27">
      <c r="X1700" s="8" t="str">
        <f>+IFERROR(VLOOKUP(N1700,[1]Hoja1!$B$2:$F$52,4,0)*P1700,"")</f>
        <v/>
      </c>
      <c r="Y1700" s="8" t="e">
        <f>+VLOOKUP(M1700,[1]SKU!$B$3:$E$81,4,0)</f>
        <v>#N/A</v>
      </c>
      <c r="Z1700" s="8" t="str">
        <f t="shared" si="26"/>
        <v>FLEX</v>
      </c>
      <c r="AA1700" s="8" t="e">
        <f>+VLOOKUP(I1700,[1]SKU!$H$2:$I$97,2,0)</f>
        <v>#N/A</v>
      </c>
    </row>
    <row r="1701" spans="24:27">
      <c r="X1701" s="8" t="str">
        <f>+IFERROR(VLOOKUP(N1701,[1]Hoja1!$B$2:$F$52,4,0)*P1701,"")</f>
        <v/>
      </c>
      <c r="Y1701" s="8" t="e">
        <f>+VLOOKUP(M1701,[1]SKU!$B$3:$E$81,4,0)</f>
        <v>#N/A</v>
      </c>
      <c r="Z1701" s="8" t="str">
        <f t="shared" si="26"/>
        <v>FLEX</v>
      </c>
      <c r="AA1701" s="8" t="e">
        <f>+VLOOKUP(I1701,[1]SKU!$H$2:$I$97,2,0)</f>
        <v>#N/A</v>
      </c>
    </row>
    <row r="1702" spans="24:27">
      <c r="X1702" s="8" t="str">
        <f>+IFERROR(VLOOKUP(N1702,[1]Hoja1!$B$2:$F$52,4,0)*P1702,"")</f>
        <v/>
      </c>
      <c r="Y1702" s="8" t="e">
        <f>+VLOOKUP(M1702,[1]SKU!$B$3:$E$81,4,0)</f>
        <v>#N/A</v>
      </c>
      <c r="Z1702" s="8" t="str">
        <f t="shared" si="26"/>
        <v>FLEX</v>
      </c>
      <c r="AA1702" s="8" t="e">
        <f>+VLOOKUP(I1702,[1]SKU!$H$2:$I$97,2,0)</f>
        <v>#N/A</v>
      </c>
    </row>
    <row r="1703" spans="24:27">
      <c r="X1703" s="8" t="str">
        <f>+IFERROR(VLOOKUP(N1703,[1]Hoja1!$B$2:$F$52,4,0)*P1703,"")</f>
        <v/>
      </c>
      <c r="Y1703" s="8" t="e">
        <f>+VLOOKUP(M1703,[1]SKU!$B$3:$E$81,4,0)</f>
        <v>#N/A</v>
      </c>
      <c r="Z1703" s="8" t="str">
        <f t="shared" si="26"/>
        <v>FLEX</v>
      </c>
      <c r="AA1703" s="8" t="e">
        <f>+VLOOKUP(I1703,[1]SKU!$H$2:$I$97,2,0)</f>
        <v>#N/A</v>
      </c>
    </row>
    <row r="1704" spans="24:27">
      <c r="X1704" s="8" t="str">
        <f>+IFERROR(VLOOKUP(N1704,[1]Hoja1!$B$2:$F$52,4,0)*P1704,"")</f>
        <v/>
      </c>
      <c r="Y1704" s="8" t="e">
        <f>+VLOOKUP(M1704,[1]SKU!$B$3:$E$81,4,0)</f>
        <v>#N/A</v>
      </c>
      <c r="Z1704" s="8" t="str">
        <f t="shared" si="26"/>
        <v>FLEX</v>
      </c>
      <c r="AA1704" s="8" t="e">
        <f>+VLOOKUP(I1704,[1]SKU!$H$2:$I$97,2,0)</f>
        <v>#N/A</v>
      </c>
    </row>
    <row r="1705" spans="24:27">
      <c r="X1705" s="8" t="str">
        <f>+IFERROR(VLOOKUP(N1705,[1]Hoja1!$B$2:$F$52,4,0)*P1705,"")</f>
        <v/>
      </c>
      <c r="Y1705" s="8" t="e">
        <f>+VLOOKUP(M1705,[1]SKU!$B$3:$E$81,4,0)</f>
        <v>#N/A</v>
      </c>
      <c r="Z1705" s="8" t="str">
        <f t="shared" si="26"/>
        <v>FLEX</v>
      </c>
      <c r="AA1705" s="8" t="e">
        <f>+VLOOKUP(I1705,[1]SKU!$H$2:$I$97,2,0)</f>
        <v>#N/A</v>
      </c>
    </row>
    <row r="1706" spans="24:27">
      <c r="X1706" s="8" t="str">
        <f>+IFERROR(VLOOKUP(N1706,[1]Hoja1!$B$2:$F$52,4,0)*P1706,"")</f>
        <v/>
      </c>
      <c r="Y1706" s="8" t="e">
        <f>+VLOOKUP(M1706,[1]SKU!$B$3:$E$81,4,0)</f>
        <v>#N/A</v>
      </c>
      <c r="Z1706" s="8" t="str">
        <f t="shared" si="26"/>
        <v>FLEX</v>
      </c>
      <c r="AA1706" s="8" t="e">
        <f>+VLOOKUP(I1706,[1]SKU!$H$2:$I$97,2,0)</f>
        <v>#N/A</v>
      </c>
    </row>
    <row r="1707" spans="24:27">
      <c r="X1707" s="8" t="str">
        <f>+IFERROR(VLOOKUP(N1707,[1]Hoja1!$B$2:$F$52,4,0)*P1707,"")</f>
        <v/>
      </c>
      <c r="Y1707" s="8" t="e">
        <f>+VLOOKUP(M1707,[1]SKU!$B$3:$E$81,4,0)</f>
        <v>#N/A</v>
      </c>
      <c r="Z1707" s="8" t="str">
        <f t="shared" si="26"/>
        <v>FLEX</v>
      </c>
      <c r="AA1707" s="8" t="e">
        <f>+VLOOKUP(I1707,[1]SKU!$H$2:$I$97,2,0)</f>
        <v>#N/A</v>
      </c>
    </row>
    <row r="1708" spans="24:27">
      <c r="X1708" s="8" t="str">
        <f>+IFERROR(VLOOKUP(N1708,[1]Hoja1!$B$2:$F$52,4,0)*P1708,"")</f>
        <v/>
      </c>
      <c r="Y1708" s="8" t="e">
        <f>+VLOOKUP(M1708,[1]SKU!$B$3:$E$81,4,0)</f>
        <v>#N/A</v>
      </c>
      <c r="Z1708" s="8" t="str">
        <f t="shared" si="26"/>
        <v>FLEX</v>
      </c>
      <c r="AA1708" s="8" t="e">
        <f>+VLOOKUP(I1708,[1]SKU!$H$2:$I$97,2,0)</f>
        <v>#N/A</v>
      </c>
    </row>
    <row r="1709" spans="24:27">
      <c r="X1709" s="8" t="str">
        <f>+IFERROR(VLOOKUP(N1709,[1]Hoja1!$B$2:$F$52,4,0)*P1709,"")</f>
        <v/>
      </c>
      <c r="Y1709" s="8" t="e">
        <f>+VLOOKUP(M1709,[1]SKU!$B$3:$E$81,4,0)</f>
        <v>#N/A</v>
      </c>
      <c r="Z1709" s="8" t="str">
        <f t="shared" si="26"/>
        <v>FLEX</v>
      </c>
      <c r="AA1709" s="8" t="e">
        <f>+VLOOKUP(I1709,[1]SKU!$H$2:$I$97,2,0)</f>
        <v>#N/A</v>
      </c>
    </row>
    <row r="1710" spans="24:27">
      <c r="X1710" s="8" t="str">
        <f>+IFERROR(VLOOKUP(N1710,[1]Hoja1!$B$2:$F$52,4,0)*P1710,"")</f>
        <v/>
      </c>
      <c r="Y1710" s="8" t="e">
        <f>+VLOOKUP(M1710,[1]SKU!$B$3:$E$81,4,0)</f>
        <v>#N/A</v>
      </c>
      <c r="Z1710" s="8" t="str">
        <f t="shared" si="26"/>
        <v>FLEX</v>
      </c>
      <c r="AA1710" s="8" t="e">
        <f>+VLOOKUP(I1710,[1]SKU!$H$2:$I$97,2,0)</f>
        <v>#N/A</v>
      </c>
    </row>
    <row r="1711" spans="24:27">
      <c r="X1711" s="8" t="str">
        <f>+IFERROR(VLOOKUP(N1711,[1]Hoja1!$B$2:$F$52,4,0)*P1711,"")</f>
        <v/>
      </c>
      <c r="Y1711" s="8" t="e">
        <f>+VLOOKUP(M1711,[1]SKU!$B$3:$E$81,4,0)</f>
        <v>#N/A</v>
      </c>
      <c r="Z1711" s="8" t="str">
        <f t="shared" si="26"/>
        <v>FLEX</v>
      </c>
      <c r="AA1711" s="8" t="e">
        <f>+VLOOKUP(I1711,[1]SKU!$H$2:$I$97,2,0)</f>
        <v>#N/A</v>
      </c>
    </row>
    <row r="1712" spans="24:27">
      <c r="X1712" s="8" t="str">
        <f>+IFERROR(VLOOKUP(N1712,[1]Hoja1!$B$2:$F$52,4,0)*P1712,"")</f>
        <v/>
      </c>
      <c r="Y1712" s="8" t="e">
        <f>+VLOOKUP(M1712,[1]SKU!$B$3:$E$81,4,0)</f>
        <v>#N/A</v>
      </c>
      <c r="Z1712" s="8" t="str">
        <f t="shared" si="26"/>
        <v>FLEX</v>
      </c>
      <c r="AA1712" s="8" t="e">
        <f>+VLOOKUP(I1712,[1]SKU!$H$2:$I$97,2,0)</f>
        <v>#N/A</v>
      </c>
    </row>
    <row r="1713" spans="24:27">
      <c r="X1713" s="8" t="str">
        <f>+IFERROR(VLOOKUP(N1713,[1]Hoja1!$B$2:$F$52,4,0)*P1713,"")</f>
        <v/>
      </c>
      <c r="Y1713" s="8" t="e">
        <f>+VLOOKUP(M1713,[1]SKU!$B$3:$E$81,4,0)</f>
        <v>#N/A</v>
      </c>
      <c r="Z1713" s="8" t="str">
        <f t="shared" si="26"/>
        <v>FLEX</v>
      </c>
      <c r="AA1713" s="8" t="e">
        <f>+VLOOKUP(I1713,[1]SKU!$H$2:$I$97,2,0)</f>
        <v>#N/A</v>
      </c>
    </row>
    <row r="1714" spans="24:27">
      <c r="X1714" s="8" t="str">
        <f>+IFERROR(VLOOKUP(N1714,[1]Hoja1!$B$2:$F$52,4,0)*P1714,"")</f>
        <v/>
      </c>
      <c r="Y1714" s="8" t="e">
        <f>+VLOOKUP(M1714,[1]SKU!$B$3:$E$81,4,0)</f>
        <v>#N/A</v>
      </c>
      <c r="Z1714" s="8" t="str">
        <f t="shared" si="26"/>
        <v>FLEX</v>
      </c>
      <c r="AA1714" s="8" t="e">
        <f>+VLOOKUP(I1714,[1]SKU!$H$2:$I$97,2,0)</f>
        <v>#N/A</v>
      </c>
    </row>
    <row r="1715" spans="24:27">
      <c r="X1715" s="8" t="str">
        <f>+IFERROR(VLOOKUP(N1715,[1]Hoja1!$B$2:$F$52,4,0)*P1715,"")</f>
        <v/>
      </c>
      <c r="Y1715" s="8" t="e">
        <f>+VLOOKUP(M1715,[1]SKU!$B$3:$E$81,4,0)</f>
        <v>#N/A</v>
      </c>
      <c r="Z1715" s="8" t="str">
        <f t="shared" si="26"/>
        <v>FLEX</v>
      </c>
      <c r="AA1715" s="8" t="e">
        <f>+VLOOKUP(I1715,[1]SKU!$H$2:$I$97,2,0)</f>
        <v>#N/A</v>
      </c>
    </row>
    <row r="1716" spans="24:27">
      <c r="X1716" s="8" t="str">
        <f>+IFERROR(VLOOKUP(N1716,[1]Hoja1!$B$2:$F$52,4,0)*P1716,"")</f>
        <v/>
      </c>
      <c r="Y1716" s="8" t="e">
        <f>+VLOOKUP(M1716,[1]SKU!$B$3:$E$81,4,0)</f>
        <v>#N/A</v>
      </c>
      <c r="Z1716" s="8" t="str">
        <f t="shared" si="26"/>
        <v>FLEX</v>
      </c>
      <c r="AA1716" s="8" t="e">
        <f>+VLOOKUP(I1716,[1]SKU!$H$2:$I$97,2,0)</f>
        <v>#N/A</v>
      </c>
    </row>
    <row r="1717" spans="24:27">
      <c r="X1717" s="8" t="str">
        <f>+IFERROR(VLOOKUP(N1717,[1]Hoja1!$B$2:$F$52,4,0)*P1717,"")</f>
        <v/>
      </c>
      <c r="Y1717" s="8" t="e">
        <f>+VLOOKUP(M1717,[1]SKU!$B$3:$E$81,4,0)</f>
        <v>#N/A</v>
      </c>
      <c r="Z1717" s="8" t="str">
        <f t="shared" si="26"/>
        <v>FLEX</v>
      </c>
      <c r="AA1717" s="8" t="e">
        <f>+VLOOKUP(I1717,[1]SKU!$H$2:$I$97,2,0)</f>
        <v>#N/A</v>
      </c>
    </row>
    <row r="1718" spans="24:27">
      <c r="X1718" s="8" t="str">
        <f>+IFERROR(VLOOKUP(N1718,[1]Hoja1!$B$2:$F$52,4,0)*P1718,"")</f>
        <v/>
      </c>
      <c r="Y1718" s="8" t="e">
        <f>+VLOOKUP(M1718,[1]SKU!$B$3:$E$81,4,0)</f>
        <v>#N/A</v>
      </c>
      <c r="Z1718" s="8" t="str">
        <f t="shared" si="26"/>
        <v>FLEX</v>
      </c>
      <c r="AA1718" s="8" t="e">
        <f>+VLOOKUP(I1718,[1]SKU!$H$2:$I$97,2,0)</f>
        <v>#N/A</v>
      </c>
    </row>
    <row r="1719" spans="24:27">
      <c r="X1719" s="8" t="str">
        <f>+IFERROR(VLOOKUP(N1719,[1]Hoja1!$B$2:$F$52,4,0)*P1719,"")</f>
        <v/>
      </c>
      <c r="Y1719" s="8" t="e">
        <f>+VLOOKUP(M1719,[1]SKU!$B$3:$E$81,4,0)</f>
        <v>#N/A</v>
      </c>
      <c r="Z1719" s="8" t="str">
        <f t="shared" si="26"/>
        <v>FLEX</v>
      </c>
      <c r="AA1719" s="8" t="e">
        <f>+VLOOKUP(I1719,[1]SKU!$H$2:$I$97,2,0)</f>
        <v>#N/A</v>
      </c>
    </row>
    <row r="1720" spans="24:27">
      <c r="X1720" s="8" t="str">
        <f>+IFERROR(VLOOKUP(N1720,[1]Hoja1!$B$2:$F$52,4,0)*P1720,"")</f>
        <v/>
      </c>
      <c r="Y1720" s="8" t="e">
        <f>+VLOOKUP(M1720,[1]SKU!$B$3:$E$81,4,0)</f>
        <v>#N/A</v>
      </c>
      <c r="Z1720" s="8" t="str">
        <f t="shared" si="26"/>
        <v>FLEX</v>
      </c>
      <c r="AA1720" s="8" t="e">
        <f>+VLOOKUP(I1720,[1]SKU!$H$2:$I$97,2,0)</f>
        <v>#N/A</v>
      </c>
    </row>
    <row r="1721" spans="24:27">
      <c r="X1721" s="8" t="str">
        <f>+IFERROR(VLOOKUP(N1721,[1]Hoja1!$B$2:$F$52,4,0)*P1721,"")</f>
        <v/>
      </c>
      <c r="Y1721" s="8" t="e">
        <f>+VLOOKUP(M1721,[1]SKU!$B$3:$E$81,4,0)</f>
        <v>#N/A</v>
      </c>
      <c r="Z1721" s="8" t="str">
        <f t="shared" si="26"/>
        <v>FLEX</v>
      </c>
      <c r="AA1721" s="8" t="e">
        <f>+VLOOKUP(I1721,[1]SKU!$H$2:$I$97,2,0)</f>
        <v>#N/A</v>
      </c>
    </row>
    <row r="1722" spans="24:27">
      <c r="X1722" s="8" t="str">
        <f>+IFERROR(VLOOKUP(N1722,[1]Hoja1!$B$2:$F$52,4,0)*P1722,"")</f>
        <v/>
      </c>
      <c r="Y1722" s="8" t="e">
        <f>+VLOOKUP(M1722,[1]SKU!$B$3:$E$81,4,0)</f>
        <v>#N/A</v>
      </c>
      <c r="Z1722" s="8" t="str">
        <f t="shared" si="26"/>
        <v>FLEX</v>
      </c>
      <c r="AA1722" s="8" t="e">
        <f>+VLOOKUP(I1722,[1]SKU!$H$2:$I$97,2,0)</f>
        <v>#N/A</v>
      </c>
    </row>
    <row r="1723" spans="24:27">
      <c r="X1723" s="8" t="str">
        <f>+IFERROR(VLOOKUP(N1723,[1]Hoja1!$B$2:$F$52,4,0)*P1723,"")</f>
        <v/>
      </c>
      <c r="Y1723" s="8" t="e">
        <f>+VLOOKUP(M1723,[1]SKU!$B$3:$E$81,4,0)</f>
        <v>#N/A</v>
      </c>
      <c r="Z1723" s="8" t="str">
        <f t="shared" si="26"/>
        <v>FLEX</v>
      </c>
      <c r="AA1723" s="8" t="e">
        <f>+VLOOKUP(I1723,[1]SKU!$H$2:$I$97,2,0)</f>
        <v>#N/A</v>
      </c>
    </row>
    <row r="1724" spans="24:27">
      <c r="X1724" s="8" t="str">
        <f>+IFERROR(VLOOKUP(N1724,[1]Hoja1!$B$2:$F$52,4,0)*P1724,"")</f>
        <v/>
      </c>
      <c r="Y1724" s="8" t="e">
        <f>+VLOOKUP(M1724,[1]SKU!$B$3:$E$81,4,0)</f>
        <v>#N/A</v>
      </c>
      <c r="Z1724" s="8" t="str">
        <f t="shared" si="26"/>
        <v>FLEX</v>
      </c>
      <c r="AA1724" s="8" t="e">
        <f>+VLOOKUP(I1724,[1]SKU!$H$2:$I$97,2,0)</f>
        <v>#N/A</v>
      </c>
    </row>
    <row r="1725" spans="24:27">
      <c r="X1725" s="8" t="str">
        <f>+IFERROR(VLOOKUP(N1725,[1]Hoja1!$B$2:$F$52,4,0)*P1725,"")</f>
        <v/>
      </c>
      <c r="Y1725" s="8" t="e">
        <f>+VLOOKUP(M1725,[1]SKU!$B$3:$E$81,4,0)</f>
        <v>#N/A</v>
      </c>
      <c r="Z1725" s="8" t="str">
        <f t="shared" si="26"/>
        <v>FLEX</v>
      </c>
      <c r="AA1725" s="8" t="e">
        <f>+VLOOKUP(I1725,[1]SKU!$H$2:$I$97,2,0)</f>
        <v>#N/A</v>
      </c>
    </row>
    <row r="1726" spans="24:27">
      <c r="X1726" s="8" t="str">
        <f>+IFERROR(VLOOKUP(N1726,[1]Hoja1!$B$2:$F$52,4,0)*P1726,"")</f>
        <v/>
      </c>
      <c r="Y1726" s="8" t="e">
        <f>+VLOOKUP(M1726,[1]SKU!$B$3:$E$81,4,0)</f>
        <v>#N/A</v>
      </c>
      <c r="Z1726" s="8" t="str">
        <f t="shared" si="26"/>
        <v>FLEX</v>
      </c>
      <c r="AA1726" s="8" t="e">
        <f>+VLOOKUP(I1726,[1]SKU!$H$2:$I$97,2,0)</f>
        <v>#N/A</v>
      </c>
    </row>
    <row r="1727" spans="24:27">
      <c r="X1727" s="8" t="str">
        <f>+IFERROR(VLOOKUP(N1727,[1]Hoja1!$B$2:$F$52,4,0)*P1727,"")</f>
        <v/>
      </c>
      <c r="Y1727" s="8" t="e">
        <f>+VLOOKUP(M1727,[1]SKU!$B$3:$E$81,4,0)</f>
        <v>#N/A</v>
      </c>
      <c r="Z1727" s="8" t="str">
        <f t="shared" si="26"/>
        <v>FLEX</v>
      </c>
      <c r="AA1727" s="8" t="e">
        <f>+VLOOKUP(I1727,[1]SKU!$H$2:$I$97,2,0)</f>
        <v>#N/A</v>
      </c>
    </row>
    <row r="1728" spans="24:27">
      <c r="X1728" s="8" t="str">
        <f>+IFERROR(VLOOKUP(N1728,[1]Hoja1!$B$2:$F$52,4,0)*P1728,"")</f>
        <v/>
      </c>
      <c r="Y1728" s="8" t="e">
        <f>+VLOOKUP(M1728,[1]SKU!$B$3:$E$81,4,0)</f>
        <v>#N/A</v>
      </c>
      <c r="Z1728" s="8" t="str">
        <f t="shared" si="26"/>
        <v>FLEX</v>
      </c>
      <c r="AA1728" s="8" t="e">
        <f>+VLOOKUP(I1728,[1]SKU!$H$2:$I$97,2,0)</f>
        <v>#N/A</v>
      </c>
    </row>
    <row r="1729" spans="24:27">
      <c r="X1729" s="8" t="str">
        <f>+IFERROR(VLOOKUP(N1729,[1]Hoja1!$B$2:$F$52,4,0)*P1729,"")</f>
        <v/>
      </c>
      <c r="Y1729" s="8" t="e">
        <f>+VLOOKUP(M1729,[1]SKU!$B$3:$E$81,4,0)</f>
        <v>#N/A</v>
      </c>
      <c r="Z1729" s="8" t="str">
        <f t="shared" si="26"/>
        <v>FLEX</v>
      </c>
      <c r="AA1729" s="8" t="e">
        <f>+VLOOKUP(I1729,[1]SKU!$H$2:$I$97,2,0)</f>
        <v>#N/A</v>
      </c>
    </row>
    <row r="1730" spans="24:27">
      <c r="X1730" s="8" t="str">
        <f>+IFERROR(VLOOKUP(N1730,[1]Hoja1!$B$2:$F$52,4,0)*P1730,"")</f>
        <v/>
      </c>
      <c r="Y1730" s="8" t="e">
        <f>+VLOOKUP(M1730,[1]SKU!$B$3:$E$81,4,0)</f>
        <v>#N/A</v>
      </c>
      <c r="Z1730" s="8" t="str">
        <f t="shared" si="26"/>
        <v>FLEX</v>
      </c>
      <c r="AA1730" s="8" t="e">
        <f>+VLOOKUP(I1730,[1]SKU!$H$2:$I$97,2,0)</f>
        <v>#N/A</v>
      </c>
    </row>
    <row r="1731" spans="24:27">
      <c r="X1731" s="8" t="str">
        <f>+IFERROR(VLOOKUP(N1731,[1]Hoja1!$B$2:$F$52,4,0)*P1731,"")</f>
        <v/>
      </c>
      <c r="Y1731" s="8" t="e">
        <f>+VLOOKUP(M1731,[1]SKU!$B$3:$E$81,4,0)</f>
        <v>#N/A</v>
      </c>
      <c r="Z1731" s="8" t="str">
        <f t="shared" ref="Z1731:Z1794" si="27">+IF(J1731="VB01                          ","BEES","FLEX")</f>
        <v>FLEX</v>
      </c>
      <c r="AA1731" s="8" t="e">
        <f>+VLOOKUP(I1731,[1]SKU!$H$2:$I$97,2,0)</f>
        <v>#N/A</v>
      </c>
    </row>
    <row r="1732" spans="24:27">
      <c r="X1732" s="8" t="str">
        <f>+IFERROR(VLOOKUP(N1732,[1]Hoja1!$B$2:$F$52,4,0)*P1732,"")</f>
        <v/>
      </c>
      <c r="Y1732" s="8" t="e">
        <f>+VLOOKUP(M1732,[1]SKU!$B$3:$E$81,4,0)</f>
        <v>#N/A</v>
      </c>
      <c r="Z1732" s="8" t="str">
        <f t="shared" si="27"/>
        <v>FLEX</v>
      </c>
      <c r="AA1732" s="8" t="e">
        <f>+VLOOKUP(I1732,[1]SKU!$H$2:$I$97,2,0)</f>
        <v>#N/A</v>
      </c>
    </row>
    <row r="1733" spans="24:27">
      <c r="X1733" s="8" t="str">
        <f>+IFERROR(VLOOKUP(N1733,[1]Hoja1!$B$2:$F$52,4,0)*P1733,"")</f>
        <v/>
      </c>
      <c r="Y1733" s="8" t="e">
        <f>+VLOOKUP(M1733,[1]SKU!$B$3:$E$81,4,0)</f>
        <v>#N/A</v>
      </c>
      <c r="Z1733" s="8" t="str">
        <f t="shared" si="27"/>
        <v>FLEX</v>
      </c>
      <c r="AA1733" s="8" t="e">
        <f>+VLOOKUP(I1733,[1]SKU!$H$2:$I$97,2,0)</f>
        <v>#N/A</v>
      </c>
    </row>
    <row r="1734" spans="24:27">
      <c r="X1734" s="8" t="str">
        <f>+IFERROR(VLOOKUP(N1734,[1]Hoja1!$B$2:$F$52,4,0)*P1734,"")</f>
        <v/>
      </c>
      <c r="Y1734" s="8" t="e">
        <f>+VLOOKUP(M1734,[1]SKU!$B$3:$E$81,4,0)</f>
        <v>#N/A</v>
      </c>
      <c r="Z1734" s="8" t="str">
        <f t="shared" si="27"/>
        <v>FLEX</v>
      </c>
      <c r="AA1734" s="8" t="e">
        <f>+VLOOKUP(I1734,[1]SKU!$H$2:$I$97,2,0)</f>
        <v>#N/A</v>
      </c>
    </row>
    <row r="1735" spans="24:27">
      <c r="X1735" s="8" t="str">
        <f>+IFERROR(VLOOKUP(N1735,[1]Hoja1!$B$2:$F$52,4,0)*P1735,"")</f>
        <v/>
      </c>
      <c r="Y1735" s="8" t="e">
        <f>+VLOOKUP(M1735,[1]SKU!$B$3:$E$81,4,0)</f>
        <v>#N/A</v>
      </c>
      <c r="Z1735" s="8" t="str">
        <f t="shared" si="27"/>
        <v>FLEX</v>
      </c>
      <c r="AA1735" s="8" t="e">
        <f>+VLOOKUP(I1735,[1]SKU!$H$2:$I$97,2,0)</f>
        <v>#N/A</v>
      </c>
    </row>
    <row r="1736" spans="24:27">
      <c r="X1736" s="8" t="str">
        <f>+IFERROR(VLOOKUP(N1736,[1]Hoja1!$B$2:$F$52,4,0)*P1736,"")</f>
        <v/>
      </c>
      <c r="Y1736" s="8" t="e">
        <f>+VLOOKUP(M1736,[1]SKU!$B$3:$E$81,4,0)</f>
        <v>#N/A</v>
      </c>
      <c r="Z1736" s="8" t="str">
        <f t="shared" si="27"/>
        <v>FLEX</v>
      </c>
      <c r="AA1736" s="8" t="e">
        <f>+VLOOKUP(I1736,[1]SKU!$H$2:$I$97,2,0)</f>
        <v>#N/A</v>
      </c>
    </row>
    <row r="1737" spans="24:27">
      <c r="X1737" s="8" t="str">
        <f>+IFERROR(VLOOKUP(N1737,[1]Hoja1!$B$2:$F$52,4,0)*P1737,"")</f>
        <v/>
      </c>
      <c r="Y1737" s="8" t="e">
        <f>+VLOOKUP(M1737,[1]SKU!$B$3:$E$81,4,0)</f>
        <v>#N/A</v>
      </c>
      <c r="Z1737" s="8" t="str">
        <f t="shared" si="27"/>
        <v>FLEX</v>
      </c>
      <c r="AA1737" s="8" t="e">
        <f>+VLOOKUP(I1737,[1]SKU!$H$2:$I$97,2,0)</f>
        <v>#N/A</v>
      </c>
    </row>
    <row r="1738" spans="24:27">
      <c r="X1738" s="8" t="str">
        <f>+IFERROR(VLOOKUP(N1738,[1]Hoja1!$B$2:$F$52,4,0)*P1738,"")</f>
        <v/>
      </c>
      <c r="Y1738" s="8" t="e">
        <f>+VLOOKUP(M1738,[1]SKU!$B$3:$E$81,4,0)</f>
        <v>#N/A</v>
      </c>
      <c r="Z1738" s="8" t="str">
        <f t="shared" si="27"/>
        <v>FLEX</v>
      </c>
      <c r="AA1738" s="8" t="e">
        <f>+VLOOKUP(I1738,[1]SKU!$H$2:$I$97,2,0)</f>
        <v>#N/A</v>
      </c>
    </row>
    <row r="1739" spans="24:27">
      <c r="X1739" s="8" t="str">
        <f>+IFERROR(VLOOKUP(N1739,[1]Hoja1!$B$2:$F$52,4,0)*P1739,"")</f>
        <v/>
      </c>
      <c r="Y1739" s="8" t="e">
        <f>+VLOOKUP(M1739,[1]SKU!$B$3:$E$81,4,0)</f>
        <v>#N/A</v>
      </c>
      <c r="Z1739" s="8" t="str">
        <f t="shared" si="27"/>
        <v>FLEX</v>
      </c>
      <c r="AA1739" s="8" t="e">
        <f>+VLOOKUP(I1739,[1]SKU!$H$2:$I$97,2,0)</f>
        <v>#N/A</v>
      </c>
    </row>
    <row r="1740" spans="24:27">
      <c r="X1740" s="8" t="str">
        <f>+IFERROR(VLOOKUP(N1740,[1]Hoja1!$B$2:$F$52,4,0)*P1740,"")</f>
        <v/>
      </c>
      <c r="Y1740" s="8" t="e">
        <f>+VLOOKUP(M1740,[1]SKU!$B$3:$E$81,4,0)</f>
        <v>#N/A</v>
      </c>
      <c r="Z1740" s="8" t="str">
        <f t="shared" si="27"/>
        <v>FLEX</v>
      </c>
      <c r="AA1740" s="8" t="e">
        <f>+VLOOKUP(I1740,[1]SKU!$H$2:$I$97,2,0)</f>
        <v>#N/A</v>
      </c>
    </row>
    <row r="1741" spans="24:27">
      <c r="X1741" s="8" t="str">
        <f>+IFERROR(VLOOKUP(N1741,[1]Hoja1!$B$2:$F$52,4,0)*P1741,"")</f>
        <v/>
      </c>
      <c r="Y1741" s="8" t="e">
        <f>+VLOOKUP(M1741,[1]SKU!$B$3:$E$81,4,0)</f>
        <v>#N/A</v>
      </c>
      <c r="Z1741" s="8" t="str">
        <f t="shared" si="27"/>
        <v>FLEX</v>
      </c>
      <c r="AA1741" s="8" t="e">
        <f>+VLOOKUP(I1741,[1]SKU!$H$2:$I$97,2,0)</f>
        <v>#N/A</v>
      </c>
    </row>
    <row r="1742" spans="24:27">
      <c r="X1742" s="8" t="str">
        <f>+IFERROR(VLOOKUP(N1742,[1]Hoja1!$B$2:$F$52,4,0)*P1742,"")</f>
        <v/>
      </c>
      <c r="Y1742" s="8" t="e">
        <f>+VLOOKUP(M1742,[1]SKU!$B$3:$E$81,4,0)</f>
        <v>#N/A</v>
      </c>
      <c r="Z1742" s="8" t="str">
        <f t="shared" si="27"/>
        <v>FLEX</v>
      </c>
      <c r="AA1742" s="8" t="e">
        <f>+VLOOKUP(I1742,[1]SKU!$H$2:$I$97,2,0)</f>
        <v>#N/A</v>
      </c>
    </row>
    <row r="1743" spans="24:27">
      <c r="X1743" s="8" t="str">
        <f>+IFERROR(VLOOKUP(N1743,[1]Hoja1!$B$2:$F$52,4,0)*P1743,"")</f>
        <v/>
      </c>
      <c r="Y1743" s="8" t="e">
        <f>+VLOOKUP(M1743,[1]SKU!$B$3:$E$81,4,0)</f>
        <v>#N/A</v>
      </c>
      <c r="Z1743" s="8" t="str">
        <f t="shared" si="27"/>
        <v>FLEX</v>
      </c>
      <c r="AA1743" s="8" t="e">
        <f>+VLOOKUP(I1743,[1]SKU!$H$2:$I$97,2,0)</f>
        <v>#N/A</v>
      </c>
    </row>
    <row r="1744" spans="24:27">
      <c r="X1744" s="8" t="str">
        <f>+IFERROR(VLOOKUP(N1744,[1]Hoja1!$B$2:$F$52,4,0)*P1744,"")</f>
        <v/>
      </c>
      <c r="Y1744" s="8" t="e">
        <f>+VLOOKUP(M1744,[1]SKU!$B$3:$E$81,4,0)</f>
        <v>#N/A</v>
      </c>
      <c r="Z1744" s="8" t="str">
        <f t="shared" si="27"/>
        <v>FLEX</v>
      </c>
      <c r="AA1744" s="8" t="e">
        <f>+VLOOKUP(I1744,[1]SKU!$H$2:$I$97,2,0)</f>
        <v>#N/A</v>
      </c>
    </row>
    <row r="1745" spans="24:27">
      <c r="X1745" s="8" t="str">
        <f>+IFERROR(VLOOKUP(N1745,[1]Hoja1!$B$2:$F$52,4,0)*P1745,"")</f>
        <v/>
      </c>
      <c r="Y1745" s="8" t="e">
        <f>+VLOOKUP(M1745,[1]SKU!$B$3:$E$81,4,0)</f>
        <v>#N/A</v>
      </c>
      <c r="Z1745" s="8" t="str">
        <f t="shared" si="27"/>
        <v>FLEX</v>
      </c>
      <c r="AA1745" s="8" t="e">
        <f>+VLOOKUP(I1745,[1]SKU!$H$2:$I$97,2,0)</f>
        <v>#N/A</v>
      </c>
    </row>
    <row r="1746" spans="24:27">
      <c r="X1746" s="8" t="str">
        <f>+IFERROR(VLOOKUP(N1746,[1]Hoja1!$B$2:$F$52,4,0)*P1746,"")</f>
        <v/>
      </c>
      <c r="Y1746" s="8" t="e">
        <f>+VLOOKUP(M1746,[1]SKU!$B$3:$E$81,4,0)</f>
        <v>#N/A</v>
      </c>
      <c r="Z1746" s="8" t="str">
        <f t="shared" si="27"/>
        <v>FLEX</v>
      </c>
      <c r="AA1746" s="8" t="e">
        <f>+VLOOKUP(I1746,[1]SKU!$H$2:$I$97,2,0)</f>
        <v>#N/A</v>
      </c>
    </row>
    <row r="1747" spans="24:27">
      <c r="X1747" s="8" t="str">
        <f>+IFERROR(VLOOKUP(N1747,[1]Hoja1!$B$2:$F$52,4,0)*P1747,"")</f>
        <v/>
      </c>
      <c r="Y1747" s="8" t="e">
        <f>+VLOOKUP(M1747,[1]SKU!$B$3:$E$81,4,0)</f>
        <v>#N/A</v>
      </c>
      <c r="Z1747" s="8" t="str">
        <f t="shared" si="27"/>
        <v>FLEX</v>
      </c>
      <c r="AA1747" s="8" t="e">
        <f>+VLOOKUP(I1747,[1]SKU!$H$2:$I$97,2,0)</f>
        <v>#N/A</v>
      </c>
    </row>
    <row r="1748" spans="24:27">
      <c r="X1748" s="8" t="str">
        <f>+IFERROR(VLOOKUP(N1748,[1]Hoja1!$B$2:$F$52,4,0)*P1748,"")</f>
        <v/>
      </c>
      <c r="Y1748" s="8" t="e">
        <f>+VLOOKUP(M1748,[1]SKU!$B$3:$E$81,4,0)</f>
        <v>#N/A</v>
      </c>
      <c r="Z1748" s="8" t="str">
        <f t="shared" si="27"/>
        <v>FLEX</v>
      </c>
      <c r="AA1748" s="8" t="e">
        <f>+VLOOKUP(I1748,[1]SKU!$H$2:$I$97,2,0)</f>
        <v>#N/A</v>
      </c>
    </row>
    <row r="1749" spans="24:27">
      <c r="X1749" s="8" t="str">
        <f>+IFERROR(VLOOKUP(N1749,[1]Hoja1!$B$2:$F$52,4,0)*P1749,"")</f>
        <v/>
      </c>
      <c r="Y1749" s="8" t="e">
        <f>+VLOOKUP(M1749,[1]SKU!$B$3:$E$81,4,0)</f>
        <v>#N/A</v>
      </c>
      <c r="Z1749" s="8" t="str">
        <f t="shared" si="27"/>
        <v>FLEX</v>
      </c>
      <c r="AA1749" s="8" t="e">
        <f>+VLOOKUP(I1749,[1]SKU!$H$2:$I$97,2,0)</f>
        <v>#N/A</v>
      </c>
    </row>
    <row r="1750" spans="24:27">
      <c r="X1750" s="8" t="str">
        <f>+IFERROR(VLOOKUP(N1750,[1]Hoja1!$B$2:$F$52,4,0)*P1750,"")</f>
        <v/>
      </c>
      <c r="Y1750" s="8" t="e">
        <f>+VLOOKUP(M1750,[1]SKU!$B$3:$E$81,4,0)</f>
        <v>#N/A</v>
      </c>
      <c r="Z1750" s="8" t="str">
        <f t="shared" si="27"/>
        <v>FLEX</v>
      </c>
      <c r="AA1750" s="8" t="e">
        <f>+VLOOKUP(I1750,[1]SKU!$H$2:$I$97,2,0)</f>
        <v>#N/A</v>
      </c>
    </row>
    <row r="1751" spans="24:27">
      <c r="X1751" s="8" t="str">
        <f>+IFERROR(VLOOKUP(N1751,[1]Hoja1!$B$2:$F$52,4,0)*P1751,"")</f>
        <v/>
      </c>
      <c r="Y1751" s="8" t="e">
        <f>+VLOOKUP(M1751,[1]SKU!$B$3:$E$81,4,0)</f>
        <v>#N/A</v>
      </c>
      <c r="Z1751" s="8" t="str">
        <f t="shared" si="27"/>
        <v>FLEX</v>
      </c>
      <c r="AA1751" s="8" t="e">
        <f>+VLOOKUP(I1751,[1]SKU!$H$2:$I$97,2,0)</f>
        <v>#N/A</v>
      </c>
    </row>
    <row r="1752" spans="24:27">
      <c r="X1752" s="8" t="str">
        <f>+IFERROR(VLOOKUP(N1752,[1]Hoja1!$B$2:$F$52,4,0)*P1752,"")</f>
        <v/>
      </c>
      <c r="Y1752" s="8" t="e">
        <f>+VLOOKUP(M1752,[1]SKU!$B$3:$E$81,4,0)</f>
        <v>#N/A</v>
      </c>
      <c r="Z1752" s="8" t="str">
        <f t="shared" si="27"/>
        <v>FLEX</v>
      </c>
      <c r="AA1752" s="8" t="e">
        <f>+VLOOKUP(I1752,[1]SKU!$H$2:$I$97,2,0)</f>
        <v>#N/A</v>
      </c>
    </row>
    <row r="1753" spans="24:27">
      <c r="X1753" s="8" t="str">
        <f>+IFERROR(VLOOKUP(N1753,[1]Hoja1!$B$2:$F$52,4,0)*P1753,"")</f>
        <v/>
      </c>
      <c r="Y1753" s="8" t="e">
        <f>+VLOOKUP(M1753,[1]SKU!$B$3:$E$81,4,0)</f>
        <v>#N/A</v>
      </c>
      <c r="Z1753" s="8" t="str">
        <f t="shared" si="27"/>
        <v>FLEX</v>
      </c>
      <c r="AA1753" s="8" t="e">
        <f>+VLOOKUP(I1753,[1]SKU!$H$2:$I$97,2,0)</f>
        <v>#N/A</v>
      </c>
    </row>
    <row r="1754" spans="24:27">
      <c r="X1754" s="8" t="str">
        <f>+IFERROR(VLOOKUP(N1754,[1]Hoja1!$B$2:$F$52,4,0)*P1754,"")</f>
        <v/>
      </c>
      <c r="Y1754" s="8" t="e">
        <f>+VLOOKUP(M1754,[1]SKU!$B$3:$E$81,4,0)</f>
        <v>#N/A</v>
      </c>
      <c r="Z1754" s="8" t="str">
        <f t="shared" si="27"/>
        <v>FLEX</v>
      </c>
      <c r="AA1754" s="8" t="e">
        <f>+VLOOKUP(I1754,[1]SKU!$H$2:$I$97,2,0)</f>
        <v>#N/A</v>
      </c>
    </row>
    <row r="1755" spans="24:27">
      <c r="X1755" s="8" t="str">
        <f>+IFERROR(VLOOKUP(N1755,[1]Hoja1!$B$2:$F$52,4,0)*P1755,"")</f>
        <v/>
      </c>
      <c r="Y1755" s="8" t="e">
        <f>+VLOOKUP(M1755,[1]SKU!$B$3:$E$81,4,0)</f>
        <v>#N/A</v>
      </c>
      <c r="Z1755" s="8" t="str">
        <f t="shared" si="27"/>
        <v>FLEX</v>
      </c>
      <c r="AA1755" s="8" t="e">
        <f>+VLOOKUP(I1755,[1]SKU!$H$2:$I$97,2,0)</f>
        <v>#N/A</v>
      </c>
    </row>
    <row r="1756" spans="24:27">
      <c r="X1756" s="8" t="str">
        <f>+IFERROR(VLOOKUP(N1756,[1]Hoja1!$B$2:$F$52,4,0)*P1756,"")</f>
        <v/>
      </c>
      <c r="Y1756" s="8" t="e">
        <f>+VLOOKUP(M1756,[1]SKU!$B$3:$E$81,4,0)</f>
        <v>#N/A</v>
      </c>
      <c r="Z1756" s="8" t="str">
        <f t="shared" si="27"/>
        <v>FLEX</v>
      </c>
      <c r="AA1756" s="8" t="e">
        <f>+VLOOKUP(I1756,[1]SKU!$H$2:$I$97,2,0)</f>
        <v>#N/A</v>
      </c>
    </row>
    <row r="1757" spans="24:27">
      <c r="X1757" s="8" t="str">
        <f>+IFERROR(VLOOKUP(N1757,[1]Hoja1!$B$2:$F$52,4,0)*P1757,"")</f>
        <v/>
      </c>
      <c r="Y1757" s="8" t="e">
        <f>+VLOOKUP(M1757,[1]SKU!$B$3:$E$81,4,0)</f>
        <v>#N/A</v>
      </c>
      <c r="Z1757" s="8" t="str">
        <f t="shared" si="27"/>
        <v>FLEX</v>
      </c>
      <c r="AA1757" s="8" t="e">
        <f>+VLOOKUP(I1757,[1]SKU!$H$2:$I$97,2,0)</f>
        <v>#N/A</v>
      </c>
    </row>
    <row r="1758" spans="24:27">
      <c r="X1758" s="8" t="str">
        <f>+IFERROR(VLOOKUP(N1758,[1]Hoja1!$B$2:$F$52,4,0)*P1758,"")</f>
        <v/>
      </c>
      <c r="Y1758" s="8" t="e">
        <f>+VLOOKUP(M1758,[1]SKU!$B$3:$E$81,4,0)</f>
        <v>#N/A</v>
      </c>
      <c r="Z1758" s="8" t="str">
        <f t="shared" si="27"/>
        <v>FLEX</v>
      </c>
      <c r="AA1758" s="8" t="e">
        <f>+VLOOKUP(I1758,[1]SKU!$H$2:$I$97,2,0)</f>
        <v>#N/A</v>
      </c>
    </row>
    <row r="1759" spans="24:27">
      <c r="X1759" s="8" t="str">
        <f>+IFERROR(VLOOKUP(N1759,[1]Hoja1!$B$2:$F$52,4,0)*P1759,"")</f>
        <v/>
      </c>
      <c r="Y1759" s="8" t="e">
        <f>+VLOOKUP(M1759,[1]SKU!$B$3:$E$81,4,0)</f>
        <v>#N/A</v>
      </c>
      <c r="Z1759" s="8" t="str">
        <f t="shared" si="27"/>
        <v>FLEX</v>
      </c>
      <c r="AA1759" s="8" t="e">
        <f>+VLOOKUP(I1759,[1]SKU!$H$2:$I$97,2,0)</f>
        <v>#N/A</v>
      </c>
    </row>
    <row r="1760" spans="24:27">
      <c r="X1760" s="8" t="str">
        <f>+IFERROR(VLOOKUP(N1760,[1]Hoja1!$B$2:$F$52,4,0)*P1760,"")</f>
        <v/>
      </c>
      <c r="Y1760" s="8" t="e">
        <f>+VLOOKUP(M1760,[1]SKU!$B$3:$E$81,4,0)</f>
        <v>#N/A</v>
      </c>
      <c r="Z1760" s="8" t="str">
        <f t="shared" si="27"/>
        <v>FLEX</v>
      </c>
      <c r="AA1760" s="8" t="e">
        <f>+VLOOKUP(I1760,[1]SKU!$H$2:$I$97,2,0)</f>
        <v>#N/A</v>
      </c>
    </row>
    <row r="1761" spans="24:27">
      <c r="X1761" s="8" t="str">
        <f>+IFERROR(VLOOKUP(N1761,[1]Hoja1!$B$2:$F$52,4,0)*P1761,"")</f>
        <v/>
      </c>
      <c r="Y1761" s="8" t="e">
        <f>+VLOOKUP(M1761,[1]SKU!$B$3:$E$81,4,0)</f>
        <v>#N/A</v>
      </c>
      <c r="Z1761" s="8" t="str">
        <f t="shared" si="27"/>
        <v>FLEX</v>
      </c>
      <c r="AA1761" s="8" t="e">
        <f>+VLOOKUP(I1761,[1]SKU!$H$2:$I$97,2,0)</f>
        <v>#N/A</v>
      </c>
    </row>
    <row r="1762" spans="24:27">
      <c r="X1762" s="8" t="str">
        <f>+IFERROR(VLOOKUP(N1762,[1]Hoja1!$B$2:$F$52,4,0)*P1762,"")</f>
        <v/>
      </c>
      <c r="Y1762" s="8" t="e">
        <f>+VLOOKUP(M1762,[1]SKU!$B$3:$E$81,4,0)</f>
        <v>#N/A</v>
      </c>
      <c r="Z1762" s="8" t="str">
        <f t="shared" si="27"/>
        <v>FLEX</v>
      </c>
      <c r="AA1762" s="8" t="e">
        <f>+VLOOKUP(I1762,[1]SKU!$H$2:$I$97,2,0)</f>
        <v>#N/A</v>
      </c>
    </row>
    <row r="1763" spans="24:27">
      <c r="X1763" s="8" t="str">
        <f>+IFERROR(VLOOKUP(N1763,[1]Hoja1!$B$2:$F$52,4,0)*P1763,"")</f>
        <v/>
      </c>
      <c r="Y1763" s="8" t="e">
        <f>+VLOOKUP(M1763,[1]SKU!$B$3:$E$81,4,0)</f>
        <v>#N/A</v>
      </c>
      <c r="Z1763" s="8" t="str">
        <f t="shared" si="27"/>
        <v>FLEX</v>
      </c>
      <c r="AA1763" s="8" t="e">
        <f>+VLOOKUP(I1763,[1]SKU!$H$2:$I$97,2,0)</f>
        <v>#N/A</v>
      </c>
    </row>
    <row r="1764" spans="24:27">
      <c r="X1764" s="8" t="str">
        <f>+IFERROR(VLOOKUP(N1764,[1]Hoja1!$B$2:$F$52,4,0)*P1764,"")</f>
        <v/>
      </c>
      <c r="Y1764" s="8" t="e">
        <f>+VLOOKUP(M1764,[1]SKU!$B$3:$E$81,4,0)</f>
        <v>#N/A</v>
      </c>
      <c r="Z1764" s="8" t="str">
        <f t="shared" si="27"/>
        <v>FLEX</v>
      </c>
      <c r="AA1764" s="8" t="e">
        <f>+VLOOKUP(I1764,[1]SKU!$H$2:$I$97,2,0)</f>
        <v>#N/A</v>
      </c>
    </row>
    <row r="1765" spans="24:27">
      <c r="X1765" s="8" t="str">
        <f>+IFERROR(VLOOKUP(N1765,[1]Hoja1!$B$2:$F$52,4,0)*P1765,"")</f>
        <v/>
      </c>
      <c r="Y1765" s="8" t="e">
        <f>+VLOOKUP(M1765,[1]SKU!$B$3:$E$81,4,0)</f>
        <v>#N/A</v>
      </c>
      <c r="Z1765" s="8" t="str">
        <f t="shared" si="27"/>
        <v>FLEX</v>
      </c>
      <c r="AA1765" s="8" t="e">
        <f>+VLOOKUP(I1765,[1]SKU!$H$2:$I$97,2,0)</f>
        <v>#N/A</v>
      </c>
    </row>
    <row r="1766" spans="24:27">
      <c r="X1766" s="8" t="str">
        <f>+IFERROR(VLOOKUP(N1766,[1]Hoja1!$B$2:$F$52,4,0)*P1766,"")</f>
        <v/>
      </c>
      <c r="Y1766" s="8" t="e">
        <f>+VLOOKUP(M1766,[1]SKU!$B$3:$E$81,4,0)</f>
        <v>#N/A</v>
      </c>
      <c r="Z1766" s="8" t="str">
        <f t="shared" si="27"/>
        <v>FLEX</v>
      </c>
      <c r="AA1766" s="8" t="e">
        <f>+VLOOKUP(I1766,[1]SKU!$H$2:$I$97,2,0)</f>
        <v>#N/A</v>
      </c>
    </row>
    <row r="1767" spans="24:27">
      <c r="X1767" s="8" t="str">
        <f>+IFERROR(VLOOKUP(N1767,[1]Hoja1!$B$2:$F$52,4,0)*P1767,"")</f>
        <v/>
      </c>
      <c r="Y1767" s="8" t="e">
        <f>+VLOOKUP(M1767,[1]SKU!$B$3:$E$81,4,0)</f>
        <v>#N/A</v>
      </c>
      <c r="Z1767" s="8" t="str">
        <f t="shared" si="27"/>
        <v>FLEX</v>
      </c>
      <c r="AA1767" s="8" t="e">
        <f>+VLOOKUP(I1767,[1]SKU!$H$2:$I$97,2,0)</f>
        <v>#N/A</v>
      </c>
    </row>
    <row r="1768" spans="24:27">
      <c r="X1768" s="8" t="str">
        <f>+IFERROR(VLOOKUP(N1768,[1]Hoja1!$B$2:$F$52,4,0)*P1768,"")</f>
        <v/>
      </c>
      <c r="Y1768" s="8" t="e">
        <f>+VLOOKUP(M1768,[1]SKU!$B$3:$E$81,4,0)</f>
        <v>#N/A</v>
      </c>
      <c r="Z1768" s="8" t="str">
        <f t="shared" si="27"/>
        <v>FLEX</v>
      </c>
      <c r="AA1768" s="8" t="e">
        <f>+VLOOKUP(I1768,[1]SKU!$H$2:$I$97,2,0)</f>
        <v>#N/A</v>
      </c>
    </row>
    <row r="1769" spans="24:27">
      <c r="X1769" s="8" t="str">
        <f>+IFERROR(VLOOKUP(N1769,[1]Hoja1!$B$2:$F$52,4,0)*P1769,"")</f>
        <v/>
      </c>
      <c r="Y1769" s="8" t="e">
        <f>+VLOOKUP(M1769,[1]SKU!$B$3:$E$81,4,0)</f>
        <v>#N/A</v>
      </c>
      <c r="Z1769" s="8" t="str">
        <f t="shared" si="27"/>
        <v>FLEX</v>
      </c>
      <c r="AA1769" s="8" t="e">
        <f>+VLOOKUP(I1769,[1]SKU!$H$2:$I$97,2,0)</f>
        <v>#N/A</v>
      </c>
    </row>
    <row r="1770" spans="24:27">
      <c r="X1770" s="8" t="str">
        <f>+IFERROR(VLOOKUP(N1770,[1]Hoja1!$B$2:$F$52,4,0)*P1770,"")</f>
        <v/>
      </c>
      <c r="Y1770" s="8" t="e">
        <f>+VLOOKUP(M1770,[1]SKU!$B$3:$E$81,4,0)</f>
        <v>#N/A</v>
      </c>
      <c r="Z1770" s="8" t="str">
        <f t="shared" si="27"/>
        <v>FLEX</v>
      </c>
      <c r="AA1770" s="8" t="e">
        <f>+VLOOKUP(I1770,[1]SKU!$H$2:$I$97,2,0)</f>
        <v>#N/A</v>
      </c>
    </row>
    <row r="1771" spans="24:27">
      <c r="X1771" s="8" t="str">
        <f>+IFERROR(VLOOKUP(N1771,[1]Hoja1!$B$2:$F$52,4,0)*P1771,"")</f>
        <v/>
      </c>
      <c r="Y1771" s="8" t="e">
        <f>+VLOOKUP(M1771,[1]SKU!$B$3:$E$81,4,0)</f>
        <v>#N/A</v>
      </c>
      <c r="Z1771" s="8" t="str">
        <f t="shared" si="27"/>
        <v>FLEX</v>
      </c>
      <c r="AA1771" s="8" t="e">
        <f>+VLOOKUP(I1771,[1]SKU!$H$2:$I$97,2,0)</f>
        <v>#N/A</v>
      </c>
    </row>
    <row r="1772" spans="24:27">
      <c r="X1772" s="8" t="str">
        <f>+IFERROR(VLOOKUP(N1772,[1]Hoja1!$B$2:$F$52,4,0)*P1772,"")</f>
        <v/>
      </c>
      <c r="Y1772" s="8" t="e">
        <f>+VLOOKUP(M1772,[1]SKU!$B$3:$E$81,4,0)</f>
        <v>#N/A</v>
      </c>
      <c r="Z1772" s="8" t="str">
        <f t="shared" si="27"/>
        <v>FLEX</v>
      </c>
      <c r="AA1772" s="8" t="e">
        <f>+VLOOKUP(I1772,[1]SKU!$H$2:$I$97,2,0)</f>
        <v>#N/A</v>
      </c>
    </row>
    <row r="1773" spans="24:27">
      <c r="X1773" s="8" t="str">
        <f>+IFERROR(VLOOKUP(N1773,[1]Hoja1!$B$2:$F$52,4,0)*P1773,"")</f>
        <v/>
      </c>
      <c r="Y1773" s="8" t="e">
        <f>+VLOOKUP(M1773,[1]SKU!$B$3:$E$81,4,0)</f>
        <v>#N/A</v>
      </c>
      <c r="Z1773" s="8" t="str">
        <f t="shared" si="27"/>
        <v>FLEX</v>
      </c>
      <c r="AA1773" s="8" t="e">
        <f>+VLOOKUP(I1773,[1]SKU!$H$2:$I$97,2,0)</f>
        <v>#N/A</v>
      </c>
    </row>
    <row r="1774" spans="24:27">
      <c r="X1774" s="8" t="str">
        <f>+IFERROR(VLOOKUP(N1774,[1]Hoja1!$B$2:$F$52,4,0)*P1774,"")</f>
        <v/>
      </c>
      <c r="Y1774" s="8" t="e">
        <f>+VLOOKUP(M1774,[1]SKU!$B$3:$E$81,4,0)</f>
        <v>#N/A</v>
      </c>
      <c r="Z1774" s="8" t="str">
        <f t="shared" si="27"/>
        <v>FLEX</v>
      </c>
      <c r="AA1774" s="8" t="e">
        <f>+VLOOKUP(I1774,[1]SKU!$H$2:$I$97,2,0)</f>
        <v>#N/A</v>
      </c>
    </row>
    <row r="1775" spans="24:27">
      <c r="X1775" s="8" t="str">
        <f>+IFERROR(VLOOKUP(N1775,[1]Hoja1!$B$2:$F$52,4,0)*P1775,"")</f>
        <v/>
      </c>
      <c r="Y1775" s="8" t="e">
        <f>+VLOOKUP(M1775,[1]SKU!$B$3:$E$81,4,0)</f>
        <v>#N/A</v>
      </c>
      <c r="Z1775" s="8" t="str">
        <f t="shared" si="27"/>
        <v>FLEX</v>
      </c>
      <c r="AA1775" s="8" t="e">
        <f>+VLOOKUP(I1775,[1]SKU!$H$2:$I$97,2,0)</f>
        <v>#N/A</v>
      </c>
    </row>
    <row r="1776" spans="24:27">
      <c r="X1776" s="8" t="str">
        <f>+IFERROR(VLOOKUP(N1776,[1]Hoja1!$B$2:$F$52,4,0)*P1776,"")</f>
        <v/>
      </c>
      <c r="Y1776" s="8" t="e">
        <f>+VLOOKUP(M1776,[1]SKU!$B$3:$E$81,4,0)</f>
        <v>#N/A</v>
      </c>
      <c r="Z1776" s="8" t="str">
        <f t="shared" si="27"/>
        <v>FLEX</v>
      </c>
      <c r="AA1776" s="8" t="e">
        <f>+VLOOKUP(I1776,[1]SKU!$H$2:$I$97,2,0)</f>
        <v>#N/A</v>
      </c>
    </row>
    <row r="1777" spans="24:27">
      <c r="X1777" s="8" t="str">
        <f>+IFERROR(VLOOKUP(N1777,[1]Hoja1!$B$2:$F$52,4,0)*P1777,"")</f>
        <v/>
      </c>
      <c r="Y1777" s="8" t="e">
        <f>+VLOOKUP(M1777,[1]SKU!$B$3:$E$81,4,0)</f>
        <v>#N/A</v>
      </c>
      <c r="Z1777" s="8" t="str">
        <f t="shared" si="27"/>
        <v>FLEX</v>
      </c>
      <c r="AA1777" s="8" t="e">
        <f>+VLOOKUP(I1777,[1]SKU!$H$2:$I$97,2,0)</f>
        <v>#N/A</v>
      </c>
    </row>
    <row r="1778" spans="24:27">
      <c r="X1778" s="8" t="str">
        <f>+IFERROR(VLOOKUP(N1778,[1]Hoja1!$B$2:$F$52,4,0)*P1778,"")</f>
        <v/>
      </c>
      <c r="Y1778" s="8" t="e">
        <f>+VLOOKUP(M1778,[1]SKU!$B$3:$E$81,4,0)</f>
        <v>#N/A</v>
      </c>
      <c r="Z1778" s="8" t="str">
        <f t="shared" si="27"/>
        <v>FLEX</v>
      </c>
      <c r="AA1778" s="8" t="e">
        <f>+VLOOKUP(I1778,[1]SKU!$H$2:$I$97,2,0)</f>
        <v>#N/A</v>
      </c>
    </row>
    <row r="1779" spans="24:27">
      <c r="X1779" s="8" t="str">
        <f>+IFERROR(VLOOKUP(N1779,[1]Hoja1!$B$2:$F$52,4,0)*P1779,"")</f>
        <v/>
      </c>
      <c r="Y1779" s="8" t="e">
        <f>+VLOOKUP(M1779,[1]SKU!$B$3:$E$81,4,0)</f>
        <v>#N/A</v>
      </c>
      <c r="Z1779" s="8" t="str">
        <f t="shared" si="27"/>
        <v>FLEX</v>
      </c>
      <c r="AA1779" s="8" t="e">
        <f>+VLOOKUP(I1779,[1]SKU!$H$2:$I$97,2,0)</f>
        <v>#N/A</v>
      </c>
    </row>
    <row r="1780" spans="24:27">
      <c r="X1780" s="8" t="str">
        <f>+IFERROR(VLOOKUP(N1780,[1]Hoja1!$B$2:$F$52,4,0)*P1780,"")</f>
        <v/>
      </c>
      <c r="Y1780" s="8" t="e">
        <f>+VLOOKUP(M1780,[1]SKU!$B$3:$E$81,4,0)</f>
        <v>#N/A</v>
      </c>
      <c r="Z1780" s="8" t="str">
        <f t="shared" si="27"/>
        <v>FLEX</v>
      </c>
      <c r="AA1780" s="8" t="e">
        <f>+VLOOKUP(I1780,[1]SKU!$H$2:$I$97,2,0)</f>
        <v>#N/A</v>
      </c>
    </row>
    <row r="1781" spans="24:27">
      <c r="X1781" s="8" t="str">
        <f>+IFERROR(VLOOKUP(N1781,[1]Hoja1!$B$2:$F$52,4,0)*P1781,"")</f>
        <v/>
      </c>
      <c r="Y1781" s="8" t="e">
        <f>+VLOOKUP(M1781,[1]SKU!$B$3:$E$81,4,0)</f>
        <v>#N/A</v>
      </c>
      <c r="Z1781" s="8" t="str">
        <f t="shared" si="27"/>
        <v>FLEX</v>
      </c>
      <c r="AA1781" s="8" t="e">
        <f>+VLOOKUP(I1781,[1]SKU!$H$2:$I$97,2,0)</f>
        <v>#N/A</v>
      </c>
    </row>
    <row r="1782" spans="24:27">
      <c r="X1782" s="8" t="str">
        <f>+IFERROR(VLOOKUP(N1782,[1]Hoja1!$B$2:$F$52,4,0)*P1782,"")</f>
        <v/>
      </c>
      <c r="Y1782" s="8" t="e">
        <f>+VLOOKUP(M1782,[1]SKU!$B$3:$E$81,4,0)</f>
        <v>#N/A</v>
      </c>
      <c r="Z1782" s="8" t="str">
        <f t="shared" si="27"/>
        <v>FLEX</v>
      </c>
      <c r="AA1782" s="8" t="e">
        <f>+VLOOKUP(I1782,[1]SKU!$H$2:$I$97,2,0)</f>
        <v>#N/A</v>
      </c>
    </row>
    <row r="1783" spans="24:27">
      <c r="X1783" s="8" t="str">
        <f>+IFERROR(VLOOKUP(N1783,[1]Hoja1!$B$2:$F$52,4,0)*P1783,"")</f>
        <v/>
      </c>
      <c r="Y1783" s="8" t="e">
        <f>+VLOOKUP(M1783,[1]SKU!$B$3:$E$81,4,0)</f>
        <v>#N/A</v>
      </c>
      <c r="Z1783" s="8" t="str">
        <f t="shared" si="27"/>
        <v>FLEX</v>
      </c>
      <c r="AA1783" s="8" t="e">
        <f>+VLOOKUP(I1783,[1]SKU!$H$2:$I$97,2,0)</f>
        <v>#N/A</v>
      </c>
    </row>
    <row r="1784" spans="24:27">
      <c r="X1784" s="8" t="str">
        <f>+IFERROR(VLOOKUP(N1784,[1]Hoja1!$B$2:$F$52,4,0)*P1784,"")</f>
        <v/>
      </c>
      <c r="Y1784" s="8" t="e">
        <f>+VLOOKUP(M1784,[1]SKU!$B$3:$E$81,4,0)</f>
        <v>#N/A</v>
      </c>
      <c r="Z1784" s="8" t="str">
        <f t="shared" si="27"/>
        <v>FLEX</v>
      </c>
      <c r="AA1784" s="8" t="e">
        <f>+VLOOKUP(I1784,[1]SKU!$H$2:$I$97,2,0)</f>
        <v>#N/A</v>
      </c>
    </row>
    <row r="1785" spans="24:27">
      <c r="X1785" s="8" t="str">
        <f>+IFERROR(VLOOKUP(N1785,[1]Hoja1!$B$2:$F$52,4,0)*P1785,"")</f>
        <v/>
      </c>
      <c r="Y1785" s="8" t="e">
        <f>+VLOOKUP(M1785,[1]SKU!$B$3:$E$81,4,0)</f>
        <v>#N/A</v>
      </c>
      <c r="Z1785" s="8" t="str">
        <f t="shared" si="27"/>
        <v>FLEX</v>
      </c>
      <c r="AA1785" s="8" t="e">
        <f>+VLOOKUP(I1785,[1]SKU!$H$2:$I$97,2,0)</f>
        <v>#N/A</v>
      </c>
    </row>
    <row r="1786" spans="24:27">
      <c r="X1786" s="8" t="str">
        <f>+IFERROR(VLOOKUP(N1786,[1]Hoja1!$B$2:$F$52,4,0)*P1786,"")</f>
        <v/>
      </c>
      <c r="Y1786" s="8" t="e">
        <f>+VLOOKUP(M1786,[1]SKU!$B$3:$E$81,4,0)</f>
        <v>#N/A</v>
      </c>
      <c r="Z1786" s="8" t="str">
        <f t="shared" si="27"/>
        <v>FLEX</v>
      </c>
      <c r="AA1786" s="8" t="e">
        <f>+VLOOKUP(I1786,[1]SKU!$H$2:$I$97,2,0)</f>
        <v>#N/A</v>
      </c>
    </row>
    <row r="1787" spans="24:27">
      <c r="X1787" s="8" t="str">
        <f>+IFERROR(VLOOKUP(N1787,[1]Hoja1!$B$2:$F$52,4,0)*P1787,"")</f>
        <v/>
      </c>
      <c r="Y1787" s="8" t="e">
        <f>+VLOOKUP(M1787,[1]SKU!$B$3:$E$81,4,0)</f>
        <v>#N/A</v>
      </c>
      <c r="Z1787" s="8" t="str">
        <f t="shared" si="27"/>
        <v>FLEX</v>
      </c>
      <c r="AA1787" s="8" t="e">
        <f>+VLOOKUP(I1787,[1]SKU!$H$2:$I$97,2,0)</f>
        <v>#N/A</v>
      </c>
    </row>
    <row r="1788" spans="24:27">
      <c r="X1788" s="8" t="str">
        <f>+IFERROR(VLOOKUP(N1788,[1]Hoja1!$B$2:$F$52,4,0)*P1788,"")</f>
        <v/>
      </c>
      <c r="Y1788" s="8" t="e">
        <f>+VLOOKUP(M1788,[1]SKU!$B$3:$E$81,4,0)</f>
        <v>#N/A</v>
      </c>
      <c r="Z1788" s="8" t="str">
        <f t="shared" si="27"/>
        <v>FLEX</v>
      </c>
      <c r="AA1788" s="8" t="e">
        <f>+VLOOKUP(I1788,[1]SKU!$H$2:$I$97,2,0)</f>
        <v>#N/A</v>
      </c>
    </row>
    <row r="1789" spans="24:27">
      <c r="X1789" s="8" t="str">
        <f>+IFERROR(VLOOKUP(N1789,[1]Hoja1!$B$2:$F$52,4,0)*P1789,"")</f>
        <v/>
      </c>
      <c r="Y1789" s="8" t="e">
        <f>+VLOOKUP(M1789,[1]SKU!$B$3:$E$81,4,0)</f>
        <v>#N/A</v>
      </c>
      <c r="Z1789" s="8" t="str">
        <f t="shared" si="27"/>
        <v>FLEX</v>
      </c>
      <c r="AA1789" s="8" t="e">
        <f>+VLOOKUP(I1789,[1]SKU!$H$2:$I$97,2,0)</f>
        <v>#N/A</v>
      </c>
    </row>
    <row r="1790" spans="24:27">
      <c r="X1790" s="8" t="str">
        <f>+IFERROR(VLOOKUP(N1790,[1]Hoja1!$B$2:$F$52,4,0)*P1790,"")</f>
        <v/>
      </c>
      <c r="Y1790" s="8" t="e">
        <f>+VLOOKUP(M1790,[1]SKU!$B$3:$E$81,4,0)</f>
        <v>#N/A</v>
      </c>
      <c r="Z1790" s="8" t="str">
        <f t="shared" si="27"/>
        <v>FLEX</v>
      </c>
      <c r="AA1790" s="8" t="e">
        <f>+VLOOKUP(I1790,[1]SKU!$H$2:$I$97,2,0)</f>
        <v>#N/A</v>
      </c>
    </row>
    <row r="1791" spans="24:27">
      <c r="X1791" s="8" t="str">
        <f>+IFERROR(VLOOKUP(N1791,[1]Hoja1!$B$2:$F$52,4,0)*P1791,"")</f>
        <v/>
      </c>
      <c r="Y1791" s="8" t="e">
        <f>+VLOOKUP(M1791,[1]SKU!$B$3:$E$81,4,0)</f>
        <v>#N/A</v>
      </c>
      <c r="Z1791" s="8" t="str">
        <f t="shared" si="27"/>
        <v>FLEX</v>
      </c>
      <c r="AA1791" s="8" t="e">
        <f>+VLOOKUP(I1791,[1]SKU!$H$2:$I$97,2,0)</f>
        <v>#N/A</v>
      </c>
    </row>
    <row r="1792" spans="24:27">
      <c r="X1792" s="8" t="str">
        <f>+IFERROR(VLOOKUP(N1792,[1]Hoja1!$B$2:$F$52,4,0)*P1792,"")</f>
        <v/>
      </c>
      <c r="Y1792" s="8" t="e">
        <f>+VLOOKUP(M1792,[1]SKU!$B$3:$E$81,4,0)</f>
        <v>#N/A</v>
      </c>
      <c r="Z1792" s="8" t="str">
        <f t="shared" si="27"/>
        <v>FLEX</v>
      </c>
      <c r="AA1792" s="8" t="e">
        <f>+VLOOKUP(I1792,[1]SKU!$H$2:$I$97,2,0)</f>
        <v>#N/A</v>
      </c>
    </row>
    <row r="1793" spans="24:27">
      <c r="X1793" s="8" t="str">
        <f>+IFERROR(VLOOKUP(N1793,[1]Hoja1!$B$2:$F$52,4,0)*P1793,"")</f>
        <v/>
      </c>
      <c r="Y1793" s="8" t="e">
        <f>+VLOOKUP(M1793,[1]SKU!$B$3:$E$81,4,0)</f>
        <v>#N/A</v>
      </c>
      <c r="Z1793" s="8" t="str">
        <f t="shared" si="27"/>
        <v>FLEX</v>
      </c>
      <c r="AA1793" s="8" t="e">
        <f>+VLOOKUP(I1793,[1]SKU!$H$2:$I$97,2,0)</f>
        <v>#N/A</v>
      </c>
    </row>
    <row r="1794" spans="24:27">
      <c r="X1794" s="8" t="str">
        <f>+IFERROR(VLOOKUP(N1794,[1]Hoja1!$B$2:$F$52,4,0)*P1794,"")</f>
        <v/>
      </c>
      <c r="Y1794" s="8" t="e">
        <f>+VLOOKUP(M1794,[1]SKU!$B$3:$E$81,4,0)</f>
        <v>#N/A</v>
      </c>
      <c r="Z1794" s="8" t="str">
        <f t="shared" si="27"/>
        <v>FLEX</v>
      </c>
      <c r="AA1794" s="8" t="e">
        <f>+VLOOKUP(I1794,[1]SKU!$H$2:$I$97,2,0)</f>
        <v>#N/A</v>
      </c>
    </row>
    <row r="1795" spans="24:27">
      <c r="X1795" s="8" t="str">
        <f>+IFERROR(VLOOKUP(N1795,[1]Hoja1!$B$2:$F$52,4,0)*P1795,"")</f>
        <v/>
      </c>
      <c r="Y1795" s="8" t="e">
        <f>+VLOOKUP(M1795,[1]SKU!$B$3:$E$81,4,0)</f>
        <v>#N/A</v>
      </c>
      <c r="Z1795" s="8" t="str">
        <f t="shared" ref="Z1795:Z1858" si="28">+IF(J1795="VB01                          ","BEES","FLEX")</f>
        <v>FLEX</v>
      </c>
      <c r="AA1795" s="8" t="e">
        <f>+VLOOKUP(I1795,[1]SKU!$H$2:$I$97,2,0)</f>
        <v>#N/A</v>
      </c>
    </row>
    <row r="1796" spans="24:27">
      <c r="X1796" s="8" t="str">
        <f>+IFERROR(VLOOKUP(N1796,[1]Hoja1!$B$2:$F$52,4,0)*P1796,"")</f>
        <v/>
      </c>
      <c r="Y1796" s="8" t="e">
        <f>+VLOOKUP(M1796,[1]SKU!$B$3:$E$81,4,0)</f>
        <v>#N/A</v>
      </c>
      <c r="Z1796" s="8" t="str">
        <f t="shared" si="28"/>
        <v>FLEX</v>
      </c>
      <c r="AA1796" s="8" t="e">
        <f>+VLOOKUP(I1796,[1]SKU!$H$2:$I$97,2,0)</f>
        <v>#N/A</v>
      </c>
    </row>
    <row r="1797" spans="24:27">
      <c r="X1797" s="8" t="str">
        <f>+IFERROR(VLOOKUP(N1797,[1]Hoja1!$B$2:$F$52,4,0)*P1797,"")</f>
        <v/>
      </c>
      <c r="Y1797" s="8" t="e">
        <f>+VLOOKUP(M1797,[1]SKU!$B$3:$E$81,4,0)</f>
        <v>#N/A</v>
      </c>
      <c r="Z1797" s="8" t="str">
        <f t="shared" si="28"/>
        <v>FLEX</v>
      </c>
      <c r="AA1797" s="8" t="e">
        <f>+VLOOKUP(I1797,[1]SKU!$H$2:$I$97,2,0)</f>
        <v>#N/A</v>
      </c>
    </row>
    <row r="1798" spans="24:27">
      <c r="X1798" s="8" t="str">
        <f>+IFERROR(VLOOKUP(N1798,[1]Hoja1!$B$2:$F$52,4,0)*P1798,"")</f>
        <v/>
      </c>
      <c r="Y1798" s="8" t="e">
        <f>+VLOOKUP(M1798,[1]SKU!$B$3:$E$81,4,0)</f>
        <v>#N/A</v>
      </c>
      <c r="Z1798" s="8" t="str">
        <f t="shared" si="28"/>
        <v>FLEX</v>
      </c>
      <c r="AA1798" s="8" t="e">
        <f>+VLOOKUP(I1798,[1]SKU!$H$2:$I$97,2,0)</f>
        <v>#N/A</v>
      </c>
    </row>
    <row r="1799" spans="24:27">
      <c r="X1799" s="8" t="str">
        <f>+IFERROR(VLOOKUP(N1799,[1]Hoja1!$B$2:$F$52,4,0)*P1799,"")</f>
        <v/>
      </c>
      <c r="Y1799" s="8" t="e">
        <f>+VLOOKUP(M1799,[1]SKU!$B$3:$E$81,4,0)</f>
        <v>#N/A</v>
      </c>
      <c r="Z1799" s="8" t="str">
        <f t="shared" si="28"/>
        <v>FLEX</v>
      </c>
      <c r="AA1799" s="8" t="e">
        <f>+VLOOKUP(I1799,[1]SKU!$H$2:$I$97,2,0)</f>
        <v>#N/A</v>
      </c>
    </row>
    <row r="1800" spans="24:27">
      <c r="X1800" s="8" t="str">
        <f>+IFERROR(VLOOKUP(N1800,[1]Hoja1!$B$2:$F$52,4,0)*P1800,"")</f>
        <v/>
      </c>
      <c r="Y1800" s="8" t="e">
        <f>+VLOOKUP(M1800,[1]SKU!$B$3:$E$81,4,0)</f>
        <v>#N/A</v>
      </c>
      <c r="Z1800" s="8" t="str">
        <f t="shared" si="28"/>
        <v>FLEX</v>
      </c>
      <c r="AA1800" s="8" t="e">
        <f>+VLOOKUP(I1800,[1]SKU!$H$2:$I$97,2,0)</f>
        <v>#N/A</v>
      </c>
    </row>
    <row r="1801" spans="24:27">
      <c r="X1801" s="8" t="str">
        <f>+IFERROR(VLOOKUP(N1801,[1]Hoja1!$B$2:$F$52,4,0)*P1801,"")</f>
        <v/>
      </c>
      <c r="Y1801" s="8" t="e">
        <f>+VLOOKUP(M1801,[1]SKU!$B$3:$E$81,4,0)</f>
        <v>#N/A</v>
      </c>
      <c r="Z1801" s="8" t="str">
        <f t="shared" si="28"/>
        <v>FLEX</v>
      </c>
      <c r="AA1801" s="8" t="e">
        <f>+VLOOKUP(I1801,[1]SKU!$H$2:$I$97,2,0)</f>
        <v>#N/A</v>
      </c>
    </row>
    <row r="1802" spans="24:27">
      <c r="X1802" s="8" t="str">
        <f>+IFERROR(VLOOKUP(N1802,[1]Hoja1!$B$2:$F$52,4,0)*P1802,"")</f>
        <v/>
      </c>
      <c r="Y1802" s="8" t="e">
        <f>+VLOOKUP(M1802,[1]SKU!$B$3:$E$81,4,0)</f>
        <v>#N/A</v>
      </c>
      <c r="Z1802" s="8" t="str">
        <f t="shared" si="28"/>
        <v>FLEX</v>
      </c>
      <c r="AA1802" s="8" t="e">
        <f>+VLOOKUP(I1802,[1]SKU!$H$2:$I$97,2,0)</f>
        <v>#N/A</v>
      </c>
    </row>
    <row r="1803" spans="24:27">
      <c r="X1803" s="8" t="str">
        <f>+IFERROR(VLOOKUP(N1803,[1]Hoja1!$B$2:$F$52,4,0)*P1803,"")</f>
        <v/>
      </c>
      <c r="Y1803" s="8" t="e">
        <f>+VLOOKUP(M1803,[1]SKU!$B$3:$E$81,4,0)</f>
        <v>#N/A</v>
      </c>
      <c r="Z1803" s="8" t="str">
        <f t="shared" si="28"/>
        <v>FLEX</v>
      </c>
      <c r="AA1803" s="8" t="e">
        <f>+VLOOKUP(I1803,[1]SKU!$H$2:$I$97,2,0)</f>
        <v>#N/A</v>
      </c>
    </row>
    <row r="1804" spans="24:27">
      <c r="X1804" s="8" t="str">
        <f>+IFERROR(VLOOKUP(N1804,[1]Hoja1!$B$2:$F$52,4,0)*P1804,"")</f>
        <v/>
      </c>
      <c r="Y1804" s="8" t="e">
        <f>+VLOOKUP(M1804,[1]SKU!$B$3:$E$81,4,0)</f>
        <v>#N/A</v>
      </c>
      <c r="Z1804" s="8" t="str">
        <f t="shared" si="28"/>
        <v>FLEX</v>
      </c>
      <c r="AA1804" s="8" t="e">
        <f>+VLOOKUP(I1804,[1]SKU!$H$2:$I$97,2,0)</f>
        <v>#N/A</v>
      </c>
    </row>
    <row r="1805" spans="24:27">
      <c r="X1805" s="8" t="str">
        <f>+IFERROR(VLOOKUP(N1805,[1]Hoja1!$B$2:$F$52,4,0)*P1805,"")</f>
        <v/>
      </c>
      <c r="Y1805" s="8" t="e">
        <f>+VLOOKUP(M1805,[1]SKU!$B$3:$E$81,4,0)</f>
        <v>#N/A</v>
      </c>
      <c r="Z1805" s="8" t="str">
        <f t="shared" si="28"/>
        <v>FLEX</v>
      </c>
      <c r="AA1805" s="8" t="e">
        <f>+VLOOKUP(I1805,[1]SKU!$H$2:$I$97,2,0)</f>
        <v>#N/A</v>
      </c>
    </row>
    <row r="1806" spans="24:27">
      <c r="X1806" s="8" t="str">
        <f>+IFERROR(VLOOKUP(N1806,[1]Hoja1!$B$2:$F$52,4,0)*P1806,"")</f>
        <v/>
      </c>
      <c r="Y1806" s="8" t="e">
        <f>+VLOOKUP(M1806,[1]SKU!$B$3:$E$81,4,0)</f>
        <v>#N/A</v>
      </c>
      <c r="Z1806" s="8" t="str">
        <f t="shared" si="28"/>
        <v>FLEX</v>
      </c>
      <c r="AA1806" s="8" t="e">
        <f>+VLOOKUP(I1806,[1]SKU!$H$2:$I$97,2,0)</f>
        <v>#N/A</v>
      </c>
    </row>
    <row r="1807" spans="24:27">
      <c r="X1807" s="8" t="str">
        <f>+IFERROR(VLOOKUP(N1807,[1]Hoja1!$B$2:$F$52,4,0)*P1807,"")</f>
        <v/>
      </c>
      <c r="Y1807" s="8" t="e">
        <f>+VLOOKUP(M1807,[1]SKU!$B$3:$E$81,4,0)</f>
        <v>#N/A</v>
      </c>
      <c r="Z1807" s="8" t="str">
        <f t="shared" si="28"/>
        <v>FLEX</v>
      </c>
      <c r="AA1807" s="8" t="e">
        <f>+VLOOKUP(I1807,[1]SKU!$H$2:$I$97,2,0)</f>
        <v>#N/A</v>
      </c>
    </row>
    <row r="1808" spans="24:27">
      <c r="X1808" s="8" t="str">
        <f>+IFERROR(VLOOKUP(N1808,[1]Hoja1!$B$2:$F$52,4,0)*P1808,"")</f>
        <v/>
      </c>
      <c r="Y1808" s="8" t="e">
        <f>+VLOOKUP(M1808,[1]SKU!$B$3:$E$81,4,0)</f>
        <v>#N/A</v>
      </c>
      <c r="Z1808" s="8" t="str">
        <f t="shared" si="28"/>
        <v>FLEX</v>
      </c>
      <c r="AA1808" s="8" t="e">
        <f>+VLOOKUP(I1808,[1]SKU!$H$2:$I$97,2,0)</f>
        <v>#N/A</v>
      </c>
    </row>
    <row r="1809" spans="24:27">
      <c r="X1809" s="8" t="str">
        <f>+IFERROR(VLOOKUP(N1809,[1]Hoja1!$B$2:$F$52,4,0)*P1809,"")</f>
        <v/>
      </c>
      <c r="Y1809" s="8" t="e">
        <f>+VLOOKUP(M1809,[1]SKU!$B$3:$E$81,4,0)</f>
        <v>#N/A</v>
      </c>
      <c r="Z1809" s="8" t="str">
        <f t="shared" si="28"/>
        <v>FLEX</v>
      </c>
      <c r="AA1809" s="8" t="e">
        <f>+VLOOKUP(I1809,[1]SKU!$H$2:$I$97,2,0)</f>
        <v>#N/A</v>
      </c>
    </row>
    <row r="1810" spans="24:27">
      <c r="X1810" s="8" t="str">
        <f>+IFERROR(VLOOKUP(N1810,[1]Hoja1!$B$2:$F$52,4,0)*P1810,"")</f>
        <v/>
      </c>
      <c r="Y1810" s="8" t="e">
        <f>+VLOOKUP(M1810,[1]SKU!$B$3:$E$81,4,0)</f>
        <v>#N/A</v>
      </c>
      <c r="Z1810" s="8" t="str">
        <f t="shared" si="28"/>
        <v>FLEX</v>
      </c>
      <c r="AA1810" s="8" t="e">
        <f>+VLOOKUP(I1810,[1]SKU!$H$2:$I$97,2,0)</f>
        <v>#N/A</v>
      </c>
    </row>
    <row r="1811" spans="24:27">
      <c r="X1811" s="8" t="str">
        <f>+IFERROR(VLOOKUP(N1811,[1]Hoja1!$B$2:$F$52,4,0)*P1811,"")</f>
        <v/>
      </c>
      <c r="Y1811" s="8" t="e">
        <f>+VLOOKUP(M1811,[1]SKU!$B$3:$E$81,4,0)</f>
        <v>#N/A</v>
      </c>
      <c r="Z1811" s="8" t="str">
        <f t="shared" si="28"/>
        <v>FLEX</v>
      </c>
      <c r="AA1811" s="8" t="e">
        <f>+VLOOKUP(I1811,[1]SKU!$H$2:$I$97,2,0)</f>
        <v>#N/A</v>
      </c>
    </row>
    <row r="1812" spans="24:27">
      <c r="X1812" s="8" t="str">
        <f>+IFERROR(VLOOKUP(N1812,[1]Hoja1!$B$2:$F$52,4,0)*P1812,"")</f>
        <v/>
      </c>
      <c r="Y1812" s="8" t="e">
        <f>+VLOOKUP(M1812,[1]SKU!$B$3:$E$81,4,0)</f>
        <v>#N/A</v>
      </c>
      <c r="Z1812" s="8" t="str">
        <f t="shared" si="28"/>
        <v>FLEX</v>
      </c>
      <c r="AA1812" s="8" t="e">
        <f>+VLOOKUP(I1812,[1]SKU!$H$2:$I$97,2,0)</f>
        <v>#N/A</v>
      </c>
    </row>
    <row r="1813" spans="24:27">
      <c r="X1813" s="8" t="str">
        <f>+IFERROR(VLOOKUP(N1813,[1]Hoja1!$B$2:$F$52,4,0)*P1813,"")</f>
        <v/>
      </c>
      <c r="Y1813" s="8" t="e">
        <f>+VLOOKUP(M1813,[1]SKU!$B$3:$E$81,4,0)</f>
        <v>#N/A</v>
      </c>
      <c r="Z1813" s="8" t="str">
        <f t="shared" si="28"/>
        <v>FLEX</v>
      </c>
      <c r="AA1813" s="8" t="e">
        <f>+VLOOKUP(I1813,[1]SKU!$H$2:$I$97,2,0)</f>
        <v>#N/A</v>
      </c>
    </row>
    <row r="1814" spans="24:27">
      <c r="X1814" s="8" t="str">
        <f>+IFERROR(VLOOKUP(N1814,[1]Hoja1!$B$2:$F$52,4,0)*P1814,"")</f>
        <v/>
      </c>
      <c r="Y1814" s="8" t="e">
        <f>+VLOOKUP(M1814,[1]SKU!$B$3:$E$81,4,0)</f>
        <v>#N/A</v>
      </c>
      <c r="Z1814" s="8" t="str">
        <f t="shared" si="28"/>
        <v>FLEX</v>
      </c>
      <c r="AA1814" s="8" t="e">
        <f>+VLOOKUP(I1814,[1]SKU!$H$2:$I$97,2,0)</f>
        <v>#N/A</v>
      </c>
    </row>
    <row r="1815" spans="24:27">
      <c r="X1815" s="8" t="str">
        <f>+IFERROR(VLOOKUP(N1815,[1]Hoja1!$B$2:$F$52,4,0)*P1815,"")</f>
        <v/>
      </c>
      <c r="Y1815" s="8" t="e">
        <f>+VLOOKUP(M1815,[1]SKU!$B$3:$E$81,4,0)</f>
        <v>#N/A</v>
      </c>
      <c r="Z1815" s="8" t="str">
        <f t="shared" si="28"/>
        <v>FLEX</v>
      </c>
      <c r="AA1815" s="8" t="e">
        <f>+VLOOKUP(I1815,[1]SKU!$H$2:$I$97,2,0)</f>
        <v>#N/A</v>
      </c>
    </row>
    <row r="1816" spans="24:27">
      <c r="X1816" s="8" t="str">
        <f>+IFERROR(VLOOKUP(N1816,[1]Hoja1!$B$2:$F$52,4,0)*P1816,"")</f>
        <v/>
      </c>
      <c r="Y1816" s="8" t="e">
        <f>+VLOOKUP(M1816,[1]SKU!$B$3:$E$81,4,0)</f>
        <v>#N/A</v>
      </c>
      <c r="Z1816" s="8" t="str">
        <f t="shared" si="28"/>
        <v>FLEX</v>
      </c>
      <c r="AA1816" s="8" t="e">
        <f>+VLOOKUP(I1816,[1]SKU!$H$2:$I$97,2,0)</f>
        <v>#N/A</v>
      </c>
    </row>
    <row r="1817" spans="24:27">
      <c r="X1817" s="8" t="str">
        <f>+IFERROR(VLOOKUP(N1817,[1]Hoja1!$B$2:$F$52,4,0)*P1817,"")</f>
        <v/>
      </c>
      <c r="Y1817" s="8" t="e">
        <f>+VLOOKUP(M1817,[1]SKU!$B$3:$E$81,4,0)</f>
        <v>#N/A</v>
      </c>
      <c r="Z1817" s="8" t="str">
        <f t="shared" si="28"/>
        <v>FLEX</v>
      </c>
      <c r="AA1817" s="8" t="e">
        <f>+VLOOKUP(I1817,[1]SKU!$H$2:$I$97,2,0)</f>
        <v>#N/A</v>
      </c>
    </row>
    <row r="1818" spans="24:27">
      <c r="X1818" s="8" t="str">
        <f>+IFERROR(VLOOKUP(N1818,[1]Hoja1!$B$2:$F$52,4,0)*P1818,"")</f>
        <v/>
      </c>
      <c r="Y1818" s="8" t="e">
        <f>+VLOOKUP(M1818,[1]SKU!$B$3:$E$81,4,0)</f>
        <v>#N/A</v>
      </c>
      <c r="Z1818" s="8" t="str">
        <f t="shared" si="28"/>
        <v>FLEX</v>
      </c>
      <c r="AA1818" s="8" t="e">
        <f>+VLOOKUP(I1818,[1]SKU!$H$2:$I$97,2,0)</f>
        <v>#N/A</v>
      </c>
    </row>
    <row r="1819" spans="24:27">
      <c r="X1819" s="8" t="str">
        <f>+IFERROR(VLOOKUP(N1819,[1]Hoja1!$B$2:$F$52,4,0)*P1819,"")</f>
        <v/>
      </c>
      <c r="Y1819" s="8" t="e">
        <f>+VLOOKUP(M1819,[1]SKU!$B$3:$E$81,4,0)</f>
        <v>#N/A</v>
      </c>
      <c r="Z1819" s="8" t="str">
        <f t="shared" si="28"/>
        <v>FLEX</v>
      </c>
      <c r="AA1819" s="8" t="e">
        <f>+VLOOKUP(I1819,[1]SKU!$H$2:$I$97,2,0)</f>
        <v>#N/A</v>
      </c>
    </row>
    <row r="1820" spans="24:27">
      <c r="X1820" s="8" t="str">
        <f>+IFERROR(VLOOKUP(N1820,[1]Hoja1!$B$2:$F$52,4,0)*P1820,"")</f>
        <v/>
      </c>
      <c r="Y1820" s="8" t="e">
        <f>+VLOOKUP(M1820,[1]SKU!$B$3:$E$81,4,0)</f>
        <v>#N/A</v>
      </c>
      <c r="Z1820" s="8" t="str">
        <f t="shared" si="28"/>
        <v>FLEX</v>
      </c>
      <c r="AA1820" s="8" t="e">
        <f>+VLOOKUP(I1820,[1]SKU!$H$2:$I$97,2,0)</f>
        <v>#N/A</v>
      </c>
    </row>
    <row r="1821" spans="24:27">
      <c r="X1821" s="8" t="str">
        <f>+IFERROR(VLOOKUP(N1821,[1]Hoja1!$B$2:$F$52,4,0)*P1821,"")</f>
        <v/>
      </c>
      <c r="Y1821" s="8" t="e">
        <f>+VLOOKUP(M1821,[1]SKU!$B$3:$E$81,4,0)</f>
        <v>#N/A</v>
      </c>
      <c r="Z1821" s="8" t="str">
        <f t="shared" si="28"/>
        <v>FLEX</v>
      </c>
      <c r="AA1821" s="8" t="e">
        <f>+VLOOKUP(I1821,[1]SKU!$H$2:$I$97,2,0)</f>
        <v>#N/A</v>
      </c>
    </row>
    <row r="1822" spans="24:27">
      <c r="X1822" s="8" t="str">
        <f>+IFERROR(VLOOKUP(N1822,[1]Hoja1!$B$2:$F$52,4,0)*P1822,"")</f>
        <v/>
      </c>
      <c r="Y1822" s="8" t="e">
        <f>+VLOOKUP(M1822,[1]SKU!$B$3:$E$81,4,0)</f>
        <v>#N/A</v>
      </c>
      <c r="Z1822" s="8" t="str">
        <f t="shared" si="28"/>
        <v>FLEX</v>
      </c>
      <c r="AA1822" s="8" t="e">
        <f>+VLOOKUP(I1822,[1]SKU!$H$2:$I$97,2,0)</f>
        <v>#N/A</v>
      </c>
    </row>
    <row r="1823" spans="24:27">
      <c r="X1823" s="8" t="str">
        <f>+IFERROR(VLOOKUP(N1823,[1]Hoja1!$B$2:$F$52,4,0)*P1823,"")</f>
        <v/>
      </c>
      <c r="Y1823" s="8" t="e">
        <f>+VLOOKUP(M1823,[1]SKU!$B$3:$E$81,4,0)</f>
        <v>#N/A</v>
      </c>
      <c r="Z1823" s="8" t="str">
        <f t="shared" si="28"/>
        <v>FLEX</v>
      </c>
      <c r="AA1823" s="8" t="e">
        <f>+VLOOKUP(I1823,[1]SKU!$H$2:$I$97,2,0)</f>
        <v>#N/A</v>
      </c>
    </row>
    <row r="1824" spans="24:27">
      <c r="X1824" s="8" t="str">
        <f>+IFERROR(VLOOKUP(N1824,[1]Hoja1!$B$2:$F$52,4,0)*P1824,"")</f>
        <v/>
      </c>
      <c r="Y1824" s="8" t="e">
        <f>+VLOOKUP(M1824,[1]SKU!$B$3:$E$81,4,0)</f>
        <v>#N/A</v>
      </c>
      <c r="Z1824" s="8" t="str">
        <f t="shared" si="28"/>
        <v>FLEX</v>
      </c>
      <c r="AA1824" s="8" t="e">
        <f>+VLOOKUP(I1824,[1]SKU!$H$2:$I$97,2,0)</f>
        <v>#N/A</v>
      </c>
    </row>
    <row r="1825" spans="24:27">
      <c r="X1825" s="8" t="str">
        <f>+IFERROR(VLOOKUP(N1825,[1]Hoja1!$B$2:$F$52,4,0)*P1825,"")</f>
        <v/>
      </c>
      <c r="Y1825" s="8" t="e">
        <f>+VLOOKUP(M1825,[1]SKU!$B$3:$E$81,4,0)</f>
        <v>#N/A</v>
      </c>
      <c r="Z1825" s="8" t="str">
        <f t="shared" si="28"/>
        <v>FLEX</v>
      </c>
      <c r="AA1825" s="8" t="e">
        <f>+VLOOKUP(I1825,[1]SKU!$H$2:$I$97,2,0)</f>
        <v>#N/A</v>
      </c>
    </row>
    <row r="1826" spans="24:27">
      <c r="X1826" s="8" t="str">
        <f>+IFERROR(VLOOKUP(N1826,[1]Hoja1!$B$2:$F$52,4,0)*P1826,"")</f>
        <v/>
      </c>
      <c r="Y1826" s="8" t="e">
        <f>+VLOOKUP(M1826,[1]SKU!$B$3:$E$81,4,0)</f>
        <v>#N/A</v>
      </c>
      <c r="Z1826" s="8" t="str">
        <f t="shared" si="28"/>
        <v>FLEX</v>
      </c>
      <c r="AA1826" s="8" t="e">
        <f>+VLOOKUP(I1826,[1]SKU!$H$2:$I$97,2,0)</f>
        <v>#N/A</v>
      </c>
    </row>
    <row r="1827" spans="24:27">
      <c r="X1827" s="8" t="str">
        <f>+IFERROR(VLOOKUP(N1827,[1]Hoja1!$B$2:$F$52,4,0)*P1827,"")</f>
        <v/>
      </c>
      <c r="Y1827" s="8" t="e">
        <f>+VLOOKUP(M1827,[1]SKU!$B$3:$E$81,4,0)</f>
        <v>#N/A</v>
      </c>
      <c r="Z1827" s="8" t="str">
        <f t="shared" si="28"/>
        <v>FLEX</v>
      </c>
      <c r="AA1827" s="8" t="e">
        <f>+VLOOKUP(I1827,[1]SKU!$H$2:$I$97,2,0)</f>
        <v>#N/A</v>
      </c>
    </row>
    <row r="1828" spans="24:27">
      <c r="X1828" s="8" t="str">
        <f>+IFERROR(VLOOKUP(N1828,[1]Hoja1!$B$2:$F$52,4,0)*P1828,"")</f>
        <v/>
      </c>
      <c r="Y1828" s="8" t="e">
        <f>+VLOOKUP(M1828,[1]SKU!$B$3:$E$81,4,0)</f>
        <v>#N/A</v>
      </c>
      <c r="Z1828" s="8" t="str">
        <f t="shared" si="28"/>
        <v>FLEX</v>
      </c>
      <c r="AA1828" s="8" t="e">
        <f>+VLOOKUP(I1828,[1]SKU!$H$2:$I$97,2,0)</f>
        <v>#N/A</v>
      </c>
    </row>
    <row r="1829" spans="24:27">
      <c r="X1829" s="8" t="str">
        <f>+IFERROR(VLOOKUP(N1829,[1]Hoja1!$B$2:$F$52,4,0)*P1829,"")</f>
        <v/>
      </c>
      <c r="Y1829" s="8" t="e">
        <f>+VLOOKUP(M1829,[1]SKU!$B$3:$E$81,4,0)</f>
        <v>#N/A</v>
      </c>
      <c r="Z1829" s="8" t="str">
        <f t="shared" si="28"/>
        <v>FLEX</v>
      </c>
      <c r="AA1829" s="8" t="e">
        <f>+VLOOKUP(I1829,[1]SKU!$H$2:$I$97,2,0)</f>
        <v>#N/A</v>
      </c>
    </row>
    <row r="1830" spans="24:27">
      <c r="X1830" s="8" t="str">
        <f>+IFERROR(VLOOKUP(N1830,[1]Hoja1!$B$2:$F$52,4,0)*P1830,"")</f>
        <v/>
      </c>
      <c r="Y1830" s="8" t="e">
        <f>+VLOOKUP(M1830,[1]SKU!$B$3:$E$81,4,0)</f>
        <v>#N/A</v>
      </c>
      <c r="Z1830" s="8" t="str">
        <f t="shared" si="28"/>
        <v>FLEX</v>
      </c>
      <c r="AA1830" s="8" t="e">
        <f>+VLOOKUP(I1830,[1]SKU!$H$2:$I$97,2,0)</f>
        <v>#N/A</v>
      </c>
    </row>
    <row r="1831" spans="24:27">
      <c r="X1831" s="8" t="str">
        <f>+IFERROR(VLOOKUP(N1831,[1]Hoja1!$B$2:$F$52,4,0)*P1831,"")</f>
        <v/>
      </c>
      <c r="Y1831" s="8" t="e">
        <f>+VLOOKUP(M1831,[1]SKU!$B$3:$E$81,4,0)</f>
        <v>#N/A</v>
      </c>
      <c r="Z1831" s="8" t="str">
        <f t="shared" si="28"/>
        <v>FLEX</v>
      </c>
      <c r="AA1831" s="8" t="e">
        <f>+VLOOKUP(I1831,[1]SKU!$H$2:$I$97,2,0)</f>
        <v>#N/A</v>
      </c>
    </row>
    <row r="1832" spans="24:27">
      <c r="X1832" s="8" t="str">
        <f>+IFERROR(VLOOKUP(N1832,[1]Hoja1!$B$2:$F$52,4,0)*P1832,"")</f>
        <v/>
      </c>
      <c r="Y1832" s="8" t="e">
        <f>+VLOOKUP(M1832,[1]SKU!$B$3:$E$81,4,0)</f>
        <v>#N/A</v>
      </c>
      <c r="Z1832" s="8" t="str">
        <f t="shared" si="28"/>
        <v>FLEX</v>
      </c>
      <c r="AA1832" s="8" t="e">
        <f>+VLOOKUP(I1832,[1]SKU!$H$2:$I$97,2,0)</f>
        <v>#N/A</v>
      </c>
    </row>
    <row r="1833" spans="24:27">
      <c r="X1833" s="8" t="str">
        <f>+IFERROR(VLOOKUP(N1833,[1]Hoja1!$B$2:$F$52,4,0)*P1833,"")</f>
        <v/>
      </c>
      <c r="Y1833" s="8" t="e">
        <f>+VLOOKUP(M1833,[1]SKU!$B$3:$E$81,4,0)</f>
        <v>#N/A</v>
      </c>
      <c r="Z1833" s="8" t="str">
        <f t="shared" si="28"/>
        <v>FLEX</v>
      </c>
      <c r="AA1833" s="8" t="e">
        <f>+VLOOKUP(I1833,[1]SKU!$H$2:$I$97,2,0)</f>
        <v>#N/A</v>
      </c>
    </row>
    <row r="1834" spans="24:27">
      <c r="X1834" s="8" t="str">
        <f>+IFERROR(VLOOKUP(N1834,[1]Hoja1!$B$2:$F$52,4,0)*P1834,"")</f>
        <v/>
      </c>
      <c r="Y1834" s="8" t="e">
        <f>+VLOOKUP(M1834,[1]SKU!$B$3:$E$81,4,0)</f>
        <v>#N/A</v>
      </c>
      <c r="Z1834" s="8" t="str">
        <f t="shared" si="28"/>
        <v>FLEX</v>
      </c>
      <c r="AA1834" s="8" t="e">
        <f>+VLOOKUP(I1834,[1]SKU!$H$2:$I$97,2,0)</f>
        <v>#N/A</v>
      </c>
    </row>
    <row r="1835" spans="24:27">
      <c r="X1835" s="8" t="str">
        <f>+IFERROR(VLOOKUP(N1835,[1]Hoja1!$B$2:$F$52,4,0)*P1835,"")</f>
        <v/>
      </c>
      <c r="Y1835" s="8" t="e">
        <f>+VLOOKUP(M1835,[1]SKU!$B$3:$E$81,4,0)</f>
        <v>#N/A</v>
      </c>
      <c r="Z1835" s="8" t="str">
        <f t="shared" si="28"/>
        <v>FLEX</v>
      </c>
      <c r="AA1835" s="8" t="e">
        <f>+VLOOKUP(I1835,[1]SKU!$H$2:$I$97,2,0)</f>
        <v>#N/A</v>
      </c>
    </row>
    <row r="1836" spans="24:27">
      <c r="X1836" s="8" t="str">
        <f>+IFERROR(VLOOKUP(N1836,[1]Hoja1!$B$2:$F$52,4,0)*P1836,"")</f>
        <v/>
      </c>
      <c r="Y1836" s="8" t="e">
        <f>+VLOOKUP(M1836,[1]SKU!$B$3:$E$81,4,0)</f>
        <v>#N/A</v>
      </c>
      <c r="Z1836" s="8" t="str">
        <f t="shared" si="28"/>
        <v>FLEX</v>
      </c>
      <c r="AA1836" s="8" t="e">
        <f>+VLOOKUP(I1836,[1]SKU!$H$2:$I$97,2,0)</f>
        <v>#N/A</v>
      </c>
    </row>
    <row r="1837" spans="24:27">
      <c r="X1837" s="8" t="str">
        <f>+IFERROR(VLOOKUP(N1837,[1]Hoja1!$B$2:$F$52,4,0)*P1837,"")</f>
        <v/>
      </c>
      <c r="Y1837" s="8" t="e">
        <f>+VLOOKUP(M1837,[1]SKU!$B$3:$E$81,4,0)</f>
        <v>#N/A</v>
      </c>
      <c r="Z1837" s="8" t="str">
        <f t="shared" si="28"/>
        <v>FLEX</v>
      </c>
      <c r="AA1837" s="8" t="e">
        <f>+VLOOKUP(I1837,[1]SKU!$H$2:$I$97,2,0)</f>
        <v>#N/A</v>
      </c>
    </row>
    <row r="1838" spans="24:27">
      <c r="X1838" s="8" t="str">
        <f>+IFERROR(VLOOKUP(N1838,[1]Hoja1!$B$2:$F$52,4,0)*P1838,"")</f>
        <v/>
      </c>
      <c r="Y1838" s="8" t="e">
        <f>+VLOOKUP(M1838,[1]SKU!$B$3:$E$81,4,0)</f>
        <v>#N/A</v>
      </c>
      <c r="Z1838" s="8" t="str">
        <f t="shared" si="28"/>
        <v>FLEX</v>
      </c>
      <c r="AA1838" s="8" t="e">
        <f>+VLOOKUP(I1838,[1]SKU!$H$2:$I$97,2,0)</f>
        <v>#N/A</v>
      </c>
    </row>
    <row r="1839" spans="24:27">
      <c r="X1839" s="8" t="str">
        <f>+IFERROR(VLOOKUP(N1839,[1]Hoja1!$B$2:$F$52,4,0)*P1839,"")</f>
        <v/>
      </c>
      <c r="Y1839" s="8" t="e">
        <f>+VLOOKUP(M1839,[1]SKU!$B$3:$E$81,4,0)</f>
        <v>#N/A</v>
      </c>
      <c r="Z1839" s="8" t="str">
        <f t="shared" si="28"/>
        <v>FLEX</v>
      </c>
      <c r="AA1839" s="8" t="e">
        <f>+VLOOKUP(I1839,[1]SKU!$H$2:$I$97,2,0)</f>
        <v>#N/A</v>
      </c>
    </row>
    <row r="1840" spans="24:27">
      <c r="X1840" s="8" t="str">
        <f>+IFERROR(VLOOKUP(N1840,[1]Hoja1!$B$2:$F$52,4,0)*P1840,"")</f>
        <v/>
      </c>
      <c r="Y1840" s="8" t="e">
        <f>+VLOOKUP(M1840,[1]SKU!$B$3:$E$81,4,0)</f>
        <v>#N/A</v>
      </c>
      <c r="Z1840" s="8" t="str">
        <f t="shared" si="28"/>
        <v>FLEX</v>
      </c>
      <c r="AA1840" s="8" t="e">
        <f>+VLOOKUP(I1840,[1]SKU!$H$2:$I$97,2,0)</f>
        <v>#N/A</v>
      </c>
    </row>
    <row r="1841" spans="24:27">
      <c r="X1841" s="8" t="str">
        <f>+IFERROR(VLOOKUP(N1841,[1]Hoja1!$B$2:$F$52,4,0)*P1841,"")</f>
        <v/>
      </c>
      <c r="Y1841" s="8" t="e">
        <f>+VLOOKUP(M1841,[1]SKU!$B$3:$E$81,4,0)</f>
        <v>#N/A</v>
      </c>
      <c r="Z1841" s="8" t="str">
        <f t="shared" si="28"/>
        <v>FLEX</v>
      </c>
      <c r="AA1841" s="8" t="e">
        <f>+VLOOKUP(I1841,[1]SKU!$H$2:$I$97,2,0)</f>
        <v>#N/A</v>
      </c>
    </row>
    <row r="1842" spans="24:27">
      <c r="X1842" s="8" t="str">
        <f>+IFERROR(VLOOKUP(N1842,[1]Hoja1!$B$2:$F$52,4,0)*P1842,"")</f>
        <v/>
      </c>
      <c r="Y1842" s="8" t="e">
        <f>+VLOOKUP(M1842,[1]SKU!$B$3:$E$81,4,0)</f>
        <v>#N/A</v>
      </c>
      <c r="Z1842" s="8" t="str">
        <f t="shared" si="28"/>
        <v>FLEX</v>
      </c>
      <c r="AA1842" s="8" t="e">
        <f>+VLOOKUP(I1842,[1]SKU!$H$2:$I$97,2,0)</f>
        <v>#N/A</v>
      </c>
    </row>
    <row r="1843" spans="24:27">
      <c r="X1843" s="8" t="str">
        <f>+IFERROR(VLOOKUP(N1843,[1]Hoja1!$B$2:$F$52,4,0)*P1843,"")</f>
        <v/>
      </c>
      <c r="Y1843" s="8" t="e">
        <f>+VLOOKUP(M1843,[1]SKU!$B$3:$E$81,4,0)</f>
        <v>#N/A</v>
      </c>
      <c r="Z1843" s="8" t="str">
        <f t="shared" si="28"/>
        <v>FLEX</v>
      </c>
      <c r="AA1843" s="8" t="e">
        <f>+VLOOKUP(I1843,[1]SKU!$H$2:$I$97,2,0)</f>
        <v>#N/A</v>
      </c>
    </row>
    <row r="1844" spans="24:27">
      <c r="X1844" s="8" t="str">
        <f>+IFERROR(VLOOKUP(N1844,[1]Hoja1!$B$2:$F$52,4,0)*P1844,"")</f>
        <v/>
      </c>
      <c r="Y1844" s="8" t="e">
        <f>+VLOOKUP(M1844,[1]SKU!$B$3:$E$81,4,0)</f>
        <v>#N/A</v>
      </c>
      <c r="Z1844" s="8" t="str">
        <f t="shared" si="28"/>
        <v>FLEX</v>
      </c>
      <c r="AA1844" s="8" t="e">
        <f>+VLOOKUP(I1844,[1]SKU!$H$2:$I$97,2,0)</f>
        <v>#N/A</v>
      </c>
    </row>
    <row r="1845" spans="24:27">
      <c r="X1845" s="8" t="str">
        <f>+IFERROR(VLOOKUP(N1845,[1]Hoja1!$B$2:$F$52,4,0)*P1845,"")</f>
        <v/>
      </c>
      <c r="Y1845" s="8" t="e">
        <f>+VLOOKUP(M1845,[1]SKU!$B$3:$E$81,4,0)</f>
        <v>#N/A</v>
      </c>
      <c r="Z1845" s="8" t="str">
        <f t="shared" si="28"/>
        <v>FLEX</v>
      </c>
      <c r="AA1845" s="8" t="e">
        <f>+VLOOKUP(I1845,[1]SKU!$H$2:$I$97,2,0)</f>
        <v>#N/A</v>
      </c>
    </row>
    <row r="1846" spans="24:27">
      <c r="X1846" s="8" t="str">
        <f>+IFERROR(VLOOKUP(N1846,[1]Hoja1!$B$2:$F$52,4,0)*P1846,"")</f>
        <v/>
      </c>
      <c r="Y1846" s="8" t="e">
        <f>+VLOOKUP(M1846,[1]SKU!$B$3:$E$81,4,0)</f>
        <v>#N/A</v>
      </c>
      <c r="Z1846" s="8" t="str">
        <f t="shared" si="28"/>
        <v>FLEX</v>
      </c>
      <c r="AA1846" s="8" t="e">
        <f>+VLOOKUP(I1846,[1]SKU!$H$2:$I$97,2,0)</f>
        <v>#N/A</v>
      </c>
    </row>
    <row r="1847" spans="24:27">
      <c r="X1847" s="8" t="str">
        <f>+IFERROR(VLOOKUP(N1847,[1]Hoja1!$B$2:$F$52,4,0)*P1847,"")</f>
        <v/>
      </c>
      <c r="Y1847" s="8" t="e">
        <f>+VLOOKUP(M1847,[1]SKU!$B$3:$E$81,4,0)</f>
        <v>#N/A</v>
      </c>
      <c r="Z1847" s="8" t="str">
        <f t="shared" si="28"/>
        <v>FLEX</v>
      </c>
      <c r="AA1847" s="8" t="e">
        <f>+VLOOKUP(I1847,[1]SKU!$H$2:$I$97,2,0)</f>
        <v>#N/A</v>
      </c>
    </row>
    <row r="1848" spans="24:27">
      <c r="X1848" s="8" t="str">
        <f>+IFERROR(VLOOKUP(N1848,[1]Hoja1!$B$2:$F$52,4,0)*P1848,"")</f>
        <v/>
      </c>
      <c r="Y1848" s="8" t="e">
        <f>+VLOOKUP(M1848,[1]SKU!$B$3:$E$81,4,0)</f>
        <v>#N/A</v>
      </c>
      <c r="Z1848" s="8" t="str">
        <f t="shared" si="28"/>
        <v>FLEX</v>
      </c>
      <c r="AA1848" s="8" t="e">
        <f>+VLOOKUP(I1848,[1]SKU!$H$2:$I$97,2,0)</f>
        <v>#N/A</v>
      </c>
    </row>
    <row r="1849" spans="24:27">
      <c r="X1849" s="8" t="str">
        <f>+IFERROR(VLOOKUP(N1849,[1]Hoja1!$B$2:$F$52,4,0)*P1849,"")</f>
        <v/>
      </c>
      <c r="Y1849" s="8" t="e">
        <f>+VLOOKUP(M1849,[1]SKU!$B$3:$E$81,4,0)</f>
        <v>#N/A</v>
      </c>
      <c r="Z1849" s="8" t="str">
        <f t="shared" si="28"/>
        <v>FLEX</v>
      </c>
      <c r="AA1849" s="8" t="e">
        <f>+VLOOKUP(I1849,[1]SKU!$H$2:$I$97,2,0)</f>
        <v>#N/A</v>
      </c>
    </row>
    <row r="1850" spans="24:27">
      <c r="X1850" s="8" t="str">
        <f>+IFERROR(VLOOKUP(N1850,[1]Hoja1!$B$2:$F$52,4,0)*P1850,"")</f>
        <v/>
      </c>
      <c r="Y1850" s="8" t="e">
        <f>+VLOOKUP(M1850,[1]SKU!$B$3:$E$81,4,0)</f>
        <v>#N/A</v>
      </c>
      <c r="Z1850" s="8" t="str">
        <f t="shared" si="28"/>
        <v>FLEX</v>
      </c>
      <c r="AA1850" s="8" t="e">
        <f>+VLOOKUP(I1850,[1]SKU!$H$2:$I$97,2,0)</f>
        <v>#N/A</v>
      </c>
    </row>
    <row r="1851" spans="24:27">
      <c r="X1851" s="8" t="str">
        <f>+IFERROR(VLOOKUP(N1851,[1]Hoja1!$B$2:$F$52,4,0)*P1851,"")</f>
        <v/>
      </c>
      <c r="Y1851" s="8" t="e">
        <f>+VLOOKUP(M1851,[1]SKU!$B$3:$E$81,4,0)</f>
        <v>#N/A</v>
      </c>
      <c r="Z1851" s="8" t="str">
        <f t="shared" si="28"/>
        <v>FLEX</v>
      </c>
      <c r="AA1851" s="8" t="e">
        <f>+VLOOKUP(I1851,[1]SKU!$H$2:$I$97,2,0)</f>
        <v>#N/A</v>
      </c>
    </row>
    <row r="1852" spans="24:27">
      <c r="X1852" s="8" t="str">
        <f>+IFERROR(VLOOKUP(N1852,[1]Hoja1!$B$2:$F$52,4,0)*P1852,"")</f>
        <v/>
      </c>
      <c r="Y1852" s="8" t="e">
        <f>+VLOOKUP(M1852,[1]SKU!$B$3:$E$81,4,0)</f>
        <v>#N/A</v>
      </c>
      <c r="Z1852" s="8" t="str">
        <f t="shared" si="28"/>
        <v>FLEX</v>
      </c>
      <c r="AA1852" s="8" t="e">
        <f>+VLOOKUP(I1852,[1]SKU!$H$2:$I$97,2,0)</f>
        <v>#N/A</v>
      </c>
    </row>
    <row r="1853" spans="24:27">
      <c r="X1853" s="8" t="str">
        <f>+IFERROR(VLOOKUP(N1853,[1]Hoja1!$B$2:$F$52,4,0)*P1853,"")</f>
        <v/>
      </c>
      <c r="Y1853" s="8" t="e">
        <f>+VLOOKUP(M1853,[1]SKU!$B$3:$E$81,4,0)</f>
        <v>#N/A</v>
      </c>
      <c r="Z1853" s="8" t="str">
        <f t="shared" si="28"/>
        <v>FLEX</v>
      </c>
      <c r="AA1853" s="8" t="e">
        <f>+VLOOKUP(I1853,[1]SKU!$H$2:$I$97,2,0)</f>
        <v>#N/A</v>
      </c>
    </row>
    <row r="1854" spans="24:27">
      <c r="X1854" s="8" t="str">
        <f>+IFERROR(VLOOKUP(N1854,[1]Hoja1!$B$2:$F$52,4,0)*P1854,"")</f>
        <v/>
      </c>
      <c r="Y1854" s="8" t="e">
        <f>+VLOOKUP(M1854,[1]SKU!$B$3:$E$81,4,0)</f>
        <v>#N/A</v>
      </c>
      <c r="Z1854" s="8" t="str">
        <f t="shared" si="28"/>
        <v>FLEX</v>
      </c>
      <c r="AA1854" s="8" t="e">
        <f>+VLOOKUP(I1854,[1]SKU!$H$2:$I$97,2,0)</f>
        <v>#N/A</v>
      </c>
    </row>
    <row r="1855" spans="24:27">
      <c r="X1855" s="8" t="str">
        <f>+IFERROR(VLOOKUP(N1855,[1]Hoja1!$B$2:$F$52,4,0)*P1855,"")</f>
        <v/>
      </c>
      <c r="Y1855" s="8" t="e">
        <f>+VLOOKUP(M1855,[1]SKU!$B$3:$E$81,4,0)</f>
        <v>#N/A</v>
      </c>
      <c r="Z1855" s="8" t="str">
        <f t="shared" si="28"/>
        <v>FLEX</v>
      </c>
      <c r="AA1855" s="8" t="e">
        <f>+VLOOKUP(I1855,[1]SKU!$H$2:$I$97,2,0)</f>
        <v>#N/A</v>
      </c>
    </row>
    <row r="1856" spans="24:27">
      <c r="X1856" s="8" t="str">
        <f>+IFERROR(VLOOKUP(N1856,[1]Hoja1!$B$2:$F$52,4,0)*P1856,"")</f>
        <v/>
      </c>
      <c r="Y1856" s="8" t="e">
        <f>+VLOOKUP(M1856,[1]SKU!$B$3:$E$81,4,0)</f>
        <v>#N/A</v>
      </c>
      <c r="Z1856" s="8" t="str">
        <f t="shared" si="28"/>
        <v>FLEX</v>
      </c>
      <c r="AA1856" s="8" t="e">
        <f>+VLOOKUP(I1856,[1]SKU!$H$2:$I$97,2,0)</f>
        <v>#N/A</v>
      </c>
    </row>
    <row r="1857" spans="24:27">
      <c r="X1857" s="8" t="str">
        <f>+IFERROR(VLOOKUP(N1857,[1]Hoja1!$B$2:$F$52,4,0)*P1857,"")</f>
        <v/>
      </c>
      <c r="Y1857" s="8" t="e">
        <f>+VLOOKUP(M1857,[1]SKU!$B$3:$E$81,4,0)</f>
        <v>#N/A</v>
      </c>
      <c r="Z1857" s="8" t="str">
        <f t="shared" si="28"/>
        <v>FLEX</v>
      </c>
      <c r="AA1857" s="8" t="e">
        <f>+VLOOKUP(I1857,[1]SKU!$H$2:$I$97,2,0)</f>
        <v>#N/A</v>
      </c>
    </row>
    <row r="1858" spans="24:27">
      <c r="X1858" s="8" t="str">
        <f>+IFERROR(VLOOKUP(N1858,[1]Hoja1!$B$2:$F$52,4,0)*P1858,"")</f>
        <v/>
      </c>
      <c r="Y1858" s="8" t="e">
        <f>+VLOOKUP(M1858,[1]SKU!$B$3:$E$81,4,0)</f>
        <v>#N/A</v>
      </c>
      <c r="Z1858" s="8" t="str">
        <f t="shared" si="28"/>
        <v>FLEX</v>
      </c>
      <c r="AA1858" s="8" t="e">
        <f>+VLOOKUP(I1858,[1]SKU!$H$2:$I$97,2,0)</f>
        <v>#N/A</v>
      </c>
    </row>
    <row r="1859" spans="24:27">
      <c r="X1859" s="8" t="str">
        <f>+IFERROR(VLOOKUP(N1859,[1]Hoja1!$B$2:$F$52,4,0)*P1859,"")</f>
        <v/>
      </c>
      <c r="Y1859" s="8" t="e">
        <f>+VLOOKUP(M1859,[1]SKU!$B$3:$E$81,4,0)</f>
        <v>#N/A</v>
      </c>
      <c r="Z1859" s="8" t="str">
        <f t="shared" ref="Z1859:Z1922" si="29">+IF(J1859="VB01                          ","BEES","FLEX")</f>
        <v>FLEX</v>
      </c>
      <c r="AA1859" s="8" t="e">
        <f>+VLOOKUP(I1859,[1]SKU!$H$2:$I$97,2,0)</f>
        <v>#N/A</v>
      </c>
    </row>
    <row r="1860" spans="24:27">
      <c r="X1860" s="8" t="str">
        <f>+IFERROR(VLOOKUP(N1860,[1]Hoja1!$B$2:$F$52,4,0)*P1860,"")</f>
        <v/>
      </c>
      <c r="Y1860" s="8" t="e">
        <f>+VLOOKUP(M1860,[1]SKU!$B$3:$E$81,4,0)</f>
        <v>#N/A</v>
      </c>
      <c r="Z1860" s="8" t="str">
        <f t="shared" si="29"/>
        <v>FLEX</v>
      </c>
      <c r="AA1860" s="8" t="e">
        <f>+VLOOKUP(I1860,[1]SKU!$H$2:$I$97,2,0)</f>
        <v>#N/A</v>
      </c>
    </row>
    <row r="1861" spans="24:27">
      <c r="X1861" s="8" t="str">
        <f>+IFERROR(VLOOKUP(N1861,[1]Hoja1!$B$2:$F$52,4,0)*P1861,"")</f>
        <v/>
      </c>
      <c r="Y1861" s="8" t="e">
        <f>+VLOOKUP(M1861,[1]SKU!$B$3:$E$81,4,0)</f>
        <v>#N/A</v>
      </c>
      <c r="Z1861" s="8" t="str">
        <f t="shared" si="29"/>
        <v>FLEX</v>
      </c>
      <c r="AA1861" s="8" t="e">
        <f>+VLOOKUP(I1861,[1]SKU!$H$2:$I$97,2,0)</f>
        <v>#N/A</v>
      </c>
    </row>
    <row r="1862" spans="24:27">
      <c r="X1862" s="8" t="str">
        <f>+IFERROR(VLOOKUP(N1862,[1]Hoja1!$B$2:$F$52,4,0)*P1862,"")</f>
        <v/>
      </c>
      <c r="Y1862" s="8" t="e">
        <f>+VLOOKUP(M1862,[1]SKU!$B$3:$E$81,4,0)</f>
        <v>#N/A</v>
      </c>
      <c r="Z1862" s="8" t="str">
        <f t="shared" si="29"/>
        <v>FLEX</v>
      </c>
      <c r="AA1862" s="8" t="e">
        <f>+VLOOKUP(I1862,[1]SKU!$H$2:$I$97,2,0)</f>
        <v>#N/A</v>
      </c>
    </row>
    <row r="1863" spans="24:27">
      <c r="X1863" s="8" t="str">
        <f>+IFERROR(VLOOKUP(N1863,[1]Hoja1!$B$2:$F$52,4,0)*P1863,"")</f>
        <v/>
      </c>
      <c r="Y1863" s="8" t="e">
        <f>+VLOOKUP(M1863,[1]SKU!$B$3:$E$81,4,0)</f>
        <v>#N/A</v>
      </c>
      <c r="Z1863" s="8" t="str">
        <f t="shared" si="29"/>
        <v>FLEX</v>
      </c>
      <c r="AA1863" s="8" t="e">
        <f>+VLOOKUP(I1863,[1]SKU!$H$2:$I$97,2,0)</f>
        <v>#N/A</v>
      </c>
    </row>
    <row r="1864" spans="24:27">
      <c r="X1864" s="8" t="str">
        <f>+IFERROR(VLOOKUP(N1864,[1]Hoja1!$B$2:$F$52,4,0)*P1864,"")</f>
        <v/>
      </c>
      <c r="Y1864" s="8" t="e">
        <f>+VLOOKUP(M1864,[1]SKU!$B$3:$E$81,4,0)</f>
        <v>#N/A</v>
      </c>
      <c r="Z1864" s="8" t="str">
        <f t="shared" si="29"/>
        <v>FLEX</v>
      </c>
      <c r="AA1864" s="8" t="e">
        <f>+VLOOKUP(I1864,[1]SKU!$H$2:$I$97,2,0)</f>
        <v>#N/A</v>
      </c>
    </row>
    <row r="1865" spans="24:27">
      <c r="X1865" s="8" t="str">
        <f>+IFERROR(VLOOKUP(N1865,[1]Hoja1!$B$2:$F$52,4,0)*P1865,"")</f>
        <v/>
      </c>
      <c r="Y1865" s="8" t="e">
        <f>+VLOOKUP(M1865,[1]SKU!$B$3:$E$81,4,0)</f>
        <v>#N/A</v>
      </c>
      <c r="Z1865" s="8" t="str">
        <f t="shared" si="29"/>
        <v>FLEX</v>
      </c>
      <c r="AA1865" s="8" t="e">
        <f>+VLOOKUP(I1865,[1]SKU!$H$2:$I$97,2,0)</f>
        <v>#N/A</v>
      </c>
    </row>
    <row r="1866" spans="24:27">
      <c r="X1866" s="8" t="str">
        <f>+IFERROR(VLOOKUP(N1866,[1]Hoja1!$B$2:$F$52,4,0)*P1866,"")</f>
        <v/>
      </c>
      <c r="Y1866" s="8" t="e">
        <f>+VLOOKUP(M1866,[1]SKU!$B$3:$E$81,4,0)</f>
        <v>#N/A</v>
      </c>
      <c r="Z1866" s="8" t="str">
        <f t="shared" si="29"/>
        <v>FLEX</v>
      </c>
      <c r="AA1866" s="8" t="e">
        <f>+VLOOKUP(I1866,[1]SKU!$H$2:$I$97,2,0)</f>
        <v>#N/A</v>
      </c>
    </row>
    <row r="1867" spans="24:27">
      <c r="X1867" s="8" t="str">
        <f>+IFERROR(VLOOKUP(N1867,[1]Hoja1!$B$2:$F$52,4,0)*P1867,"")</f>
        <v/>
      </c>
      <c r="Y1867" s="8" t="e">
        <f>+VLOOKUP(M1867,[1]SKU!$B$3:$E$81,4,0)</f>
        <v>#N/A</v>
      </c>
      <c r="Z1867" s="8" t="str">
        <f t="shared" si="29"/>
        <v>FLEX</v>
      </c>
      <c r="AA1867" s="8" t="e">
        <f>+VLOOKUP(I1867,[1]SKU!$H$2:$I$97,2,0)</f>
        <v>#N/A</v>
      </c>
    </row>
    <row r="1868" spans="24:27">
      <c r="X1868" s="8" t="str">
        <f>+IFERROR(VLOOKUP(N1868,[1]Hoja1!$B$2:$F$52,4,0)*P1868,"")</f>
        <v/>
      </c>
      <c r="Y1868" s="8" t="e">
        <f>+VLOOKUP(M1868,[1]SKU!$B$3:$E$81,4,0)</f>
        <v>#N/A</v>
      </c>
      <c r="Z1868" s="8" t="str">
        <f t="shared" si="29"/>
        <v>FLEX</v>
      </c>
      <c r="AA1868" s="8" t="e">
        <f>+VLOOKUP(I1868,[1]SKU!$H$2:$I$97,2,0)</f>
        <v>#N/A</v>
      </c>
    </row>
    <row r="1869" spans="24:27">
      <c r="X1869" s="8" t="str">
        <f>+IFERROR(VLOOKUP(N1869,[1]Hoja1!$B$2:$F$52,4,0)*P1869,"")</f>
        <v/>
      </c>
      <c r="Y1869" s="8" t="e">
        <f>+VLOOKUP(M1869,[1]SKU!$B$3:$E$81,4,0)</f>
        <v>#N/A</v>
      </c>
      <c r="Z1869" s="8" t="str">
        <f t="shared" si="29"/>
        <v>FLEX</v>
      </c>
      <c r="AA1869" s="8" t="e">
        <f>+VLOOKUP(I1869,[1]SKU!$H$2:$I$97,2,0)</f>
        <v>#N/A</v>
      </c>
    </row>
    <row r="1870" spans="24:27">
      <c r="X1870" s="8" t="str">
        <f>+IFERROR(VLOOKUP(N1870,[1]Hoja1!$B$2:$F$52,4,0)*P1870,"")</f>
        <v/>
      </c>
      <c r="Y1870" s="8" t="e">
        <f>+VLOOKUP(M1870,[1]SKU!$B$3:$E$81,4,0)</f>
        <v>#N/A</v>
      </c>
      <c r="Z1870" s="8" t="str">
        <f t="shared" si="29"/>
        <v>FLEX</v>
      </c>
      <c r="AA1870" s="8" t="e">
        <f>+VLOOKUP(I1870,[1]SKU!$H$2:$I$97,2,0)</f>
        <v>#N/A</v>
      </c>
    </row>
    <row r="1871" spans="24:27">
      <c r="X1871" s="8" t="str">
        <f>+IFERROR(VLOOKUP(N1871,[1]Hoja1!$B$2:$F$52,4,0)*P1871,"")</f>
        <v/>
      </c>
      <c r="Y1871" s="8" t="e">
        <f>+VLOOKUP(M1871,[1]SKU!$B$3:$E$81,4,0)</f>
        <v>#N/A</v>
      </c>
      <c r="Z1871" s="8" t="str">
        <f t="shared" si="29"/>
        <v>FLEX</v>
      </c>
      <c r="AA1871" s="8" t="e">
        <f>+VLOOKUP(I1871,[1]SKU!$H$2:$I$97,2,0)</f>
        <v>#N/A</v>
      </c>
    </row>
    <row r="1872" spans="24:27">
      <c r="X1872" s="8" t="str">
        <f>+IFERROR(VLOOKUP(N1872,[1]Hoja1!$B$2:$F$52,4,0)*P1872,"")</f>
        <v/>
      </c>
      <c r="Y1872" s="8" t="e">
        <f>+VLOOKUP(M1872,[1]SKU!$B$3:$E$81,4,0)</f>
        <v>#N/A</v>
      </c>
      <c r="Z1872" s="8" t="str">
        <f t="shared" si="29"/>
        <v>FLEX</v>
      </c>
      <c r="AA1872" s="8" t="e">
        <f>+VLOOKUP(I1872,[1]SKU!$H$2:$I$97,2,0)</f>
        <v>#N/A</v>
      </c>
    </row>
    <row r="1873" spans="24:27">
      <c r="X1873" s="8" t="str">
        <f>+IFERROR(VLOOKUP(N1873,[1]Hoja1!$B$2:$F$52,4,0)*P1873,"")</f>
        <v/>
      </c>
      <c r="Y1873" s="8" t="e">
        <f>+VLOOKUP(M1873,[1]SKU!$B$3:$E$81,4,0)</f>
        <v>#N/A</v>
      </c>
      <c r="Z1873" s="8" t="str">
        <f t="shared" si="29"/>
        <v>FLEX</v>
      </c>
      <c r="AA1873" s="8" t="e">
        <f>+VLOOKUP(I1873,[1]SKU!$H$2:$I$97,2,0)</f>
        <v>#N/A</v>
      </c>
    </row>
    <row r="1874" spans="24:27">
      <c r="X1874" s="8" t="str">
        <f>+IFERROR(VLOOKUP(N1874,[1]Hoja1!$B$2:$F$52,4,0)*P1874,"")</f>
        <v/>
      </c>
      <c r="Y1874" s="8" t="e">
        <f>+VLOOKUP(M1874,[1]SKU!$B$3:$E$81,4,0)</f>
        <v>#N/A</v>
      </c>
      <c r="Z1874" s="8" t="str">
        <f t="shared" si="29"/>
        <v>FLEX</v>
      </c>
      <c r="AA1874" s="8" t="e">
        <f>+VLOOKUP(I1874,[1]SKU!$H$2:$I$97,2,0)</f>
        <v>#N/A</v>
      </c>
    </row>
    <row r="1875" spans="24:27">
      <c r="X1875" s="8" t="str">
        <f>+IFERROR(VLOOKUP(N1875,[1]Hoja1!$B$2:$F$52,4,0)*P1875,"")</f>
        <v/>
      </c>
      <c r="Y1875" s="8" t="e">
        <f>+VLOOKUP(M1875,[1]SKU!$B$3:$E$81,4,0)</f>
        <v>#N/A</v>
      </c>
      <c r="Z1875" s="8" t="str">
        <f t="shared" si="29"/>
        <v>FLEX</v>
      </c>
      <c r="AA1875" s="8" t="e">
        <f>+VLOOKUP(I1875,[1]SKU!$H$2:$I$97,2,0)</f>
        <v>#N/A</v>
      </c>
    </row>
    <row r="1876" spans="24:27">
      <c r="X1876" s="8" t="str">
        <f>+IFERROR(VLOOKUP(N1876,[1]Hoja1!$B$2:$F$52,4,0)*P1876,"")</f>
        <v/>
      </c>
      <c r="Y1876" s="8" t="e">
        <f>+VLOOKUP(M1876,[1]SKU!$B$3:$E$81,4,0)</f>
        <v>#N/A</v>
      </c>
      <c r="Z1876" s="8" t="str">
        <f t="shared" si="29"/>
        <v>FLEX</v>
      </c>
      <c r="AA1876" s="8" t="e">
        <f>+VLOOKUP(I1876,[1]SKU!$H$2:$I$97,2,0)</f>
        <v>#N/A</v>
      </c>
    </row>
    <row r="1877" spans="24:27">
      <c r="X1877" s="8" t="str">
        <f>+IFERROR(VLOOKUP(N1877,[1]Hoja1!$B$2:$F$52,4,0)*P1877,"")</f>
        <v/>
      </c>
      <c r="Y1877" s="8" t="e">
        <f>+VLOOKUP(M1877,[1]SKU!$B$3:$E$81,4,0)</f>
        <v>#N/A</v>
      </c>
      <c r="Z1877" s="8" t="str">
        <f t="shared" si="29"/>
        <v>FLEX</v>
      </c>
      <c r="AA1877" s="8" t="e">
        <f>+VLOOKUP(I1877,[1]SKU!$H$2:$I$97,2,0)</f>
        <v>#N/A</v>
      </c>
    </row>
    <row r="1878" spans="24:27">
      <c r="X1878" s="8" t="str">
        <f>+IFERROR(VLOOKUP(N1878,[1]Hoja1!$B$2:$F$52,4,0)*P1878,"")</f>
        <v/>
      </c>
      <c r="Y1878" s="8" t="e">
        <f>+VLOOKUP(M1878,[1]SKU!$B$3:$E$81,4,0)</f>
        <v>#N/A</v>
      </c>
      <c r="Z1878" s="8" t="str">
        <f t="shared" si="29"/>
        <v>FLEX</v>
      </c>
      <c r="AA1878" s="8" t="e">
        <f>+VLOOKUP(I1878,[1]SKU!$H$2:$I$97,2,0)</f>
        <v>#N/A</v>
      </c>
    </row>
    <row r="1879" spans="24:27">
      <c r="X1879" s="8" t="str">
        <f>+IFERROR(VLOOKUP(N1879,[1]Hoja1!$B$2:$F$52,4,0)*P1879,"")</f>
        <v/>
      </c>
      <c r="Y1879" s="8" t="e">
        <f>+VLOOKUP(M1879,[1]SKU!$B$3:$E$81,4,0)</f>
        <v>#N/A</v>
      </c>
      <c r="Z1879" s="8" t="str">
        <f t="shared" si="29"/>
        <v>FLEX</v>
      </c>
      <c r="AA1879" s="8" t="e">
        <f>+VLOOKUP(I1879,[1]SKU!$H$2:$I$97,2,0)</f>
        <v>#N/A</v>
      </c>
    </row>
    <row r="1880" spans="24:27">
      <c r="X1880" s="8" t="str">
        <f>+IFERROR(VLOOKUP(N1880,[1]Hoja1!$B$2:$F$52,4,0)*P1880,"")</f>
        <v/>
      </c>
      <c r="Y1880" s="8" t="e">
        <f>+VLOOKUP(M1880,[1]SKU!$B$3:$E$81,4,0)</f>
        <v>#N/A</v>
      </c>
      <c r="Z1880" s="8" t="str">
        <f t="shared" si="29"/>
        <v>FLEX</v>
      </c>
      <c r="AA1880" s="8" t="e">
        <f>+VLOOKUP(I1880,[1]SKU!$H$2:$I$97,2,0)</f>
        <v>#N/A</v>
      </c>
    </row>
    <row r="1881" spans="24:27">
      <c r="X1881" s="8" t="str">
        <f>+IFERROR(VLOOKUP(N1881,[1]Hoja1!$B$2:$F$52,4,0)*P1881,"")</f>
        <v/>
      </c>
      <c r="Y1881" s="8" t="e">
        <f>+VLOOKUP(M1881,[1]SKU!$B$3:$E$81,4,0)</f>
        <v>#N/A</v>
      </c>
      <c r="Z1881" s="8" t="str">
        <f t="shared" si="29"/>
        <v>FLEX</v>
      </c>
      <c r="AA1881" s="8" t="e">
        <f>+VLOOKUP(I1881,[1]SKU!$H$2:$I$97,2,0)</f>
        <v>#N/A</v>
      </c>
    </row>
    <row r="1882" spans="24:27">
      <c r="X1882" s="8" t="str">
        <f>+IFERROR(VLOOKUP(N1882,[1]Hoja1!$B$2:$F$52,4,0)*P1882,"")</f>
        <v/>
      </c>
      <c r="Y1882" s="8" t="e">
        <f>+VLOOKUP(M1882,[1]SKU!$B$3:$E$81,4,0)</f>
        <v>#N/A</v>
      </c>
      <c r="Z1882" s="8" t="str">
        <f t="shared" si="29"/>
        <v>FLEX</v>
      </c>
      <c r="AA1882" s="8" t="e">
        <f>+VLOOKUP(I1882,[1]SKU!$H$2:$I$97,2,0)</f>
        <v>#N/A</v>
      </c>
    </row>
    <row r="1883" spans="24:27">
      <c r="X1883" s="8" t="str">
        <f>+IFERROR(VLOOKUP(N1883,[1]Hoja1!$B$2:$F$52,4,0)*P1883,"")</f>
        <v/>
      </c>
      <c r="Y1883" s="8" t="e">
        <f>+VLOOKUP(M1883,[1]SKU!$B$3:$E$81,4,0)</f>
        <v>#N/A</v>
      </c>
      <c r="Z1883" s="8" t="str">
        <f t="shared" si="29"/>
        <v>FLEX</v>
      </c>
      <c r="AA1883" s="8" t="e">
        <f>+VLOOKUP(I1883,[1]SKU!$H$2:$I$97,2,0)</f>
        <v>#N/A</v>
      </c>
    </row>
    <row r="1884" spans="24:27">
      <c r="X1884" s="8" t="str">
        <f>+IFERROR(VLOOKUP(N1884,[1]Hoja1!$B$2:$F$52,4,0)*P1884,"")</f>
        <v/>
      </c>
      <c r="Y1884" s="8" t="e">
        <f>+VLOOKUP(M1884,[1]SKU!$B$3:$E$81,4,0)</f>
        <v>#N/A</v>
      </c>
      <c r="Z1884" s="8" t="str">
        <f t="shared" si="29"/>
        <v>FLEX</v>
      </c>
      <c r="AA1884" s="8" t="e">
        <f>+VLOOKUP(I1884,[1]SKU!$H$2:$I$97,2,0)</f>
        <v>#N/A</v>
      </c>
    </row>
    <row r="1885" spans="24:27">
      <c r="X1885" s="8" t="str">
        <f>+IFERROR(VLOOKUP(N1885,[1]Hoja1!$B$2:$F$52,4,0)*P1885,"")</f>
        <v/>
      </c>
      <c r="Y1885" s="8" t="e">
        <f>+VLOOKUP(M1885,[1]SKU!$B$3:$E$81,4,0)</f>
        <v>#N/A</v>
      </c>
      <c r="Z1885" s="8" t="str">
        <f t="shared" si="29"/>
        <v>FLEX</v>
      </c>
      <c r="AA1885" s="8" t="e">
        <f>+VLOOKUP(I1885,[1]SKU!$H$2:$I$97,2,0)</f>
        <v>#N/A</v>
      </c>
    </row>
    <row r="1886" spans="24:27">
      <c r="X1886" s="8" t="str">
        <f>+IFERROR(VLOOKUP(N1886,[1]Hoja1!$B$2:$F$52,4,0)*P1886,"")</f>
        <v/>
      </c>
      <c r="Y1886" s="8" t="e">
        <f>+VLOOKUP(M1886,[1]SKU!$B$3:$E$81,4,0)</f>
        <v>#N/A</v>
      </c>
      <c r="Z1886" s="8" t="str">
        <f t="shared" si="29"/>
        <v>FLEX</v>
      </c>
      <c r="AA1886" s="8" t="e">
        <f>+VLOOKUP(I1886,[1]SKU!$H$2:$I$97,2,0)</f>
        <v>#N/A</v>
      </c>
    </row>
    <row r="1887" spans="24:27">
      <c r="X1887" s="8" t="str">
        <f>+IFERROR(VLOOKUP(N1887,[1]Hoja1!$B$2:$F$52,4,0)*P1887,"")</f>
        <v/>
      </c>
      <c r="Y1887" s="8" t="e">
        <f>+VLOOKUP(M1887,[1]SKU!$B$3:$E$81,4,0)</f>
        <v>#N/A</v>
      </c>
      <c r="Z1887" s="8" t="str">
        <f t="shared" si="29"/>
        <v>FLEX</v>
      </c>
      <c r="AA1887" s="8" t="e">
        <f>+VLOOKUP(I1887,[1]SKU!$H$2:$I$97,2,0)</f>
        <v>#N/A</v>
      </c>
    </row>
    <row r="1888" spans="24:27">
      <c r="X1888" s="8" t="str">
        <f>+IFERROR(VLOOKUP(N1888,[1]Hoja1!$B$2:$F$52,4,0)*P1888,"")</f>
        <v/>
      </c>
      <c r="Y1888" s="8" t="e">
        <f>+VLOOKUP(M1888,[1]SKU!$B$3:$E$81,4,0)</f>
        <v>#N/A</v>
      </c>
      <c r="Z1888" s="8" t="str">
        <f t="shared" si="29"/>
        <v>FLEX</v>
      </c>
      <c r="AA1888" s="8" t="e">
        <f>+VLOOKUP(I1888,[1]SKU!$H$2:$I$97,2,0)</f>
        <v>#N/A</v>
      </c>
    </row>
    <row r="1889" spans="24:27">
      <c r="X1889" s="8" t="str">
        <f>+IFERROR(VLOOKUP(N1889,[1]Hoja1!$B$2:$F$52,4,0)*P1889,"")</f>
        <v/>
      </c>
      <c r="Y1889" s="8" t="e">
        <f>+VLOOKUP(M1889,[1]SKU!$B$3:$E$81,4,0)</f>
        <v>#N/A</v>
      </c>
      <c r="Z1889" s="8" t="str">
        <f t="shared" si="29"/>
        <v>FLEX</v>
      </c>
      <c r="AA1889" s="8" t="e">
        <f>+VLOOKUP(I1889,[1]SKU!$H$2:$I$97,2,0)</f>
        <v>#N/A</v>
      </c>
    </row>
    <row r="1890" spans="24:27">
      <c r="X1890" s="8" t="str">
        <f>+IFERROR(VLOOKUP(N1890,[1]Hoja1!$B$2:$F$52,4,0)*P1890,"")</f>
        <v/>
      </c>
      <c r="Y1890" s="8" t="e">
        <f>+VLOOKUP(M1890,[1]SKU!$B$3:$E$81,4,0)</f>
        <v>#N/A</v>
      </c>
      <c r="Z1890" s="8" t="str">
        <f t="shared" si="29"/>
        <v>FLEX</v>
      </c>
      <c r="AA1890" s="8" t="e">
        <f>+VLOOKUP(I1890,[1]SKU!$H$2:$I$97,2,0)</f>
        <v>#N/A</v>
      </c>
    </row>
    <row r="1891" spans="24:27">
      <c r="X1891" s="8" t="str">
        <f>+IFERROR(VLOOKUP(N1891,[1]Hoja1!$B$2:$F$52,4,0)*P1891,"")</f>
        <v/>
      </c>
      <c r="Y1891" s="8" t="e">
        <f>+VLOOKUP(M1891,[1]SKU!$B$3:$E$81,4,0)</f>
        <v>#N/A</v>
      </c>
      <c r="Z1891" s="8" t="str">
        <f t="shared" si="29"/>
        <v>FLEX</v>
      </c>
      <c r="AA1891" s="8" t="e">
        <f>+VLOOKUP(I1891,[1]SKU!$H$2:$I$97,2,0)</f>
        <v>#N/A</v>
      </c>
    </row>
    <row r="1892" spans="24:27">
      <c r="X1892" s="8" t="str">
        <f>+IFERROR(VLOOKUP(N1892,[1]Hoja1!$B$2:$F$52,4,0)*P1892,"")</f>
        <v/>
      </c>
      <c r="Y1892" s="8" t="e">
        <f>+VLOOKUP(M1892,[1]SKU!$B$3:$E$81,4,0)</f>
        <v>#N/A</v>
      </c>
      <c r="Z1892" s="8" t="str">
        <f t="shared" si="29"/>
        <v>FLEX</v>
      </c>
      <c r="AA1892" s="8" t="e">
        <f>+VLOOKUP(I1892,[1]SKU!$H$2:$I$97,2,0)</f>
        <v>#N/A</v>
      </c>
    </row>
    <row r="1893" spans="24:27">
      <c r="X1893" s="8" t="str">
        <f>+IFERROR(VLOOKUP(N1893,[1]Hoja1!$B$2:$F$52,4,0)*P1893,"")</f>
        <v/>
      </c>
      <c r="Y1893" s="8" t="e">
        <f>+VLOOKUP(M1893,[1]SKU!$B$3:$E$81,4,0)</f>
        <v>#N/A</v>
      </c>
      <c r="Z1893" s="8" t="str">
        <f t="shared" si="29"/>
        <v>FLEX</v>
      </c>
      <c r="AA1893" s="8" t="e">
        <f>+VLOOKUP(I1893,[1]SKU!$H$2:$I$97,2,0)</f>
        <v>#N/A</v>
      </c>
    </row>
    <row r="1894" spans="24:27">
      <c r="X1894" s="8" t="str">
        <f>+IFERROR(VLOOKUP(N1894,[1]Hoja1!$B$2:$F$52,4,0)*P1894,"")</f>
        <v/>
      </c>
      <c r="Y1894" s="8" t="e">
        <f>+VLOOKUP(M1894,[1]SKU!$B$3:$E$81,4,0)</f>
        <v>#N/A</v>
      </c>
      <c r="Z1894" s="8" t="str">
        <f t="shared" si="29"/>
        <v>FLEX</v>
      </c>
      <c r="AA1894" s="8" t="e">
        <f>+VLOOKUP(I1894,[1]SKU!$H$2:$I$97,2,0)</f>
        <v>#N/A</v>
      </c>
    </row>
    <row r="1895" spans="24:27">
      <c r="X1895" s="8" t="str">
        <f>+IFERROR(VLOOKUP(N1895,[1]Hoja1!$B$2:$F$52,4,0)*P1895,"")</f>
        <v/>
      </c>
      <c r="Y1895" s="8" t="e">
        <f>+VLOOKUP(M1895,[1]SKU!$B$3:$E$81,4,0)</f>
        <v>#N/A</v>
      </c>
      <c r="Z1895" s="8" t="str">
        <f t="shared" si="29"/>
        <v>FLEX</v>
      </c>
      <c r="AA1895" s="8" t="e">
        <f>+VLOOKUP(I1895,[1]SKU!$H$2:$I$97,2,0)</f>
        <v>#N/A</v>
      </c>
    </row>
    <row r="1896" spans="24:27">
      <c r="X1896" s="8" t="str">
        <f>+IFERROR(VLOOKUP(N1896,[1]Hoja1!$B$2:$F$52,4,0)*P1896,"")</f>
        <v/>
      </c>
      <c r="Y1896" s="8" t="e">
        <f>+VLOOKUP(M1896,[1]SKU!$B$3:$E$81,4,0)</f>
        <v>#N/A</v>
      </c>
      <c r="Z1896" s="8" t="str">
        <f t="shared" si="29"/>
        <v>FLEX</v>
      </c>
      <c r="AA1896" s="8" t="e">
        <f>+VLOOKUP(I1896,[1]SKU!$H$2:$I$97,2,0)</f>
        <v>#N/A</v>
      </c>
    </row>
    <row r="1897" spans="24:27">
      <c r="X1897" s="8" t="str">
        <f>+IFERROR(VLOOKUP(N1897,[1]Hoja1!$B$2:$F$52,4,0)*P1897,"")</f>
        <v/>
      </c>
      <c r="Y1897" s="8" t="e">
        <f>+VLOOKUP(M1897,[1]SKU!$B$3:$E$81,4,0)</f>
        <v>#N/A</v>
      </c>
      <c r="Z1897" s="8" t="str">
        <f t="shared" si="29"/>
        <v>FLEX</v>
      </c>
      <c r="AA1897" s="8" t="e">
        <f>+VLOOKUP(I1897,[1]SKU!$H$2:$I$97,2,0)</f>
        <v>#N/A</v>
      </c>
    </row>
    <row r="1898" spans="24:27">
      <c r="X1898" s="8" t="str">
        <f>+IFERROR(VLOOKUP(N1898,[1]Hoja1!$B$2:$F$52,4,0)*P1898,"")</f>
        <v/>
      </c>
      <c r="Y1898" s="8" t="e">
        <f>+VLOOKUP(M1898,[1]SKU!$B$3:$E$81,4,0)</f>
        <v>#N/A</v>
      </c>
      <c r="Z1898" s="8" t="str">
        <f t="shared" si="29"/>
        <v>FLEX</v>
      </c>
      <c r="AA1898" s="8" t="e">
        <f>+VLOOKUP(I1898,[1]SKU!$H$2:$I$97,2,0)</f>
        <v>#N/A</v>
      </c>
    </row>
    <row r="1899" spans="24:27">
      <c r="X1899" s="8" t="str">
        <f>+IFERROR(VLOOKUP(N1899,[1]Hoja1!$B$2:$F$52,4,0)*P1899,"")</f>
        <v/>
      </c>
      <c r="Y1899" s="8" t="e">
        <f>+VLOOKUP(M1899,[1]SKU!$B$3:$E$81,4,0)</f>
        <v>#N/A</v>
      </c>
      <c r="Z1899" s="8" t="str">
        <f t="shared" si="29"/>
        <v>FLEX</v>
      </c>
      <c r="AA1899" s="8" t="e">
        <f>+VLOOKUP(I1899,[1]SKU!$H$2:$I$97,2,0)</f>
        <v>#N/A</v>
      </c>
    </row>
    <row r="1900" spans="24:27">
      <c r="X1900" s="8" t="str">
        <f>+IFERROR(VLOOKUP(N1900,[1]Hoja1!$B$2:$F$52,4,0)*P1900,"")</f>
        <v/>
      </c>
      <c r="Y1900" s="8" t="e">
        <f>+VLOOKUP(M1900,[1]SKU!$B$3:$E$81,4,0)</f>
        <v>#N/A</v>
      </c>
      <c r="Z1900" s="8" t="str">
        <f t="shared" si="29"/>
        <v>FLEX</v>
      </c>
      <c r="AA1900" s="8" t="e">
        <f>+VLOOKUP(I1900,[1]SKU!$H$2:$I$97,2,0)</f>
        <v>#N/A</v>
      </c>
    </row>
    <row r="1901" spans="24:27">
      <c r="X1901" s="8" t="str">
        <f>+IFERROR(VLOOKUP(N1901,[1]Hoja1!$B$2:$F$52,4,0)*P1901,"")</f>
        <v/>
      </c>
      <c r="Y1901" s="8" t="e">
        <f>+VLOOKUP(M1901,[1]SKU!$B$3:$E$81,4,0)</f>
        <v>#N/A</v>
      </c>
      <c r="Z1901" s="8" t="str">
        <f t="shared" si="29"/>
        <v>FLEX</v>
      </c>
      <c r="AA1901" s="8" t="e">
        <f>+VLOOKUP(I1901,[1]SKU!$H$2:$I$97,2,0)</f>
        <v>#N/A</v>
      </c>
    </row>
    <row r="1902" spans="24:27">
      <c r="X1902" s="8" t="str">
        <f>+IFERROR(VLOOKUP(N1902,[1]Hoja1!$B$2:$F$52,4,0)*P1902,"")</f>
        <v/>
      </c>
      <c r="Y1902" s="8" t="e">
        <f>+VLOOKUP(M1902,[1]SKU!$B$3:$E$81,4,0)</f>
        <v>#N/A</v>
      </c>
      <c r="Z1902" s="8" t="str">
        <f t="shared" si="29"/>
        <v>FLEX</v>
      </c>
      <c r="AA1902" s="8" t="e">
        <f>+VLOOKUP(I1902,[1]SKU!$H$2:$I$97,2,0)</f>
        <v>#N/A</v>
      </c>
    </row>
    <row r="1903" spans="24:27">
      <c r="X1903" s="8" t="str">
        <f>+IFERROR(VLOOKUP(N1903,[1]Hoja1!$B$2:$F$52,4,0)*P1903,"")</f>
        <v/>
      </c>
      <c r="Y1903" s="8" t="e">
        <f>+VLOOKUP(M1903,[1]SKU!$B$3:$E$81,4,0)</f>
        <v>#N/A</v>
      </c>
      <c r="Z1903" s="8" t="str">
        <f t="shared" si="29"/>
        <v>FLEX</v>
      </c>
      <c r="AA1903" s="8" t="e">
        <f>+VLOOKUP(I1903,[1]SKU!$H$2:$I$97,2,0)</f>
        <v>#N/A</v>
      </c>
    </row>
    <row r="1904" spans="24:27">
      <c r="X1904" s="8" t="str">
        <f>+IFERROR(VLOOKUP(N1904,[1]Hoja1!$B$2:$F$52,4,0)*P1904,"")</f>
        <v/>
      </c>
      <c r="Y1904" s="8" t="e">
        <f>+VLOOKUP(M1904,[1]SKU!$B$3:$E$81,4,0)</f>
        <v>#N/A</v>
      </c>
      <c r="Z1904" s="8" t="str">
        <f t="shared" si="29"/>
        <v>FLEX</v>
      </c>
      <c r="AA1904" s="8" t="e">
        <f>+VLOOKUP(I1904,[1]SKU!$H$2:$I$97,2,0)</f>
        <v>#N/A</v>
      </c>
    </row>
    <row r="1905" spans="24:27">
      <c r="X1905" s="8" t="str">
        <f>+IFERROR(VLOOKUP(N1905,[1]Hoja1!$B$2:$F$52,4,0)*P1905,"")</f>
        <v/>
      </c>
      <c r="Y1905" s="8" t="e">
        <f>+VLOOKUP(M1905,[1]SKU!$B$3:$E$81,4,0)</f>
        <v>#N/A</v>
      </c>
      <c r="Z1905" s="8" t="str">
        <f t="shared" si="29"/>
        <v>FLEX</v>
      </c>
      <c r="AA1905" s="8" t="e">
        <f>+VLOOKUP(I1905,[1]SKU!$H$2:$I$97,2,0)</f>
        <v>#N/A</v>
      </c>
    </row>
    <row r="1906" spans="24:27">
      <c r="X1906" s="8" t="str">
        <f>+IFERROR(VLOOKUP(N1906,[1]Hoja1!$B$2:$F$52,4,0)*P1906,"")</f>
        <v/>
      </c>
      <c r="Y1906" s="8" t="e">
        <f>+VLOOKUP(M1906,[1]SKU!$B$3:$E$81,4,0)</f>
        <v>#N/A</v>
      </c>
      <c r="Z1906" s="8" t="str">
        <f t="shared" si="29"/>
        <v>FLEX</v>
      </c>
      <c r="AA1906" s="8" t="e">
        <f>+VLOOKUP(I1906,[1]SKU!$H$2:$I$97,2,0)</f>
        <v>#N/A</v>
      </c>
    </row>
    <row r="1907" spans="24:27">
      <c r="X1907" s="8" t="str">
        <f>+IFERROR(VLOOKUP(N1907,[1]Hoja1!$B$2:$F$52,4,0)*P1907,"")</f>
        <v/>
      </c>
      <c r="Y1907" s="8" t="e">
        <f>+VLOOKUP(M1907,[1]SKU!$B$3:$E$81,4,0)</f>
        <v>#N/A</v>
      </c>
      <c r="Z1907" s="8" t="str">
        <f t="shared" si="29"/>
        <v>FLEX</v>
      </c>
      <c r="AA1907" s="8" t="e">
        <f>+VLOOKUP(I1907,[1]SKU!$H$2:$I$97,2,0)</f>
        <v>#N/A</v>
      </c>
    </row>
    <row r="1908" spans="24:27">
      <c r="X1908" s="8" t="str">
        <f>+IFERROR(VLOOKUP(N1908,[1]Hoja1!$B$2:$F$52,4,0)*P1908,"")</f>
        <v/>
      </c>
      <c r="Y1908" s="8" t="e">
        <f>+VLOOKUP(M1908,[1]SKU!$B$3:$E$81,4,0)</f>
        <v>#N/A</v>
      </c>
      <c r="Z1908" s="8" t="str">
        <f t="shared" si="29"/>
        <v>FLEX</v>
      </c>
      <c r="AA1908" s="8" t="e">
        <f>+VLOOKUP(I1908,[1]SKU!$H$2:$I$97,2,0)</f>
        <v>#N/A</v>
      </c>
    </row>
    <row r="1909" spans="24:27">
      <c r="X1909" s="8" t="str">
        <f>+IFERROR(VLOOKUP(N1909,[1]Hoja1!$B$2:$F$52,4,0)*P1909,"")</f>
        <v/>
      </c>
      <c r="Y1909" s="8" t="e">
        <f>+VLOOKUP(M1909,[1]SKU!$B$3:$E$81,4,0)</f>
        <v>#N/A</v>
      </c>
      <c r="Z1909" s="8" t="str">
        <f t="shared" si="29"/>
        <v>FLEX</v>
      </c>
      <c r="AA1909" s="8" t="e">
        <f>+VLOOKUP(I1909,[1]SKU!$H$2:$I$97,2,0)</f>
        <v>#N/A</v>
      </c>
    </row>
    <row r="1910" spans="24:27">
      <c r="X1910" s="8" t="str">
        <f>+IFERROR(VLOOKUP(N1910,[1]Hoja1!$B$2:$F$52,4,0)*P1910,"")</f>
        <v/>
      </c>
      <c r="Y1910" s="8" t="e">
        <f>+VLOOKUP(M1910,[1]SKU!$B$3:$E$81,4,0)</f>
        <v>#N/A</v>
      </c>
      <c r="Z1910" s="8" t="str">
        <f t="shared" si="29"/>
        <v>FLEX</v>
      </c>
      <c r="AA1910" s="8" t="e">
        <f>+VLOOKUP(I1910,[1]SKU!$H$2:$I$97,2,0)</f>
        <v>#N/A</v>
      </c>
    </row>
    <row r="1911" spans="24:27">
      <c r="X1911" s="8" t="str">
        <f>+IFERROR(VLOOKUP(N1911,[1]Hoja1!$B$2:$F$52,4,0)*P1911,"")</f>
        <v/>
      </c>
      <c r="Y1911" s="8" t="e">
        <f>+VLOOKUP(M1911,[1]SKU!$B$3:$E$81,4,0)</f>
        <v>#N/A</v>
      </c>
      <c r="Z1911" s="8" t="str">
        <f t="shared" si="29"/>
        <v>FLEX</v>
      </c>
      <c r="AA1911" s="8" t="e">
        <f>+VLOOKUP(I1911,[1]SKU!$H$2:$I$97,2,0)</f>
        <v>#N/A</v>
      </c>
    </row>
    <row r="1912" spans="24:27">
      <c r="X1912" s="8" t="str">
        <f>+IFERROR(VLOOKUP(N1912,[1]Hoja1!$B$2:$F$52,4,0)*P1912,"")</f>
        <v/>
      </c>
      <c r="Y1912" s="8" t="e">
        <f>+VLOOKUP(M1912,[1]SKU!$B$3:$E$81,4,0)</f>
        <v>#N/A</v>
      </c>
      <c r="Z1912" s="8" t="str">
        <f t="shared" si="29"/>
        <v>FLEX</v>
      </c>
      <c r="AA1912" s="8" t="e">
        <f>+VLOOKUP(I1912,[1]SKU!$H$2:$I$97,2,0)</f>
        <v>#N/A</v>
      </c>
    </row>
    <row r="1913" spans="24:27">
      <c r="X1913" s="8" t="str">
        <f>+IFERROR(VLOOKUP(N1913,[1]Hoja1!$B$2:$F$52,4,0)*P1913,"")</f>
        <v/>
      </c>
      <c r="Y1913" s="8" t="e">
        <f>+VLOOKUP(M1913,[1]SKU!$B$3:$E$81,4,0)</f>
        <v>#N/A</v>
      </c>
      <c r="Z1913" s="8" t="str">
        <f t="shared" si="29"/>
        <v>FLEX</v>
      </c>
      <c r="AA1913" s="8" t="e">
        <f>+VLOOKUP(I1913,[1]SKU!$H$2:$I$97,2,0)</f>
        <v>#N/A</v>
      </c>
    </row>
    <row r="1914" spans="24:27">
      <c r="X1914" s="8" t="str">
        <f>+IFERROR(VLOOKUP(N1914,[1]Hoja1!$B$2:$F$52,4,0)*P1914,"")</f>
        <v/>
      </c>
      <c r="Y1914" s="8" t="e">
        <f>+VLOOKUP(M1914,[1]SKU!$B$3:$E$81,4,0)</f>
        <v>#N/A</v>
      </c>
      <c r="Z1914" s="8" t="str">
        <f t="shared" si="29"/>
        <v>FLEX</v>
      </c>
      <c r="AA1914" s="8" t="e">
        <f>+VLOOKUP(I1914,[1]SKU!$H$2:$I$97,2,0)</f>
        <v>#N/A</v>
      </c>
    </row>
    <row r="1915" spans="24:27">
      <c r="X1915" s="8" t="str">
        <f>+IFERROR(VLOOKUP(N1915,[1]Hoja1!$B$2:$F$52,4,0)*P1915,"")</f>
        <v/>
      </c>
      <c r="Y1915" s="8" t="e">
        <f>+VLOOKUP(M1915,[1]SKU!$B$3:$E$81,4,0)</f>
        <v>#N/A</v>
      </c>
      <c r="Z1915" s="8" t="str">
        <f t="shared" si="29"/>
        <v>FLEX</v>
      </c>
      <c r="AA1915" s="8" t="e">
        <f>+VLOOKUP(I1915,[1]SKU!$H$2:$I$97,2,0)</f>
        <v>#N/A</v>
      </c>
    </row>
    <row r="1916" spans="24:27">
      <c r="X1916" s="8" t="str">
        <f>+IFERROR(VLOOKUP(N1916,[1]Hoja1!$B$2:$F$52,4,0)*P1916,"")</f>
        <v/>
      </c>
      <c r="Y1916" s="8" t="e">
        <f>+VLOOKUP(M1916,[1]SKU!$B$3:$E$81,4,0)</f>
        <v>#N/A</v>
      </c>
      <c r="Z1916" s="8" t="str">
        <f t="shared" si="29"/>
        <v>FLEX</v>
      </c>
      <c r="AA1916" s="8" t="e">
        <f>+VLOOKUP(I1916,[1]SKU!$H$2:$I$97,2,0)</f>
        <v>#N/A</v>
      </c>
    </row>
    <row r="1917" spans="24:27">
      <c r="X1917" s="8" t="str">
        <f>+IFERROR(VLOOKUP(N1917,[1]Hoja1!$B$2:$F$52,4,0)*P1917,"")</f>
        <v/>
      </c>
      <c r="Y1917" s="8" t="e">
        <f>+VLOOKUP(M1917,[1]SKU!$B$3:$E$81,4,0)</f>
        <v>#N/A</v>
      </c>
      <c r="Z1917" s="8" t="str">
        <f t="shared" si="29"/>
        <v>FLEX</v>
      </c>
      <c r="AA1917" s="8" t="e">
        <f>+VLOOKUP(I1917,[1]SKU!$H$2:$I$97,2,0)</f>
        <v>#N/A</v>
      </c>
    </row>
    <row r="1918" spans="24:27">
      <c r="X1918" s="8" t="str">
        <f>+IFERROR(VLOOKUP(N1918,[1]Hoja1!$B$2:$F$52,4,0)*P1918,"")</f>
        <v/>
      </c>
      <c r="Y1918" s="8" t="e">
        <f>+VLOOKUP(M1918,[1]SKU!$B$3:$E$81,4,0)</f>
        <v>#N/A</v>
      </c>
      <c r="Z1918" s="8" t="str">
        <f t="shared" si="29"/>
        <v>FLEX</v>
      </c>
      <c r="AA1918" s="8" t="e">
        <f>+VLOOKUP(I1918,[1]SKU!$H$2:$I$97,2,0)</f>
        <v>#N/A</v>
      </c>
    </row>
    <row r="1919" spans="24:27">
      <c r="X1919" s="8" t="str">
        <f>+IFERROR(VLOOKUP(N1919,[1]Hoja1!$B$2:$F$52,4,0)*P1919,"")</f>
        <v/>
      </c>
      <c r="Y1919" s="8" t="e">
        <f>+VLOOKUP(M1919,[1]SKU!$B$3:$E$81,4,0)</f>
        <v>#N/A</v>
      </c>
      <c r="Z1919" s="8" t="str">
        <f t="shared" si="29"/>
        <v>FLEX</v>
      </c>
      <c r="AA1919" s="8" t="e">
        <f>+VLOOKUP(I1919,[1]SKU!$H$2:$I$97,2,0)</f>
        <v>#N/A</v>
      </c>
    </row>
    <row r="1920" spans="24:27">
      <c r="X1920" s="8" t="str">
        <f>+IFERROR(VLOOKUP(N1920,[1]Hoja1!$B$2:$F$52,4,0)*P1920,"")</f>
        <v/>
      </c>
      <c r="Y1920" s="8" t="e">
        <f>+VLOOKUP(M1920,[1]SKU!$B$3:$E$81,4,0)</f>
        <v>#N/A</v>
      </c>
      <c r="Z1920" s="8" t="str">
        <f t="shared" si="29"/>
        <v>FLEX</v>
      </c>
      <c r="AA1920" s="8" t="e">
        <f>+VLOOKUP(I1920,[1]SKU!$H$2:$I$97,2,0)</f>
        <v>#N/A</v>
      </c>
    </row>
    <row r="1921" spans="24:27">
      <c r="X1921" s="8" t="str">
        <f>+IFERROR(VLOOKUP(N1921,[1]Hoja1!$B$2:$F$52,4,0)*P1921,"")</f>
        <v/>
      </c>
      <c r="Y1921" s="8" t="e">
        <f>+VLOOKUP(M1921,[1]SKU!$B$3:$E$81,4,0)</f>
        <v>#N/A</v>
      </c>
      <c r="Z1921" s="8" t="str">
        <f t="shared" si="29"/>
        <v>FLEX</v>
      </c>
      <c r="AA1921" s="8" t="e">
        <f>+VLOOKUP(I1921,[1]SKU!$H$2:$I$97,2,0)</f>
        <v>#N/A</v>
      </c>
    </row>
    <row r="1922" spans="24:27">
      <c r="X1922" s="8" t="str">
        <f>+IFERROR(VLOOKUP(N1922,[1]Hoja1!$B$2:$F$52,4,0)*P1922,"")</f>
        <v/>
      </c>
      <c r="Y1922" s="8" t="e">
        <f>+VLOOKUP(M1922,[1]SKU!$B$3:$E$81,4,0)</f>
        <v>#N/A</v>
      </c>
      <c r="Z1922" s="8" t="str">
        <f t="shared" si="29"/>
        <v>FLEX</v>
      </c>
      <c r="AA1922" s="8" t="e">
        <f>+VLOOKUP(I1922,[1]SKU!$H$2:$I$97,2,0)</f>
        <v>#N/A</v>
      </c>
    </row>
    <row r="1923" spans="24:27">
      <c r="X1923" s="8" t="str">
        <f>+IFERROR(VLOOKUP(N1923,[1]Hoja1!$B$2:$F$52,4,0)*P1923,"")</f>
        <v/>
      </c>
      <c r="Y1923" s="8" t="e">
        <f>+VLOOKUP(M1923,[1]SKU!$B$3:$E$81,4,0)</f>
        <v>#N/A</v>
      </c>
      <c r="Z1923" s="8" t="str">
        <f t="shared" ref="Z1923:Z1986" si="30">+IF(J1923="VB01                          ","BEES","FLEX")</f>
        <v>FLEX</v>
      </c>
      <c r="AA1923" s="8" t="e">
        <f>+VLOOKUP(I1923,[1]SKU!$H$2:$I$97,2,0)</f>
        <v>#N/A</v>
      </c>
    </row>
    <row r="1924" spans="24:27">
      <c r="X1924" s="8" t="str">
        <f>+IFERROR(VLOOKUP(N1924,[1]Hoja1!$B$2:$F$52,4,0)*P1924,"")</f>
        <v/>
      </c>
      <c r="Y1924" s="8" t="e">
        <f>+VLOOKUP(M1924,[1]SKU!$B$3:$E$81,4,0)</f>
        <v>#N/A</v>
      </c>
      <c r="Z1924" s="8" t="str">
        <f t="shared" si="30"/>
        <v>FLEX</v>
      </c>
      <c r="AA1924" s="8" t="e">
        <f>+VLOOKUP(I1924,[1]SKU!$H$2:$I$97,2,0)</f>
        <v>#N/A</v>
      </c>
    </row>
    <row r="1925" spans="24:27">
      <c r="X1925" s="8" t="str">
        <f>+IFERROR(VLOOKUP(N1925,[1]Hoja1!$B$2:$F$52,4,0)*P1925,"")</f>
        <v/>
      </c>
      <c r="Y1925" s="8" t="e">
        <f>+VLOOKUP(M1925,[1]SKU!$B$3:$E$81,4,0)</f>
        <v>#N/A</v>
      </c>
      <c r="Z1925" s="8" t="str">
        <f t="shared" si="30"/>
        <v>FLEX</v>
      </c>
      <c r="AA1925" s="8" t="e">
        <f>+VLOOKUP(I1925,[1]SKU!$H$2:$I$97,2,0)</f>
        <v>#N/A</v>
      </c>
    </row>
    <row r="1926" spans="24:27">
      <c r="X1926" s="8" t="str">
        <f>+IFERROR(VLOOKUP(N1926,[1]Hoja1!$B$2:$F$52,4,0)*P1926,"")</f>
        <v/>
      </c>
      <c r="Y1926" s="8" t="e">
        <f>+VLOOKUP(M1926,[1]SKU!$B$3:$E$81,4,0)</f>
        <v>#N/A</v>
      </c>
      <c r="Z1926" s="8" t="str">
        <f t="shared" si="30"/>
        <v>FLEX</v>
      </c>
      <c r="AA1926" s="8" t="e">
        <f>+VLOOKUP(I1926,[1]SKU!$H$2:$I$97,2,0)</f>
        <v>#N/A</v>
      </c>
    </row>
    <row r="1927" spans="24:27">
      <c r="X1927" s="8" t="str">
        <f>+IFERROR(VLOOKUP(N1927,[1]Hoja1!$B$2:$F$52,4,0)*P1927,"")</f>
        <v/>
      </c>
      <c r="Y1927" s="8" t="e">
        <f>+VLOOKUP(M1927,[1]SKU!$B$3:$E$81,4,0)</f>
        <v>#N/A</v>
      </c>
      <c r="Z1927" s="8" t="str">
        <f t="shared" si="30"/>
        <v>FLEX</v>
      </c>
      <c r="AA1927" s="8" t="e">
        <f>+VLOOKUP(I1927,[1]SKU!$H$2:$I$97,2,0)</f>
        <v>#N/A</v>
      </c>
    </row>
    <row r="1928" spans="24:27">
      <c r="X1928" s="8" t="str">
        <f>+IFERROR(VLOOKUP(N1928,[1]Hoja1!$B$2:$F$52,4,0)*P1928,"")</f>
        <v/>
      </c>
      <c r="Y1928" s="8" t="e">
        <f>+VLOOKUP(M1928,[1]SKU!$B$3:$E$81,4,0)</f>
        <v>#N/A</v>
      </c>
      <c r="Z1928" s="8" t="str">
        <f t="shared" si="30"/>
        <v>FLEX</v>
      </c>
      <c r="AA1928" s="8" t="e">
        <f>+VLOOKUP(I1928,[1]SKU!$H$2:$I$97,2,0)</f>
        <v>#N/A</v>
      </c>
    </row>
    <row r="1929" spans="24:27">
      <c r="X1929" s="8" t="str">
        <f>+IFERROR(VLOOKUP(N1929,[1]Hoja1!$B$2:$F$52,4,0)*P1929,"")</f>
        <v/>
      </c>
      <c r="Y1929" s="8" t="e">
        <f>+VLOOKUP(M1929,[1]SKU!$B$3:$E$81,4,0)</f>
        <v>#N/A</v>
      </c>
      <c r="Z1929" s="8" t="str">
        <f t="shared" si="30"/>
        <v>FLEX</v>
      </c>
      <c r="AA1929" s="8" t="e">
        <f>+VLOOKUP(I1929,[1]SKU!$H$2:$I$97,2,0)</f>
        <v>#N/A</v>
      </c>
    </row>
    <row r="1930" spans="24:27">
      <c r="X1930" s="8" t="str">
        <f>+IFERROR(VLOOKUP(N1930,[1]Hoja1!$B$2:$F$52,4,0)*P1930,"")</f>
        <v/>
      </c>
      <c r="Y1930" s="8" t="e">
        <f>+VLOOKUP(M1930,[1]SKU!$B$3:$E$81,4,0)</f>
        <v>#N/A</v>
      </c>
      <c r="Z1930" s="8" t="str">
        <f t="shared" si="30"/>
        <v>FLEX</v>
      </c>
      <c r="AA1930" s="8" t="e">
        <f>+VLOOKUP(I1930,[1]SKU!$H$2:$I$97,2,0)</f>
        <v>#N/A</v>
      </c>
    </row>
    <row r="1931" spans="24:27">
      <c r="X1931" s="8" t="str">
        <f>+IFERROR(VLOOKUP(N1931,[1]Hoja1!$B$2:$F$52,4,0)*P1931,"")</f>
        <v/>
      </c>
      <c r="Y1931" s="8" t="e">
        <f>+VLOOKUP(M1931,[1]SKU!$B$3:$E$81,4,0)</f>
        <v>#N/A</v>
      </c>
      <c r="Z1931" s="8" t="str">
        <f t="shared" si="30"/>
        <v>FLEX</v>
      </c>
      <c r="AA1931" s="8" t="e">
        <f>+VLOOKUP(I1931,[1]SKU!$H$2:$I$97,2,0)</f>
        <v>#N/A</v>
      </c>
    </row>
    <row r="1932" spans="24:27">
      <c r="X1932" s="8" t="str">
        <f>+IFERROR(VLOOKUP(N1932,[1]Hoja1!$B$2:$F$52,4,0)*P1932,"")</f>
        <v/>
      </c>
      <c r="Y1932" s="8" t="e">
        <f>+VLOOKUP(M1932,[1]SKU!$B$3:$E$81,4,0)</f>
        <v>#N/A</v>
      </c>
      <c r="Z1932" s="8" t="str">
        <f t="shared" si="30"/>
        <v>FLEX</v>
      </c>
      <c r="AA1932" s="8" t="e">
        <f>+VLOOKUP(I1932,[1]SKU!$H$2:$I$97,2,0)</f>
        <v>#N/A</v>
      </c>
    </row>
    <row r="1933" spans="24:27">
      <c r="X1933" s="8" t="str">
        <f>+IFERROR(VLOOKUP(N1933,[1]Hoja1!$B$2:$F$52,4,0)*P1933,"")</f>
        <v/>
      </c>
      <c r="Y1933" s="8" t="e">
        <f>+VLOOKUP(M1933,[1]SKU!$B$3:$E$81,4,0)</f>
        <v>#N/A</v>
      </c>
      <c r="Z1933" s="8" t="str">
        <f t="shared" si="30"/>
        <v>FLEX</v>
      </c>
      <c r="AA1933" s="8" t="e">
        <f>+VLOOKUP(I1933,[1]SKU!$H$2:$I$97,2,0)</f>
        <v>#N/A</v>
      </c>
    </row>
    <row r="1934" spans="24:27">
      <c r="X1934" s="8" t="str">
        <f>+IFERROR(VLOOKUP(N1934,[1]Hoja1!$B$2:$F$52,4,0)*P1934,"")</f>
        <v/>
      </c>
      <c r="Y1934" s="8" t="e">
        <f>+VLOOKUP(M1934,[1]SKU!$B$3:$E$81,4,0)</f>
        <v>#N/A</v>
      </c>
      <c r="Z1934" s="8" t="str">
        <f t="shared" si="30"/>
        <v>FLEX</v>
      </c>
      <c r="AA1934" s="8" t="e">
        <f>+VLOOKUP(I1934,[1]SKU!$H$2:$I$97,2,0)</f>
        <v>#N/A</v>
      </c>
    </row>
    <row r="1935" spans="24:27">
      <c r="X1935" s="8" t="str">
        <f>+IFERROR(VLOOKUP(N1935,[1]Hoja1!$B$2:$F$52,4,0)*P1935,"")</f>
        <v/>
      </c>
      <c r="Y1935" s="8" t="e">
        <f>+VLOOKUP(M1935,[1]SKU!$B$3:$E$81,4,0)</f>
        <v>#N/A</v>
      </c>
      <c r="Z1935" s="8" t="str">
        <f t="shared" si="30"/>
        <v>FLEX</v>
      </c>
      <c r="AA1935" s="8" t="e">
        <f>+VLOOKUP(I1935,[1]SKU!$H$2:$I$97,2,0)</f>
        <v>#N/A</v>
      </c>
    </row>
    <row r="1936" spans="24:27">
      <c r="X1936" s="8" t="str">
        <f>+IFERROR(VLOOKUP(N1936,[1]Hoja1!$B$2:$F$52,4,0)*P1936,"")</f>
        <v/>
      </c>
      <c r="Y1936" s="8" t="e">
        <f>+VLOOKUP(M1936,[1]SKU!$B$3:$E$81,4,0)</f>
        <v>#N/A</v>
      </c>
      <c r="Z1936" s="8" t="str">
        <f t="shared" si="30"/>
        <v>FLEX</v>
      </c>
      <c r="AA1936" s="8" t="e">
        <f>+VLOOKUP(I1936,[1]SKU!$H$2:$I$97,2,0)</f>
        <v>#N/A</v>
      </c>
    </row>
    <row r="1937" spans="24:27">
      <c r="X1937" s="8" t="str">
        <f>+IFERROR(VLOOKUP(N1937,[1]Hoja1!$B$2:$F$52,4,0)*P1937,"")</f>
        <v/>
      </c>
      <c r="Y1937" s="8" t="e">
        <f>+VLOOKUP(M1937,[1]SKU!$B$3:$E$81,4,0)</f>
        <v>#N/A</v>
      </c>
      <c r="Z1937" s="8" t="str">
        <f t="shared" si="30"/>
        <v>FLEX</v>
      </c>
      <c r="AA1937" s="8" t="e">
        <f>+VLOOKUP(I1937,[1]SKU!$H$2:$I$97,2,0)</f>
        <v>#N/A</v>
      </c>
    </row>
    <row r="1938" spans="24:27">
      <c r="X1938" s="8" t="str">
        <f>+IFERROR(VLOOKUP(N1938,[1]Hoja1!$B$2:$F$52,4,0)*P1938,"")</f>
        <v/>
      </c>
      <c r="Y1938" s="8" t="e">
        <f>+VLOOKUP(M1938,[1]SKU!$B$3:$E$81,4,0)</f>
        <v>#N/A</v>
      </c>
      <c r="Z1938" s="8" t="str">
        <f t="shared" si="30"/>
        <v>FLEX</v>
      </c>
      <c r="AA1938" s="8" t="e">
        <f>+VLOOKUP(I1938,[1]SKU!$H$2:$I$97,2,0)</f>
        <v>#N/A</v>
      </c>
    </row>
    <row r="1939" spans="24:27">
      <c r="X1939" s="8" t="str">
        <f>+IFERROR(VLOOKUP(N1939,[1]Hoja1!$B$2:$F$52,4,0)*P1939,"")</f>
        <v/>
      </c>
      <c r="Y1939" s="8" t="e">
        <f>+VLOOKUP(M1939,[1]SKU!$B$3:$E$81,4,0)</f>
        <v>#N/A</v>
      </c>
      <c r="Z1939" s="8" t="str">
        <f t="shared" si="30"/>
        <v>FLEX</v>
      </c>
      <c r="AA1939" s="8" t="e">
        <f>+VLOOKUP(I1939,[1]SKU!$H$2:$I$97,2,0)</f>
        <v>#N/A</v>
      </c>
    </row>
    <row r="1940" spans="24:27">
      <c r="X1940" s="8" t="str">
        <f>+IFERROR(VLOOKUP(N1940,[1]Hoja1!$B$2:$F$52,4,0)*P1940,"")</f>
        <v/>
      </c>
      <c r="Y1940" s="8" t="e">
        <f>+VLOOKUP(M1940,[1]SKU!$B$3:$E$81,4,0)</f>
        <v>#N/A</v>
      </c>
      <c r="Z1940" s="8" t="str">
        <f t="shared" si="30"/>
        <v>FLEX</v>
      </c>
      <c r="AA1940" s="8" t="e">
        <f>+VLOOKUP(I1940,[1]SKU!$H$2:$I$97,2,0)</f>
        <v>#N/A</v>
      </c>
    </row>
    <row r="1941" spans="24:27">
      <c r="X1941" s="8" t="str">
        <f>+IFERROR(VLOOKUP(N1941,[1]Hoja1!$B$2:$F$52,4,0)*P1941,"")</f>
        <v/>
      </c>
      <c r="Y1941" s="8" t="e">
        <f>+VLOOKUP(M1941,[1]SKU!$B$3:$E$81,4,0)</f>
        <v>#N/A</v>
      </c>
      <c r="Z1941" s="8" t="str">
        <f t="shared" si="30"/>
        <v>FLEX</v>
      </c>
      <c r="AA1941" s="8" t="e">
        <f>+VLOOKUP(I1941,[1]SKU!$H$2:$I$97,2,0)</f>
        <v>#N/A</v>
      </c>
    </row>
    <row r="1942" spans="24:27">
      <c r="X1942" s="8" t="str">
        <f>+IFERROR(VLOOKUP(N1942,[1]Hoja1!$B$2:$F$52,4,0)*P1942,"")</f>
        <v/>
      </c>
      <c r="Y1942" s="8" t="e">
        <f>+VLOOKUP(M1942,[1]SKU!$B$3:$E$81,4,0)</f>
        <v>#N/A</v>
      </c>
      <c r="Z1942" s="8" t="str">
        <f t="shared" si="30"/>
        <v>FLEX</v>
      </c>
      <c r="AA1942" s="8" t="e">
        <f>+VLOOKUP(I1942,[1]SKU!$H$2:$I$97,2,0)</f>
        <v>#N/A</v>
      </c>
    </row>
    <row r="1943" spans="24:27">
      <c r="X1943" s="8" t="str">
        <f>+IFERROR(VLOOKUP(N1943,[1]Hoja1!$B$2:$F$52,4,0)*P1943,"")</f>
        <v/>
      </c>
      <c r="Y1943" s="8" t="e">
        <f>+VLOOKUP(M1943,[1]SKU!$B$3:$E$81,4,0)</f>
        <v>#N/A</v>
      </c>
      <c r="Z1943" s="8" t="str">
        <f t="shared" si="30"/>
        <v>FLEX</v>
      </c>
      <c r="AA1943" s="8" t="e">
        <f>+VLOOKUP(I1943,[1]SKU!$H$2:$I$97,2,0)</f>
        <v>#N/A</v>
      </c>
    </row>
    <row r="1944" spans="24:27">
      <c r="X1944" s="8" t="str">
        <f>+IFERROR(VLOOKUP(N1944,[1]Hoja1!$B$2:$F$52,4,0)*P1944,"")</f>
        <v/>
      </c>
      <c r="Y1944" s="8" t="e">
        <f>+VLOOKUP(M1944,[1]SKU!$B$3:$E$81,4,0)</f>
        <v>#N/A</v>
      </c>
      <c r="Z1944" s="8" t="str">
        <f t="shared" si="30"/>
        <v>FLEX</v>
      </c>
      <c r="AA1944" s="8" t="e">
        <f>+VLOOKUP(I1944,[1]SKU!$H$2:$I$97,2,0)</f>
        <v>#N/A</v>
      </c>
    </row>
    <row r="1945" spans="24:27">
      <c r="X1945" s="8" t="str">
        <f>+IFERROR(VLOOKUP(N1945,[1]Hoja1!$B$2:$F$52,4,0)*P1945,"")</f>
        <v/>
      </c>
      <c r="Y1945" s="8" t="e">
        <f>+VLOOKUP(M1945,[1]SKU!$B$3:$E$81,4,0)</f>
        <v>#N/A</v>
      </c>
      <c r="Z1945" s="8" t="str">
        <f t="shared" si="30"/>
        <v>FLEX</v>
      </c>
      <c r="AA1945" s="8" t="e">
        <f>+VLOOKUP(I1945,[1]SKU!$H$2:$I$97,2,0)</f>
        <v>#N/A</v>
      </c>
    </row>
    <row r="1946" spans="24:27">
      <c r="X1946" s="8" t="str">
        <f>+IFERROR(VLOOKUP(N1946,[1]Hoja1!$B$2:$F$52,4,0)*P1946,"")</f>
        <v/>
      </c>
      <c r="Y1946" s="8" t="e">
        <f>+VLOOKUP(M1946,[1]SKU!$B$3:$E$81,4,0)</f>
        <v>#N/A</v>
      </c>
      <c r="Z1946" s="8" t="str">
        <f t="shared" si="30"/>
        <v>FLEX</v>
      </c>
      <c r="AA1946" s="8" t="e">
        <f>+VLOOKUP(I1946,[1]SKU!$H$2:$I$97,2,0)</f>
        <v>#N/A</v>
      </c>
    </row>
    <row r="1947" spans="24:27">
      <c r="X1947" s="8" t="str">
        <f>+IFERROR(VLOOKUP(N1947,[1]Hoja1!$B$2:$F$52,4,0)*P1947,"")</f>
        <v/>
      </c>
      <c r="Y1947" s="8" t="e">
        <f>+VLOOKUP(M1947,[1]SKU!$B$3:$E$81,4,0)</f>
        <v>#N/A</v>
      </c>
      <c r="Z1947" s="8" t="str">
        <f t="shared" si="30"/>
        <v>FLEX</v>
      </c>
      <c r="AA1947" s="8" t="e">
        <f>+VLOOKUP(I1947,[1]SKU!$H$2:$I$97,2,0)</f>
        <v>#N/A</v>
      </c>
    </row>
    <row r="1948" spans="24:27">
      <c r="X1948" s="8" t="str">
        <f>+IFERROR(VLOOKUP(N1948,[1]Hoja1!$B$2:$F$52,4,0)*P1948,"")</f>
        <v/>
      </c>
      <c r="Y1948" s="8" t="e">
        <f>+VLOOKUP(M1948,[1]SKU!$B$3:$E$81,4,0)</f>
        <v>#N/A</v>
      </c>
      <c r="Z1948" s="8" t="str">
        <f t="shared" si="30"/>
        <v>FLEX</v>
      </c>
      <c r="AA1948" s="8" t="e">
        <f>+VLOOKUP(I1948,[1]SKU!$H$2:$I$97,2,0)</f>
        <v>#N/A</v>
      </c>
    </row>
    <row r="1949" spans="24:27">
      <c r="X1949" s="8" t="str">
        <f>+IFERROR(VLOOKUP(N1949,[1]Hoja1!$B$2:$F$52,4,0)*P1949,"")</f>
        <v/>
      </c>
      <c r="Y1949" s="8" t="e">
        <f>+VLOOKUP(M1949,[1]SKU!$B$3:$E$81,4,0)</f>
        <v>#N/A</v>
      </c>
      <c r="Z1949" s="8" t="str">
        <f t="shared" si="30"/>
        <v>FLEX</v>
      </c>
      <c r="AA1949" s="8" t="e">
        <f>+VLOOKUP(I1949,[1]SKU!$H$2:$I$97,2,0)</f>
        <v>#N/A</v>
      </c>
    </row>
    <row r="1950" spans="24:27">
      <c r="X1950" s="8" t="str">
        <f>+IFERROR(VLOOKUP(N1950,[1]Hoja1!$B$2:$F$52,4,0)*P1950,"")</f>
        <v/>
      </c>
      <c r="Y1950" s="8" t="e">
        <f>+VLOOKUP(M1950,[1]SKU!$B$3:$E$81,4,0)</f>
        <v>#N/A</v>
      </c>
      <c r="Z1950" s="8" t="str">
        <f t="shared" si="30"/>
        <v>FLEX</v>
      </c>
      <c r="AA1950" s="8" t="e">
        <f>+VLOOKUP(I1950,[1]SKU!$H$2:$I$97,2,0)</f>
        <v>#N/A</v>
      </c>
    </row>
    <row r="1951" spans="24:27">
      <c r="X1951" s="8" t="str">
        <f>+IFERROR(VLOOKUP(N1951,[1]Hoja1!$B$2:$F$52,4,0)*P1951,"")</f>
        <v/>
      </c>
      <c r="Y1951" s="8" t="e">
        <f>+VLOOKUP(M1951,[1]SKU!$B$3:$E$81,4,0)</f>
        <v>#N/A</v>
      </c>
      <c r="Z1951" s="8" t="str">
        <f t="shared" si="30"/>
        <v>FLEX</v>
      </c>
      <c r="AA1951" s="8" t="e">
        <f>+VLOOKUP(I1951,[1]SKU!$H$2:$I$97,2,0)</f>
        <v>#N/A</v>
      </c>
    </row>
    <row r="1952" spans="24:27">
      <c r="X1952" s="8" t="str">
        <f>+IFERROR(VLOOKUP(N1952,[1]Hoja1!$B$2:$F$52,4,0)*P1952,"")</f>
        <v/>
      </c>
      <c r="Y1952" s="8" t="e">
        <f>+VLOOKUP(M1952,[1]SKU!$B$3:$E$81,4,0)</f>
        <v>#N/A</v>
      </c>
      <c r="Z1952" s="8" t="str">
        <f t="shared" si="30"/>
        <v>FLEX</v>
      </c>
      <c r="AA1952" s="8" t="e">
        <f>+VLOOKUP(I1952,[1]SKU!$H$2:$I$97,2,0)</f>
        <v>#N/A</v>
      </c>
    </row>
    <row r="1953" spans="24:27">
      <c r="X1953" s="8" t="str">
        <f>+IFERROR(VLOOKUP(N1953,[1]Hoja1!$B$2:$F$52,4,0)*P1953,"")</f>
        <v/>
      </c>
      <c r="Y1953" s="8" t="e">
        <f>+VLOOKUP(M1953,[1]SKU!$B$3:$E$81,4,0)</f>
        <v>#N/A</v>
      </c>
      <c r="Z1953" s="8" t="str">
        <f t="shared" si="30"/>
        <v>FLEX</v>
      </c>
      <c r="AA1953" s="8" t="e">
        <f>+VLOOKUP(I1953,[1]SKU!$H$2:$I$97,2,0)</f>
        <v>#N/A</v>
      </c>
    </row>
    <row r="1954" spans="24:27">
      <c r="X1954" s="8" t="str">
        <f>+IFERROR(VLOOKUP(N1954,[1]Hoja1!$B$2:$F$52,4,0)*P1954,"")</f>
        <v/>
      </c>
      <c r="Y1954" s="8" t="e">
        <f>+VLOOKUP(M1954,[1]SKU!$B$3:$E$81,4,0)</f>
        <v>#N/A</v>
      </c>
      <c r="Z1954" s="8" t="str">
        <f t="shared" si="30"/>
        <v>FLEX</v>
      </c>
      <c r="AA1954" s="8" t="e">
        <f>+VLOOKUP(I1954,[1]SKU!$H$2:$I$97,2,0)</f>
        <v>#N/A</v>
      </c>
    </row>
    <row r="1955" spans="24:27">
      <c r="X1955" s="8" t="str">
        <f>+IFERROR(VLOOKUP(N1955,[1]Hoja1!$B$2:$F$52,4,0)*P1955,"")</f>
        <v/>
      </c>
      <c r="Y1955" s="8" t="e">
        <f>+VLOOKUP(M1955,[1]SKU!$B$3:$E$81,4,0)</f>
        <v>#N/A</v>
      </c>
      <c r="Z1955" s="8" t="str">
        <f t="shared" si="30"/>
        <v>FLEX</v>
      </c>
      <c r="AA1955" s="8" t="e">
        <f>+VLOOKUP(I1955,[1]SKU!$H$2:$I$97,2,0)</f>
        <v>#N/A</v>
      </c>
    </row>
    <row r="1956" spans="24:27">
      <c r="X1956" s="8" t="str">
        <f>+IFERROR(VLOOKUP(N1956,[1]Hoja1!$B$2:$F$52,4,0)*P1956,"")</f>
        <v/>
      </c>
      <c r="Y1956" s="8" t="e">
        <f>+VLOOKUP(M1956,[1]SKU!$B$3:$E$81,4,0)</f>
        <v>#N/A</v>
      </c>
      <c r="Z1956" s="8" t="str">
        <f t="shared" si="30"/>
        <v>FLEX</v>
      </c>
      <c r="AA1956" s="8" t="e">
        <f>+VLOOKUP(I1956,[1]SKU!$H$2:$I$97,2,0)</f>
        <v>#N/A</v>
      </c>
    </row>
    <row r="1957" spans="24:27">
      <c r="X1957" s="8" t="str">
        <f>+IFERROR(VLOOKUP(N1957,[1]Hoja1!$B$2:$F$52,4,0)*P1957,"")</f>
        <v/>
      </c>
      <c r="Y1957" s="8" t="e">
        <f>+VLOOKUP(M1957,[1]SKU!$B$3:$E$81,4,0)</f>
        <v>#N/A</v>
      </c>
      <c r="Z1957" s="8" t="str">
        <f t="shared" si="30"/>
        <v>FLEX</v>
      </c>
      <c r="AA1957" s="8" t="e">
        <f>+VLOOKUP(I1957,[1]SKU!$H$2:$I$97,2,0)</f>
        <v>#N/A</v>
      </c>
    </row>
    <row r="1958" spans="24:27">
      <c r="X1958" s="8" t="str">
        <f>+IFERROR(VLOOKUP(N1958,[1]Hoja1!$B$2:$F$52,4,0)*P1958,"")</f>
        <v/>
      </c>
      <c r="Y1958" s="8" t="e">
        <f>+VLOOKUP(M1958,[1]SKU!$B$3:$E$81,4,0)</f>
        <v>#N/A</v>
      </c>
      <c r="Z1958" s="8" t="str">
        <f t="shared" si="30"/>
        <v>FLEX</v>
      </c>
      <c r="AA1958" s="8" t="e">
        <f>+VLOOKUP(I1958,[1]SKU!$H$2:$I$97,2,0)</f>
        <v>#N/A</v>
      </c>
    </row>
    <row r="1959" spans="24:27">
      <c r="X1959" s="8" t="str">
        <f>+IFERROR(VLOOKUP(N1959,[1]Hoja1!$B$2:$F$52,4,0)*P1959,"")</f>
        <v/>
      </c>
      <c r="Y1959" s="8" t="e">
        <f>+VLOOKUP(M1959,[1]SKU!$B$3:$E$81,4,0)</f>
        <v>#N/A</v>
      </c>
      <c r="Z1959" s="8" t="str">
        <f t="shared" si="30"/>
        <v>FLEX</v>
      </c>
      <c r="AA1959" s="8" t="e">
        <f>+VLOOKUP(I1959,[1]SKU!$H$2:$I$97,2,0)</f>
        <v>#N/A</v>
      </c>
    </row>
    <row r="1960" spans="24:27">
      <c r="X1960" s="8" t="str">
        <f>+IFERROR(VLOOKUP(N1960,[1]Hoja1!$B$2:$F$52,4,0)*P1960,"")</f>
        <v/>
      </c>
      <c r="Y1960" s="8" t="e">
        <f>+VLOOKUP(M1960,[1]SKU!$B$3:$E$81,4,0)</f>
        <v>#N/A</v>
      </c>
      <c r="Z1960" s="8" t="str">
        <f t="shared" si="30"/>
        <v>FLEX</v>
      </c>
      <c r="AA1960" s="8" t="e">
        <f>+VLOOKUP(I1960,[1]SKU!$H$2:$I$97,2,0)</f>
        <v>#N/A</v>
      </c>
    </row>
    <row r="1961" spans="24:27">
      <c r="X1961" s="8" t="str">
        <f>+IFERROR(VLOOKUP(N1961,[1]Hoja1!$B$2:$F$52,4,0)*P1961,"")</f>
        <v/>
      </c>
      <c r="Y1961" s="8" t="e">
        <f>+VLOOKUP(M1961,[1]SKU!$B$3:$E$81,4,0)</f>
        <v>#N/A</v>
      </c>
      <c r="Z1961" s="8" t="str">
        <f t="shared" si="30"/>
        <v>FLEX</v>
      </c>
      <c r="AA1961" s="8" t="e">
        <f>+VLOOKUP(I1961,[1]SKU!$H$2:$I$97,2,0)</f>
        <v>#N/A</v>
      </c>
    </row>
    <row r="1962" spans="24:27">
      <c r="X1962" s="8" t="str">
        <f>+IFERROR(VLOOKUP(N1962,[1]Hoja1!$B$2:$F$52,4,0)*P1962,"")</f>
        <v/>
      </c>
      <c r="Y1962" s="8" t="e">
        <f>+VLOOKUP(M1962,[1]SKU!$B$3:$E$81,4,0)</f>
        <v>#N/A</v>
      </c>
      <c r="Z1962" s="8" t="str">
        <f t="shared" si="30"/>
        <v>FLEX</v>
      </c>
      <c r="AA1962" s="8" t="e">
        <f>+VLOOKUP(I1962,[1]SKU!$H$2:$I$97,2,0)</f>
        <v>#N/A</v>
      </c>
    </row>
    <row r="1963" spans="24:27">
      <c r="X1963" s="8" t="str">
        <f>+IFERROR(VLOOKUP(N1963,[1]Hoja1!$B$2:$F$52,4,0)*P1963,"")</f>
        <v/>
      </c>
      <c r="Y1963" s="8" t="e">
        <f>+VLOOKUP(M1963,[1]SKU!$B$3:$E$81,4,0)</f>
        <v>#N/A</v>
      </c>
      <c r="Z1963" s="8" t="str">
        <f t="shared" si="30"/>
        <v>FLEX</v>
      </c>
      <c r="AA1963" s="8" t="e">
        <f>+VLOOKUP(I1963,[1]SKU!$H$2:$I$97,2,0)</f>
        <v>#N/A</v>
      </c>
    </row>
    <row r="1964" spans="24:27">
      <c r="X1964" s="8" t="str">
        <f>+IFERROR(VLOOKUP(N1964,[1]Hoja1!$B$2:$F$52,4,0)*P1964,"")</f>
        <v/>
      </c>
      <c r="Y1964" s="8" t="e">
        <f>+VLOOKUP(M1964,[1]SKU!$B$3:$E$81,4,0)</f>
        <v>#N/A</v>
      </c>
      <c r="Z1964" s="8" t="str">
        <f t="shared" si="30"/>
        <v>FLEX</v>
      </c>
      <c r="AA1964" s="8" t="e">
        <f>+VLOOKUP(I1964,[1]SKU!$H$2:$I$97,2,0)</f>
        <v>#N/A</v>
      </c>
    </row>
    <row r="1965" spans="24:27">
      <c r="X1965" s="8" t="str">
        <f>+IFERROR(VLOOKUP(N1965,[1]Hoja1!$B$2:$F$52,4,0)*P1965,"")</f>
        <v/>
      </c>
      <c r="Y1965" s="8" t="e">
        <f>+VLOOKUP(M1965,[1]SKU!$B$3:$E$81,4,0)</f>
        <v>#N/A</v>
      </c>
      <c r="Z1965" s="8" t="str">
        <f t="shared" si="30"/>
        <v>FLEX</v>
      </c>
      <c r="AA1965" s="8" t="e">
        <f>+VLOOKUP(I1965,[1]SKU!$H$2:$I$97,2,0)</f>
        <v>#N/A</v>
      </c>
    </row>
    <row r="1966" spans="24:27">
      <c r="X1966" s="8" t="str">
        <f>+IFERROR(VLOOKUP(N1966,[1]Hoja1!$B$2:$F$52,4,0)*P1966,"")</f>
        <v/>
      </c>
      <c r="Y1966" s="8" t="e">
        <f>+VLOOKUP(M1966,[1]SKU!$B$3:$E$81,4,0)</f>
        <v>#N/A</v>
      </c>
      <c r="Z1966" s="8" t="str">
        <f t="shared" si="30"/>
        <v>FLEX</v>
      </c>
      <c r="AA1966" s="8" t="e">
        <f>+VLOOKUP(I1966,[1]SKU!$H$2:$I$97,2,0)</f>
        <v>#N/A</v>
      </c>
    </row>
    <row r="1967" spans="24:27">
      <c r="X1967" s="8" t="str">
        <f>+IFERROR(VLOOKUP(N1967,[1]Hoja1!$B$2:$F$52,4,0)*P1967,"")</f>
        <v/>
      </c>
      <c r="Y1967" s="8" t="e">
        <f>+VLOOKUP(M1967,[1]SKU!$B$3:$E$81,4,0)</f>
        <v>#N/A</v>
      </c>
      <c r="Z1967" s="8" t="str">
        <f t="shared" si="30"/>
        <v>FLEX</v>
      </c>
      <c r="AA1967" s="8" t="e">
        <f>+VLOOKUP(I1967,[1]SKU!$H$2:$I$97,2,0)</f>
        <v>#N/A</v>
      </c>
    </row>
    <row r="1968" spans="24:27">
      <c r="X1968" s="8" t="str">
        <f>+IFERROR(VLOOKUP(N1968,[1]Hoja1!$B$2:$F$52,4,0)*P1968,"")</f>
        <v/>
      </c>
      <c r="Y1968" s="8" t="e">
        <f>+VLOOKUP(M1968,[1]SKU!$B$3:$E$81,4,0)</f>
        <v>#N/A</v>
      </c>
      <c r="Z1968" s="8" t="str">
        <f t="shared" si="30"/>
        <v>FLEX</v>
      </c>
      <c r="AA1968" s="8" t="e">
        <f>+VLOOKUP(I1968,[1]SKU!$H$2:$I$97,2,0)</f>
        <v>#N/A</v>
      </c>
    </row>
    <row r="1969" spans="24:27">
      <c r="X1969" s="8" t="str">
        <f>+IFERROR(VLOOKUP(N1969,[1]Hoja1!$B$2:$F$52,4,0)*P1969,"")</f>
        <v/>
      </c>
      <c r="Y1969" s="8" t="e">
        <f>+VLOOKUP(M1969,[1]SKU!$B$3:$E$81,4,0)</f>
        <v>#N/A</v>
      </c>
      <c r="Z1969" s="8" t="str">
        <f t="shared" si="30"/>
        <v>FLEX</v>
      </c>
      <c r="AA1969" s="8" t="e">
        <f>+VLOOKUP(I1969,[1]SKU!$H$2:$I$97,2,0)</f>
        <v>#N/A</v>
      </c>
    </row>
    <row r="1970" spans="24:27">
      <c r="X1970" s="8" t="str">
        <f>+IFERROR(VLOOKUP(N1970,[1]Hoja1!$B$2:$F$52,4,0)*P1970,"")</f>
        <v/>
      </c>
      <c r="Y1970" s="8" t="e">
        <f>+VLOOKUP(M1970,[1]SKU!$B$3:$E$81,4,0)</f>
        <v>#N/A</v>
      </c>
      <c r="Z1970" s="8" t="str">
        <f t="shared" si="30"/>
        <v>FLEX</v>
      </c>
      <c r="AA1970" s="8" t="e">
        <f>+VLOOKUP(I1970,[1]SKU!$H$2:$I$97,2,0)</f>
        <v>#N/A</v>
      </c>
    </row>
    <row r="1971" spans="24:27">
      <c r="X1971" s="8" t="str">
        <f>+IFERROR(VLOOKUP(N1971,[1]Hoja1!$B$2:$F$52,4,0)*P1971,"")</f>
        <v/>
      </c>
      <c r="Y1971" s="8" t="e">
        <f>+VLOOKUP(M1971,[1]SKU!$B$3:$E$81,4,0)</f>
        <v>#N/A</v>
      </c>
      <c r="Z1971" s="8" t="str">
        <f t="shared" si="30"/>
        <v>FLEX</v>
      </c>
      <c r="AA1971" s="8" t="e">
        <f>+VLOOKUP(I1971,[1]SKU!$H$2:$I$97,2,0)</f>
        <v>#N/A</v>
      </c>
    </row>
    <row r="1972" spans="24:27">
      <c r="X1972" s="8" t="str">
        <f>+IFERROR(VLOOKUP(N1972,[1]Hoja1!$B$2:$F$52,4,0)*P1972,"")</f>
        <v/>
      </c>
      <c r="Y1972" s="8" t="e">
        <f>+VLOOKUP(M1972,[1]SKU!$B$3:$E$81,4,0)</f>
        <v>#N/A</v>
      </c>
      <c r="Z1972" s="8" t="str">
        <f t="shared" si="30"/>
        <v>FLEX</v>
      </c>
      <c r="AA1972" s="8" t="e">
        <f>+VLOOKUP(I1972,[1]SKU!$H$2:$I$97,2,0)</f>
        <v>#N/A</v>
      </c>
    </row>
    <row r="1973" spans="24:27">
      <c r="X1973" s="8" t="str">
        <f>+IFERROR(VLOOKUP(N1973,[1]Hoja1!$B$2:$F$52,4,0)*P1973,"")</f>
        <v/>
      </c>
      <c r="Y1973" s="8" t="e">
        <f>+VLOOKUP(M1973,[1]SKU!$B$3:$E$81,4,0)</f>
        <v>#N/A</v>
      </c>
      <c r="Z1973" s="8" t="str">
        <f t="shared" si="30"/>
        <v>FLEX</v>
      </c>
      <c r="AA1973" s="8" t="e">
        <f>+VLOOKUP(I1973,[1]SKU!$H$2:$I$97,2,0)</f>
        <v>#N/A</v>
      </c>
    </row>
    <row r="1974" spans="24:27">
      <c r="X1974" s="8" t="str">
        <f>+IFERROR(VLOOKUP(N1974,[1]Hoja1!$B$2:$F$52,4,0)*P1974,"")</f>
        <v/>
      </c>
      <c r="Y1974" s="8" t="e">
        <f>+VLOOKUP(M1974,[1]SKU!$B$3:$E$81,4,0)</f>
        <v>#N/A</v>
      </c>
      <c r="Z1974" s="8" t="str">
        <f t="shared" si="30"/>
        <v>FLEX</v>
      </c>
      <c r="AA1974" s="8" t="e">
        <f>+VLOOKUP(I1974,[1]SKU!$H$2:$I$97,2,0)</f>
        <v>#N/A</v>
      </c>
    </row>
    <row r="1975" spans="24:27">
      <c r="X1975" s="8" t="str">
        <f>+IFERROR(VLOOKUP(N1975,[1]Hoja1!$B$2:$F$52,4,0)*P1975,"")</f>
        <v/>
      </c>
      <c r="Y1975" s="8" t="e">
        <f>+VLOOKUP(M1975,[1]SKU!$B$3:$E$81,4,0)</f>
        <v>#N/A</v>
      </c>
      <c r="Z1975" s="8" t="str">
        <f t="shared" si="30"/>
        <v>FLEX</v>
      </c>
      <c r="AA1975" s="8" t="e">
        <f>+VLOOKUP(I1975,[1]SKU!$H$2:$I$97,2,0)</f>
        <v>#N/A</v>
      </c>
    </row>
    <row r="1976" spans="24:27">
      <c r="X1976" s="8" t="str">
        <f>+IFERROR(VLOOKUP(N1976,[1]Hoja1!$B$2:$F$52,4,0)*P1976,"")</f>
        <v/>
      </c>
      <c r="Y1976" s="8" t="e">
        <f>+VLOOKUP(M1976,[1]SKU!$B$3:$E$81,4,0)</f>
        <v>#N/A</v>
      </c>
      <c r="Z1976" s="8" t="str">
        <f t="shared" si="30"/>
        <v>FLEX</v>
      </c>
      <c r="AA1976" s="8" t="e">
        <f>+VLOOKUP(I1976,[1]SKU!$H$2:$I$97,2,0)</f>
        <v>#N/A</v>
      </c>
    </row>
    <row r="1977" spans="24:27">
      <c r="X1977" s="8" t="str">
        <f>+IFERROR(VLOOKUP(N1977,[1]Hoja1!$B$2:$F$52,4,0)*P1977,"")</f>
        <v/>
      </c>
      <c r="Y1977" s="8" t="e">
        <f>+VLOOKUP(M1977,[1]SKU!$B$3:$E$81,4,0)</f>
        <v>#N/A</v>
      </c>
      <c r="Z1977" s="8" t="str">
        <f t="shared" si="30"/>
        <v>FLEX</v>
      </c>
      <c r="AA1977" s="8" t="e">
        <f>+VLOOKUP(I1977,[1]SKU!$H$2:$I$97,2,0)</f>
        <v>#N/A</v>
      </c>
    </row>
    <row r="1978" spans="24:27">
      <c r="X1978" s="8" t="str">
        <f>+IFERROR(VLOOKUP(N1978,[1]Hoja1!$B$2:$F$52,4,0)*P1978,"")</f>
        <v/>
      </c>
      <c r="Y1978" s="8" t="e">
        <f>+VLOOKUP(M1978,[1]SKU!$B$3:$E$81,4,0)</f>
        <v>#N/A</v>
      </c>
      <c r="Z1978" s="8" t="str">
        <f t="shared" si="30"/>
        <v>FLEX</v>
      </c>
      <c r="AA1978" s="8" t="e">
        <f>+VLOOKUP(I1978,[1]SKU!$H$2:$I$97,2,0)</f>
        <v>#N/A</v>
      </c>
    </row>
    <row r="1979" spans="24:27">
      <c r="X1979" s="8" t="str">
        <f>+IFERROR(VLOOKUP(N1979,[1]Hoja1!$B$2:$F$52,4,0)*P1979,"")</f>
        <v/>
      </c>
      <c r="Y1979" s="8" t="e">
        <f>+VLOOKUP(M1979,[1]SKU!$B$3:$E$81,4,0)</f>
        <v>#N/A</v>
      </c>
      <c r="Z1979" s="8" t="str">
        <f t="shared" si="30"/>
        <v>FLEX</v>
      </c>
      <c r="AA1979" s="8" t="e">
        <f>+VLOOKUP(I1979,[1]SKU!$H$2:$I$97,2,0)</f>
        <v>#N/A</v>
      </c>
    </row>
    <row r="1980" spans="24:27">
      <c r="X1980" s="8" t="str">
        <f>+IFERROR(VLOOKUP(N1980,[1]Hoja1!$B$2:$F$52,4,0)*P1980,"")</f>
        <v/>
      </c>
      <c r="Y1980" s="8" t="e">
        <f>+VLOOKUP(M1980,[1]SKU!$B$3:$E$81,4,0)</f>
        <v>#N/A</v>
      </c>
      <c r="Z1980" s="8" t="str">
        <f t="shared" si="30"/>
        <v>FLEX</v>
      </c>
      <c r="AA1980" s="8" t="e">
        <f>+VLOOKUP(I1980,[1]SKU!$H$2:$I$97,2,0)</f>
        <v>#N/A</v>
      </c>
    </row>
    <row r="1981" spans="24:27">
      <c r="X1981" s="8" t="str">
        <f>+IFERROR(VLOOKUP(N1981,[1]Hoja1!$B$2:$F$52,4,0)*P1981,"")</f>
        <v/>
      </c>
      <c r="Y1981" s="8" t="e">
        <f>+VLOOKUP(M1981,[1]SKU!$B$3:$E$81,4,0)</f>
        <v>#N/A</v>
      </c>
      <c r="Z1981" s="8" t="str">
        <f t="shared" si="30"/>
        <v>FLEX</v>
      </c>
      <c r="AA1981" s="8" t="e">
        <f>+VLOOKUP(I1981,[1]SKU!$H$2:$I$97,2,0)</f>
        <v>#N/A</v>
      </c>
    </row>
    <row r="1982" spans="24:27">
      <c r="X1982" s="8" t="str">
        <f>+IFERROR(VLOOKUP(N1982,[1]Hoja1!$B$2:$F$52,4,0)*P1982,"")</f>
        <v/>
      </c>
      <c r="Y1982" s="8" t="e">
        <f>+VLOOKUP(M1982,[1]SKU!$B$3:$E$81,4,0)</f>
        <v>#N/A</v>
      </c>
      <c r="Z1982" s="8" t="str">
        <f t="shared" si="30"/>
        <v>FLEX</v>
      </c>
      <c r="AA1982" s="8" t="e">
        <f>+VLOOKUP(I1982,[1]SKU!$H$2:$I$97,2,0)</f>
        <v>#N/A</v>
      </c>
    </row>
    <row r="1983" spans="24:27">
      <c r="X1983" s="8" t="str">
        <f>+IFERROR(VLOOKUP(N1983,[1]Hoja1!$B$2:$F$52,4,0)*P1983,"")</f>
        <v/>
      </c>
      <c r="Y1983" s="8" t="e">
        <f>+VLOOKUP(M1983,[1]SKU!$B$3:$E$81,4,0)</f>
        <v>#N/A</v>
      </c>
      <c r="Z1983" s="8" t="str">
        <f t="shared" si="30"/>
        <v>FLEX</v>
      </c>
      <c r="AA1983" s="8" t="e">
        <f>+VLOOKUP(I1983,[1]SKU!$H$2:$I$97,2,0)</f>
        <v>#N/A</v>
      </c>
    </row>
    <row r="1984" spans="24:27">
      <c r="X1984" s="8" t="str">
        <f>+IFERROR(VLOOKUP(N1984,[1]Hoja1!$B$2:$F$52,4,0)*P1984,"")</f>
        <v/>
      </c>
      <c r="Y1984" s="8" t="e">
        <f>+VLOOKUP(M1984,[1]SKU!$B$3:$E$81,4,0)</f>
        <v>#N/A</v>
      </c>
      <c r="Z1984" s="8" t="str">
        <f t="shared" si="30"/>
        <v>FLEX</v>
      </c>
      <c r="AA1984" s="8" t="e">
        <f>+VLOOKUP(I1984,[1]SKU!$H$2:$I$97,2,0)</f>
        <v>#N/A</v>
      </c>
    </row>
    <row r="1985" spans="24:27">
      <c r="X1985" s="8" t="str">
        <f>+IFERROR(VLOOKUP(N1985,[1]Hoja1!$B$2:$F$52,4,0)*P1985,"")</f>
        <v/>
      </c>
      <c r="Y1985" s="8" t="e">
        <f>+VLOOKUP(M1985,[1]SKU!$B$3:$E$81,4,0)</f>
        <v>#N/A</v>
      </c>
      <c r="Z1985" s="8" t="str">
        <f t="shared" si="30"/>
        <v>FLEX</v>
      </c>
      <c r="AA1985" s="8" t="e">
        <f>+VLOOKUP(I1985,[1]SKU!$H$2:$I$97,2,0)</f>
        <v>#N/A</v>
      </c>
    </row>
    <row r="1986" spans="24:27">
      <c r="X1986" s="8" t="str">
        <f>+IFERROR(VLOOKUP(N1986,[1]Hoja1!$B$2:$F$52,4,0)*P1986,"")</f>
        <v/>
      </c>
      <c r="Y1986" s="8" t="e">
        <f>+VLOOKUP(M1986,[1]SKU!$B$3:$E$81,4,0)</f>
        <v>#N/A</v>
      </c>
      <c r="Z1986" s="8" t="str">
        <f t="shared" si="30"/>
        <v>FLEX</v>
      </c>
      <c r="AA1986" s="8" t="e">
        <f>+VLOOKUP(I1986,[1]SKU!$H$2:$I$97,2,0)</f>
        <v>#N/A</v>
      </c>
    </row>
    <row r="1987" spans="24:27">
      <c r="X1987" s="8" t="str">
        <f>+IFERROR(VLOOKUP(N1987,[1]Hoja1!$B$2:$F$52,4,0)*P1987,"")</f>
        <v/>
      </c>
      <c r="Y1987" s="8" t="e">
        <f>+VLOOKUP(M1987,[1]SKU!$B$3:$E$81,4,0)</f>
        <v>#N/A</v>
      </c>
      <c r="Z1987" s="8" t="str">
        <f t="shared" ref="Z1987:Z2050" si="31">+IF(J1987="VB01                          ","BEES","FLEX")</f>
        <v>FLEX</v>
      </c>
      <c r="AA1987" s="8" t="e">
        <f>+VLOOKUP(I1987,[1]SKU!$H$2:$I$97,2,0)</f>
        <v>#N/A</v>
      </c>
    </row>
    <row r="1988" spans="24:27">
      <c r="X1988" s="8" t="str">
        <f>+IFERROR(VLOOKUP(N1988,[1]Hoja1!$B$2:$F$52,4,0)*P1988,"")</f>
        <v/>
      </c>
      <c r="Y1988" s="8" t="e">
        <f>+VLOOKUP(M1988,[1]SKU!$B$3:$E$81,4,0)</f>
        <v>#N/A</v>
      </c>
      <c r="Z1988" s="8" t="str">
        <f t="shared" si="31"/>
        <v>FLEX</v>
      </c>
      <c r="AA1988" s="8" t="e">
        <f>+VLOOKUP(I1988,[1]SKU!$H$2:$I$97,2,0)</f>
        <v>#N/A</v>
      </c>
    </row>
    <row r="1989" spans="24:27">
      <c r="X1989" s="8" t="str">
        <f>+IFERROR(VLOOKUP(N1989,[1]Hoja1!$B$2:$F$52,4,0)*P1989,"")</f>
        <v/>
      </c>
      <c r="Y1989" s="8" t="e">
        <f>+VLOOKUP(M1989,[1]SKU!$B$3:$E$81,4,0)</f>
        <v>#N/A</v>
      </c>
      <c r="Z1989" s="8" t="str">
        <f t="shared" si="31"/>
        <v>FLEX</v>
      </c>
      <c r="AA1989" s="8" t="e">
        <f>+VLOOKUP(I1989,[1]SKU!$H$2:$I$97,2,0)</f>
        <v>#N/A</v>
      </c>
    </row>
    <row r="1990" spans="24:27">
      <c r="X1990" s="8" t="str">
        <f>+IFERROR(VLOOKUP(N1990,[1]Hoja1!$B$2:$F$52,4,0)*P1990,"")</f>
        <v/>
      </c>
      <c r="Y1990" s="8" t="e">
        <f>+VLOOKUP(M1990,[1]SKU!$B$3:$E$81,4,0)</f>
        <v>#N/A</v>
      </c>
      <c r="Z1990" s="8" t="str">
        <f t="shared" si="31"/>
        <v>FLEX</v>
      </c>
      <c r="AA1990" s="8" t="e">
        <f>+VLOOKUP(I1990,[1]SKU!$H$2:$I$97,2,0)</f>
        <v>#N/A</v>
      </c>
    </row>
    <row r="1991" spans="24:27">
      <c r="X1991" s="8" t="str">
        <f>+IFERROR(VLOOKUP(N1991,[1]Hoja1!$B$2:$F$52,4,0)*P1991,"")</f>
        <v/>
      </c>
      <c r="Y1991" s="8" t="e">
        <f>+VLOOKUP(M1991,[1]SKU!$B$3:$E$81,4,0)</f>
        <v>#N/A</v>
      </c>
      <c r="Z1991" s="8" t="str">
        <f t="shared" si="31"/>
        <v>FLEX</v>
      </c>
      <c r="AA1991" s="8" t="e">
        <f>+VLOOKUP(I1991,[1]SKU!$H$2:$I$97,2,0)</f>
        <v>#N/A</v>
      </c>
    </row>
    <row r="1992" spans="24:27">
      <c r="X1992" s="8" t="str">
        <f>+IFERROR(VLOOKUP(N1992,[1]Hoja1!$B$2:$F$52,4,0)*P1992,"")</f>
        <v/>
      </c>
      <c r="Y1992" s="8" t="e">
        <f>+VLOOKUP(M1992,[1]SKU!$B$3:$E$81,4,0)</f>
        <v>#N/A</v>
      </c>
      <c r="Z1992" s="8" t="str">
        <f t="shared" si="31"/>
        <v>FLEX</v>
      </c>
      <c r="AA1992" s="8" t="e">
        <f>+VLOOKUP(I1992,[1]SKU!$H$2:$I$97,2,0)</f>
        <v>#N/A</v>
      </c>
    </row>
    <row r="1993" spans="24:27">
      <c r="X1993" s="8" t="str">
        <f>+IFERROR(VLOOKUP(N1993,[1]Hoja1!$B$2:$F$52,4,0)*P1993,"")</f>
        <v/>
      </c>
      <c r="Y1993" s="8" t="e">
        <f>+VLOOKUP(M1993,[1]SKU!$B$3:$E$81,4,0)</f>
        <v>#N/A</v>
      </c>
      <c r="Z1993" s="8" t="str">
        <f t="shared" si="31"/>
        <v>FLEX</v>
      </c>
      <c r="AA1993" s="8" t="e">
        <f>+VLOOKUP(I1993,[1]SKU!$H$2:$I$97,2,0)</f>
        <v>#N/A</v>
      </c>
    </row>
    <row r="1994" spans="24:27">
      <c r="X1994" s="8" t="str">
        <f>+IFERROR(VLOOKUP(N1994,[1]Hoja1!$B$2:$F$52,4,0)*P1994,"")</f>
        <v/>
      </c>
      <c r="Y1994" s="8" t="e">
        <f>+VLOOKUP(M1994,[1]SKU!$B$3:$E$81,4,0)</f>
        <v>#N/A</v>
      </c>
      <c r="Z1994" s="8" t="str">
        <f t="shared" si="31"/>
        <v>FLEX</v>
      </c>
      <c r="AA1994" s="8" t="e">
        <f>+VLOOKUP(I1994,[1]SKU!$H$2:$I$97,2,0)</f>
        <v>#N/A</v>
      </c>
    </row>
    <row r="1995" spans="24:27">
      <c r="X1995" s="8" t="str">
        <f>+IFERROR(VLOOKUP(N1995,[1]Hoja1!$B$2:$F$52,4,0)*P1995,"")</f>
        <v/>
      </c>
      <c r="Y1995" s="8" t="e">
        <f>+VLOOKUP(M1995,[1]SKU!$B$3:$E$81,4,0)</f>
        <v>#N/A</v>
      </c>
      <c r="Z1995" s="8" t="str">
        <f t="shared" si="31"/>
        <v>FLEX</v>
      </c>
      <c r="AA1995" s="8" t="e">
        <f>+VLOOKUP(I1995,[1]SKU!$H$2:$I$97,2,0)</f>
        <v>#N/A</v>
      </c>
    </row>
    <row r="1996" spans="24:27">
      <c r="X1996" s="8" t="str">
        <f>+IFERROR(VLOOKUP(N1996,[1]Hoja1!$B$2:$F$52,4,0)*P1996,"")</f>
        <v/>
      </c>
      <c r="Y1996" s="8" t="e">
        <f>+VLOOKUP(M1996,[1]SKU!$B$3:$E$81,4,0)</f>
        <v>#N/A</v>
      </c>
      <c r="Z1996" s="8" t="str">
        <f t="shared" si="31"/>
        <v>FLEX</v>
      </c>
      <c r="AA1996" s="8" t="e">
        <f>+VLOOKUP(I1996,[1]SKU!$H$2:$I$97,2,0)</f>
        <v>#N/A</v>
      </c>
    </row>
    <row r="1997" spans="24:27">
      <c r="X1997" s="8" t="str">
        <f>+IFERROR(VLOOKUP(N1997,[1]Hoja1!$B$2:$F$52,4,0)*P1997,"")</f>
        <v/>
      </c>
      <c r="Y1997" s="8" t="e">
        <f>+VLOOKUP(M1997,[1]SKU!$B$3:$E$81,4,0)</f>
        <v>#N/A</v>
      </c>
      <c r="Z1997" s="8" t="str">
        <f t="shared" si="31"/>
        <v>FLEX</v>
      </c>
      <c r="AA1997" s="8" t="e">
        <f>+VLOOKUP(I1997,[1]SKU!$H$2:$I$97,2,0)</f>
        <v>#N/A</v>
      </c>
    </row>
    <row r="1998" spans="24:27">
      <c r="X1998" s="8" t="str">
        <f>+IFERROR(VLOOKUP(N1998,[1]Hoja1!$B$2:$F$52,4,0)*P1998,"")</f>
        <v/>
      </c>
      <c r="Y1998" s="8" t="e">
        <f>+VLOOKUP(M1998,[1]SKU!$B$3:$E$81,4,0)</f>
        <v>#N/A</v>
      </c>
      <c r="Z1998" s="8" t="str">
        <f t="shared" si="31"/>
        <v>FLEX</v>
      </c>
      <c r="AA1998" s="8" t="e">
        <f>+VLOOKUP(I1998,[1]SKU!$H$2:$I$97,2,0)</f>
        <v>#N/A</v>
      </c>
    </row>
    <row r="1999" spans="24:27">
      <c r="X1999" s="8" t="str">
        <f>+IFERROR(VLOOKUP(N1999,[1]Hoja1!$B$2:$F$52,4,0)*P1999,"")</f>
        <v/>
      </c>
      <c r="Y1999" s="8" t="e">
        <f>+VLOOKUP(M1999,[1]SKU!$B$3:$E$81,4,0)</f>
        <v>#N/A</v>
      </c>
      <c r="Z1999" s="8" t="str">
        <f t="shared" si="31"/>
        <v>FLEX</v>
      </c>
      <c r="AA1999" s="8" t="e">
        <f>+VLOOKUP(I1999,[1]SKU!$H$2:$I$97,2,0)</f>
        <v>#N/A</v>
      </c>
    </row>
    <row r="2000" spans="24:27">
      <c r="X2000" s="8" t="str">
        <f>+IFERROR(VLOOKUP(N2000,[1]Hoja1!$B$2:$F$52,4,0)*P2000,"")</f>
        <v/>
      </c>
      <c r="Y2000" s="8" t="e">
        <f>+VLOOKUP(M2000,[1]SKU!$B$3:$E$81,4,0)</f>
        <v>#N/A</v>
      </c>
      <c r="Z2000" s="8" t="str">
        <f t="shared" si="31"/>
        <v>FLEX</v>
      </c>
      <c r="AA2000" s="8" t="e">
        <f>+VLOOKUP(I2000,[1]SKU!$H$2:$I$97,2,0)</f>
        <v>#N/A</v>
      </c>
    </row>
    <row r="2001" spans="24:27">
      <c r="X2001" s="8" t="str">
        <f>+IFERROR(VLOOKUP(N2001,[1]Hoja1!$B$2:$F$52,4,0)*P2001,"")</f>
        <v/>
      </c>
      <c r="Y2001" s="8" t="e">
        <f>+VLOOKUP(M2001,[1]SKU!$B$3:$E$81,4,0)</f>
        <v>#N/A</v>
      </c>
      <c r="Z2001" s="8" t="str">
        <f t="shared" si="31"/>
        <v>FLEX</v>
      </c>
      <c r="AA2001" s="8" t="e">
        <f>+VLOOKUP(I2001,[1]SKU!$H$2:$I$97,2,0)</f>
        <v>#N/A</v>
      </c>
    </row>
    <row r="2002" spans="24:27">
      <c r="X2002" s="8" t="str">
        <f>+IFERROR(VLOOKUP(N2002,[1]Hoja1!$B$2:$F$52,4,0)*P2002,"")</f>
        <v/>
      </c>
      <c r="Y2002" s="8" t="e">
        <f>+VLOOKUP(M2002,[1]SKU!$B$3:$E$81,4,0)</f>
        <v>#N/A</v>
      </c>
      <c r="Z2002" s="8" t="str">
        <f t="shared" si="31"/>
        <v>FLEX</v>
      </c>
      <c r="AA2002" s="8" t="e">
        <f>+VLOOKUP(I2002,[1]SKU!$H$2:$I$97,2,0)</f>
        <v>#N/A</v>
      </c>
    </row>
    <row r="2003" spans="24:27">
      <c r="X2003" s="8" t="str">
        <f>+IFERROR(VLOOKUP(N2003,[1]Hoja1!$B$2:$F$52,4,0)*P2003,"")</f>
        <v/>
      </c>
      <c r="Y2003" s="8" t="e">
        <f>+VLOOKUP(M2003,[1]SKU!$B$3:$E$81,4,0)</f>
        <v>#N/A</v>
      </c>
      <c r="Z2003" s="8" t="str">
        <f t="shared" si="31"/>
        <v>FLEX</v>
      </c>
      <c r="AA2003" s="8" t="e">
        <f>+VLOOKUP(I2003,[1]SKU!$H$2:$I$97,2,0)</f>
        <v>#N/A</v>
      </c>
    </row>
    <row r="2004" spans="24:27">
      <c r="X2004" s="8" t="str">
        <f>+IFERROR(VLOOKUP(N2004,[1]Hoja1!$B$2:$F$52,4,0)*P2004,"")</f>
        <v/>
      </c>
      <c r="Y2004" s="8" t="e">
        <f>+VLOOKUP(M2004,[1]SKU!$B$3:$E$81,4,0)</f>
        <v>#N/A</v>
      </c>
      <c r="Z2004" s="8" t="str">
        <f t="shared" si="31"/>
        <v>FLEX</v>
      </c>
      <c r="AA2004" s="8" t="e">
        <f>+VLOOKUP(I2004,[1]SKU!$H$2:$I$97,2,0)</f>
        <v>#N/A</v>
      </c>
    </row>
    <row r="2005" spans="24:27">
      <c r="X2005" s="8" t="str">
        <f>+IFERROR(VLOOKUP(N2005,[1]Hoja1!$B$2:$F$52,4,0)*P2005,"")</f>
        <v/>
      </c>
      <c r="Y2005" s="8" t="e">
        <f>+VLOOKUP(M2005,[1]SKU!$B$3:$E$81,4,0)</f>
        <v>#N/A</v>
      </c>
      <c r="Z2005" s="8" t="str">
        <f t="shared" si="31"/>
        <v>FLEX</v>
      </c>
      <c r="AA2005" s="8" t="e">
        <f>+VLOOKUP(I2005,[1]SKU!$H$2:$I$97,2,0)</f>
        <v>#N/A</v>
      </c>
    </row>
    <row r="2006" spans="24:27">
      <c r="X2006" s="8" t="str">
        <f>+IFERROR(VLOOKUP(N2006,[1]Hoja1!$B$2:$F$52,4,0)*P2006,"")</f>
        <v/>
      </c>
      <c r="Y2006" s="8" t="e">
        <f>+VLOOKUP(M2006,[1]SKU!$B$3:$E$81,4,0)</f>
        <v>#N/A</v>
      </c>
      <c r="Z2006" s="8" t="str">
        <f t="shared" si="31"/>
        <v>FLEX</v>
      </c>
      <c r="AA2006" s="8" t="e">
        <f>+VLOOKUP(I2006,[1]SKU!$H$2:$I$97,2,0)</f>
        <v>#N/A</v>
      </c>
    </row>
    <row r="2007" spans="24:27">
      <c r="X2007" s="8" t="str">
        <f>+IFERROR(VLOOKUP(N2007,[1]Hoja1!$B$2:$F$52,4,0)*P2007,"")</f>
        <v/>
      </c>
      <c r="Y2007" s="8" t="e">
        <f>+VLOOKUP(M2007,[1]SKU!$B$3:$E$81,4,0)</f>
        <v>#N/A</v>
      </c>
      <c r="Z2007" s="8" t="str">
        <f t="shared" si="31"/>
        <v>FLEX</v>
      </c>
      <c r="AA2007" s="8" t="e">
        <f>+VLOOKUP(I2007,[1]SKU!$H$2:$I$97,2,0)</f>
        <v>#N/A</v>
      </c>
    </row>
    <row r="2008" spans="24:27">
      <c r="X2008" s="8" t="str">
        <f>+IFERROR(VLOOKUP(N2008,[1]Hoja1!$B$2:$F$52,4,0)*P2008,"")</f>
        <v/>
      </c>
      <c r="Y2008" s="8" t="e">
        <f>+VLOOKUP(M2008,[1]SKU!$B$3:$E$81,4,0)</f>
        <v>#N/A</v>
      </c>
      <c r="Z2008" s="8" t="str">
        <f t="shared" si="31"/>
        <v>FLEX</v>
      </c>
      <c r="AA2008" s="8" t="e">
        <f>+VLOOKUP(I2008,[1]SKU!$H$2:$I$97,2,0)</f>
        <v>#N/A</v>
      </c>
    </row>
    <row r="2009" spans="24:27">
      <c r="X2009" s="8" t="str">
        <f>+IFERROR(VLOOKUP(N2009,[1]Hoja1!$B$2:$F$52,4,0)*P2009,"")</f>
        <v/>
      </c>
      <c r="Y2009" s="8" t="e">
        <f>+VLOOKUP(M2009,[1]SKU!$B$3:$E$81,4,0)</f>
        <v>#N/A</v>
      </c>
      <c r="Z2009" s="8" t="str">
        <f t="shared" si="31"/>
        <v>FLEX</v>
      </c>
      <c r="AA2009" s="8" t="e">
        <f>+VLOOKUP(I2009,[1]SKU!$H$2:$I$97,2,0)</f>
        <v>#N/A</v>
      </c>
    </row>
    <row r="2010" spans="24:27">
      <c r="X2010" s="8" t="str">
        <f>+IFERROR(VLOOKUP(N2010,[1]Hoja1!$B$2:$F$52,4,0)*P2010,"")</f>
        <v/>
      </c>
      <c r="Y2010" s="8" t="e">
        <f>+VLOOKUP(M2010,[1]SKU!$B$3:$E$81,4,0)</f>
        <v>#N/A</v>
      </c>
      <c r="Z2010" s="8" t="str">
        <f t="shared" si="31"/>
        <v>FLEX</v>
      </c>
      <c r="AA2010" s="8" t="e">
        <f>+VLOOKUP(I2010,[1]SKU!$H$2:$I$97,2,0)</f>
        <v>#N/A</v>
      </c>
    </row>
    <row r="2011" spans="24:27">
      <c r="X2011" s="8" t="str">
        <f>+IFERROR(VLOOKUP(N2011,[1]Hoja1!$B$2:$F$52,4,0)*P2011,"")</f>
        <v/>
      </c>
      <c r="Y2011" s="8" t="e">
        <f>+VLOOKUP(M2011,[1]SKU!$B$3:$E$81,4,0)</f>
        <v>#N/A</v>
      </c>
      <c r="Z2011" s="8" t="str">
        <f t="shared" si="31"/>
        <v>FLEX</v>
      </c>
      <c r="AA2011" s="8" t="e">
        <f>+VLOOKUP(I2011,[1]SKU!$H$2:$I$97,2,0)</f>
        <v>#N/A</v>
      </c>
    </row>
    <row r="2012" spans="24:27">
      <c r="X2012" s="8" t="str">
        <f>+IFERROR(VLOOKUP(N2012,[1]Hoja1!$B$2:$F$52,4,0)*P2012,"")</f>
        <v/>
      </c>
      <c r="Y2012" s="8" t="e">
        <f>+VLOOKUP(M2012,[1]SKU!$B$3:$E$81,4,0)</f>
        <v>#N/A</v>
      </c>
      <c r="Z2012" s="8" t="str">
        <f t="shared" si="31"/>
        <v>FLEX</v>
      </c>
      <c r="AA2012" s="8" t="e">
        <f>+VLOOKUP(I2012,[1]SKU!$H$2:$I$97,2,0)</f>
        <v>#N/A</v>
      </c>
    </row>
    <row r="2013" spans="24:27">
      <c r="X2013" s="8" t="str">
        <f>+IFERROR(VLOOKUP(N2013,[1]Hoja1!$B$2:$F$52,4,0)*P2013,"")</f>
        <v/>
      </c>
      <c r="Y2013" s="8" t="e">
        <f>+VLOOKUP(M2013,[1]SKU!$B$3:$E$81,4,0)</f>
        <v>#N/A</v>
      </c>
      <c r="Z2013" s="8" t="str">
        <f t="shared" si="31"/>
        <v>FLEX</v>
      </c>
      <c r="AA2013" s="8" t="e">
        <f>+VLOOKUP(I2013,[1]SKU!$H$2:$I$97,2,0)</f>
        <v>#N/A</v>
      </c>
    </row>
    <row r="2014" spans="24:27">
      <c r="X2014" s="8" t="str">
        <f>+IFERROR(VLOOKUP(N2014,[1]Hoja1!$B$2:$F$52,4,0)*P2014,"")</f>
        <v/>
      </c>
      <c r="Y2014" s="8" t="e">
        <f>+VLOOKUP(M2014,[1]SKU!$B$3:$E$81,4,0)</f>
        <v>#N/A</v>
      </c>
      <c r="Z2014" s="8" t="str">
        <f t="shared" si="31"/>
        <v>FLEX</v>
      </c>
      <c r="AA2014" s="8" t="e">
        <f>+VLOOKUP(I2014,[1]SKU!$H$2:$I$97,2,0)</f>
        <v>#N/A</v>
      </c>
    </row>
    <row r="2015" spans="24:27">
      <c r="X2015" s="8" t="str">
        <f>+IFERROR(VLOOKUP(N2015,[1]Hoja1!$B$2:$F$52,4,0)*P2015,"")</f>
        <v/>
      </c>
      <c r="Y2015" s="8" t="e">
        <f>+VLOOKUP(M2015,[1]SKU!$B$3:$E$81,4,0)</f>
        <v>#N/A</v>
      </c>
      <c r="Z2015" s="8" t="str">
        <f t="shared" si="31"/>
        <v>FLEX</v>
      </c>
      <c r="AA2015" s="8" t="e">
        <f>+VLOOKUP(I2015,[1]SKU!$H$2:$I$97,2,0)</f>
        <v>#N/A</v>
      </c>
    </row>
    <row r="2016" spans="24:27">
      <c r="X2016" s="8" t="str">
        <f>+IFERROR(VLOOKUP(N2016,[1]Hoja1!$B$2:$F$52,4,0)*P2016,"")</f>
        <v/>
      </c>
      <c r="Y2016" s="8" t="e">
        <f>+VLOOKUP(M2016,[1]SKU!$B$3:$E$81,4,0)</f>
        <v>#N/A</v>
      </c>
      <c r="Z2016" s="8" t="str">
        <f t="shared" si="31"/>
        <v>FLEX</v>
      </c>
      <c r="AA2016" s="8" t="e">
        <f>+VLOOKUP(I2016,[1]SKU!$H$2:$I$97,2,0)</f>
        <v>#N/A</v>
      </c>
    </row>
    <row r="2017" spans="24:27">
      <c r="X2017" s="8" t="str">
        <f>+IFERROR(VLOOKUP(N2017,[1]Hoja1!$B$2:$F$52,4,0)*P2017,"")</f>
        <v/>
      </c>
      <c r="Y2017" s="8" t="e">
        <f>+VLOOKUP(M2017,[1]SKU!$B$3:$E$81,4,0)</f>
        <v>#N/A</v>
      </c>
      <c r="Z2017" s="8" t="str">
        <f t="shared" si="31"/>
        <v>FLEX</v>
      </c>
      <c r="AA2017" s="8" t="e">
        <f>+VLOOKUP(I2017,[1]SKU!$H$2:$I$97,2,0)</f>
        <v>#N/A</v>
      </c>
    </row>
    <row r="2018" spans="24:27">
      <c r="X2018" s="8" t="str">
        <f>+IFERROR(VLOOKUP(N2018,[1]Hoja1!$B$2:$F$52,4,0)*P2018,"")</f>
        <v/>
      </c>
      <c r="Y2018" s="8" t="e">
        <f>+VLOOKUP(M2018,[1]SKU!$B$3:$E$81,4,0)</f>
        <v>#N/A</v>
      </c>
      <c r="Z2018" s="8" t="str">
        <f t="shared" si="31"/>
        <v>FLEX</v>
      </c>
      <c r="AA2018" s="8" t="e">
        <f>+VLOOKUP(I2018,[1]SKU!$H$2:$I$97,2,0)</f>
        <v>#N/A</v>
      </c>
    </row>
    <row r="2019" spans="24:27">
      <c r="X2019" s="8" t="str">
        <f>+IFERROR(VLOOKUP(N2019,[1]Hoja1!$B$2:$F$52,4,0)*P2019,"")</f>
        <v/>
      </c>
      <c r="Y2019" s="8" t="e">
        <f>+VLOOKUP(M2019,[1]SKU!$B$3:$E$81,4,0)</f>
        <v>#N/A</v>
      </c>
      <c r="Z2019" s="8" t="str">
        <f t="shared" si="31"/>
        <v>FLEX</v>
      </c>
      <c r="AA2019" s="8" t="e">
        <f>+VLOOKUP(I2019,[1]SKU!$H$2:$I$97,2,0)</f>
        <v>#N/A</v>
      </c>
    </row>
    <row r="2020" spans="24:27">
      <c r="X2020" s="8" t="str">
        <f>+IFERROR(VLOOKUP(N2020,[1]Hoja1!$B$2:$F$52,4,0)*P2020,"")</f>
        <v/>
      </c>
      <c r="Y2020" s="8" t="e">
        <f>+VLOOKUP(M2020,[1]SKU!$B$3:$E$81,4,0)</f>
        <v>#N/A</v>
      </c>
      <c r="Z2020" s="8" t="str">
        <f t="shared" si="31"/>
        <v>FLEX</v>
      </c>
      <c r="AA2020" s="8" t="e">
        <f>+VLOOKUP(I2020,[1]SKU!$H$2:$I$97,2,0)</f>
        <v>#N/A</v>
      </c>
    </row>
    <row r="2021" spans="24:27">
      <c r="X2021" s="8" t="str">
        <f>+IFERROR(VLOOKUP(N2021,[1]Hoja1!$B$2:$F$52,4,0)*P2021,"")</f>
        <v/>
      </c>
      <c r="Y2021" s="8" t="e">
        <f>+VLOOKUP(M2021,[1]SKU!$B$3:$E$81,4,0)</f>
        <v>#N/A</v>
      </c>
      <c r="Z2021" s="8" t="str">
        <f t="shared" si="31"/>
        <v>FLEX</v>
      </c>
      <c r="AA2021" s="8" t="e">
        <f>+VLOOKUP(I2021,[1]SKU!$H$2:$I$97,2,0)</f>
        <v>#N/A</v>
      </c>
    </row>
    <row r="2022" spans="24:27">
      <c r="X2022" s="8" t="str">
        <f>+IFERROR(VLOOKUP(N2022,[1]Hoja1!$B$2:$F$52,4,0)*P2022,"")</f>
        <v/>
      </c>
      <c r="Y2022" s="8" t="e">
        <f>+VLOOKUP(M2022,[1]SKU!$B$3:$E$81,4,0)</f>
        <v>#N/A</v>
      </c>
      <c r="Z2022" s="8" t="str">
        <f t="shared" si="31"/>
        <v>FLEX</v>
      </c>
      <c r="AA2022" s="8" t="e">
        <f>+VLOOKUP(I2022,[1]SKU!$H$2:$I$97,2,0)</f>
        <v>#N/A</v>
      </c>
    </row>
    <row r="2023" spans="24:27">
      <c r="X2023" s="8" t="str">
        <f>+IFERROR(VLOOKUP(N2023,[1]Hoja1!$B$2:$F$52,4,0)*P2023,"")</f>
        <v/>
      </c>
      <c r="Y2023" s="8" t="e">
        <f>+VLOOKUP(M2023,[1]SKU!$B$3:$E$81,4,0)</f>
        <v>#N/A</v>
      </c>
      <c r="Z2023" s="8" t="str">
        <f t="shared" si="31"/>
        <v>FLEX</v>
      </c>
      <c r="AA2023" s="8" t="e">
        <f>+VLOOKUP(I2023,[1]SKU!$H$2:$I$97,2,0)</f>
        <v>#N/A</v>
      </c>
    </row>
    <row r="2024" spans="24:27">
      <c r="X2024" s="8" t="str">
        <f>+IFERROR(VLOOKUP(N2024,[1]Hoja1!$B$2:$F$52,4,0)*P2024,"")</f>
        <v/>
      </c>
      <c r="Y2024" s="8" t="e">
        <f>+VLOOKUP(M2024,[1]SKU!$B$3:$E$81,4,0)</f>
        <v>#N/A</v>
      </c>
      <c r="Z2024" s="8" t="str">
        <f t="shared" si="31"/>
        <v>FLEX</v>
      </c>
      <c r="AA2024" s="8" t="e">
        <f>+VLOOKUP(I2024,[1]SKU!$H$2:$I$97,2,0)</f>
        <v>#N/A</v>
      </c>
    </row>
    <row r="2025" spans="24:27">
      <c r="X2025" s="8" t="str">
        <f>+IFERROR(VLOOKUP(N2025,[1]Hoja1!$B$2:$F$52,4,0)*P2025,"")</f>
        <v/>
      </c>
      <c r="Y2025" s="8" t="e">
        <f>+VLOOKUP(M2025,[1]SKU!$B$3:$E$81,4,0)</f>
        <v>#N/A</v>
      </c>
      <c r="Z2025" s="8" t="str">
        <f t="shared" si="31"/>
        <v>FLEX</v>
      </c>
      <c r="AA2025" s="8" t="e">
        <f>+VLOOKUP(I2025,[1]SKU!$H$2:$I$97,2,0)</f>
        <v>#N/A</v>
      </c>
    </row>
    <row r="2026" spans="24:27">
      <c r="X2026" s="8" t="str">
        <f>+IFERROR(VLOOKUP(N2026,[1]Hoja1!$B$2:$F$52,4,0)*P2026,"")</f>
        <v/>
      </c>
      <c r="Y2026" s="8" t="e">
        <f>+VLOOKUP(M2026,[1]SKU!$B$3:$E$81,4,0)</f>
        <v>#N/A</v>
      </c>
      <c r="Z2026" s="8" t="str">
        <f t="shared" si="31"/>
        <v>FLEX</v>
      </c>
      <c r="AA2026" s="8" t="e">
        <f>+VLOOKUP(I2026,[1]SKU!$H$2:$I$97,2,0)</f>
        <v>#N/A</v>
      </c>
    </row>
    <row r="2027" spans="24:27">
      <c r="X2027" s="8" t="str">
        <f>+IFERROR(VLOOKUP(N2027,[1]Hoja1!$B$2:$F$52,4,0)*P2027,"")</f>
        <v/>
      </c>
      <c r="Y2027" s="8" t="e">
        <f>+VLOOKUP(M2027,[1]SKU!$B$3:$E$81,4,0)</f>
        <v>#N/A</v>
      </c>
      <c r="Z2027" s="8" t="str">
        <f t="shared" si="31"/>
        <v>FLEX</v>
      </c>
      <c r="AA2027" s="8" t="e">
        <f>+VLOOKUP(I2027,[1]SKU!$H$2:$I$97,2,0)</f>
        <v>#N/A</v>
      </c>
    </row>
    <row r="2028" spans="24:27">
      <c r="X2028" s="8" t="str">
        <f>+IFERROR(VLOOKUP(N2028,[1]Hoja1!$B$2:$F$52,4,0)*P2028,"")</f>
        <v/>
      </c>
      <c r="Y2028" s="8" t="e">
        <f>+VLOOKUP(M2028,[1]SKU!$B$3:$E$81,4,0)</f>
        <v>#N/A</v>
      </c>
      <c r="Z2028" s="8" t="str">
        <f t="shared" si="31"/>
        <v>FLEX</v>
      </c>
      <c r="AA2028" s="8" t="e">
        <f>+VLOOKUP(I2028,[1]SKU!$H$2:$I$97,2,0)</f>
        <v>#N/A</v>
      </c>
    </row>
    <row r="2029" spans="24:27">
      <c r="X2029" s="8" t="str">
        <f>+IFERROR(VLOOKUP(N2029,[1]Hoja1!$B$2:$F$52,4,0)*P2029,"")</f>
        <v/>
      </c>
      <c r="Y2029" s="8" t="e">
        <f>+VLOOKUP(M2029,[1]SKU!$B$3:$E$81,4,0)</f>
        <v>#N/A</v>
      </c>
      <c r="Z2029" s="8" t="str">
        <f t="shared" si="31"/>
        <v>FLEX</v>
      </c>
      <c r="AA2029" s="8" t="e">
        <f>+VLOOKUP(I2029,[1]SKU!$H$2:$I$97,2,0)</f>
        <v>#N/A</v>
      </c>
    </row>
    <row r="2030" spans="24:27">
      <c r="X2030" s="8" t="str">
        <f>+IFERROR(VLOOKUP(N2030,[1]Hoja1!$B$2:$F$52,4,0)*P2030,"")</f>
        <v/>
      </c>
      <c r="Y2030" s="8" t="e">
        <f>+VLOOKUP(M2030,[1]SKU!$B$3:$E$81,4,0)</f>
        <v>#N/A</v>
      </c>
      <c r="Z2030" s="8" t="str">
        <f t="shared" si="31"/>
        <v>FLEX</v>
      </c>
      <c r="AA2030" s="8" t="e">
        <f>+VLOOKUP(I2030,[1]SKU!$H$2:$I$97,2,0)</f>
        <v>#N/A</v>
      </c>
    </row>
    <row r="2031" spans="24:27">
      <c r="X2031" s="8" t="str">
        <f>+IFERROR(VLOOKUP(N2031,[1]Hoja1!$B$2:$F$52,4,0)*P2031,"")</f>
        <v/>
      </c>
      <c r="Y2031" s="8" t="e">
        <f>+VLOOKUP(M2031,[1]SKU!$B$3:$E$81,4,0)</f>
        <v>#N/A</v>
      </c>
      <c r="Z2031" s="8" t="str">
        <f t="shared" si="31"/>
        <v>FLEX</v>
      </c>
      <c r="AA2031" s="8" t="e">
        <f>+VLOOKUP(I2031,[1]SKU!$H$2:$I$97,2,0)</f>
        <v>#N/A</v>
      </c>
    </row>
    <row r="2032" spans="24:27">
      <c r="X2032" s="8" t="str">
        <f>+IFERROR(VLOOKUP(N2032,[1]Hoja1!$B$2:$F$52,4,0)*P2032,"")</f>
        <v/>
      </c>
      <c r="Y2032" s="8" t="e">
        <f>+VLOOKUP(M2032,[1]SKU!$B$3:$E$81,4,0)</f>
        <v>#N/A</v>
      </c>
      <c r="Z2032" s="8" t="str">
        <f t="shared" si="31"/>
        <v>FLEX</v>
      </c>
      <c r="AA2032" s="8" t="e">
        <f>+VLOOKUP(I2032,[1]SKU!$H$2:$I$97,2,0)</f>
        <v>#N/A</v>
      </c>
    </row>
    <row r="2033" spans="24:27">
      <c r="X2033" s="8" t="str">
        <f>+IFERROR(VLOOKUP(N2033,[1]Hoja1!$B$2:$F$52,4,0)*P2033,"")</f>
        <v/>
      </c>
      <c r="Y2033" s="8" t="e">
        <f>+VLOOKUP(M2033,[1]SKU!$B$3:$E$81,4,0)</f>
        <v>#N/A</v>
      </c>
      <c r="Z2033" s="8" t="str">
        <f t="shared" si="31"/>
        <v>FLEX</v>
      </c>
      <c r="AA2033" s="8" t="e">
        <f>+VLOOKUP(I2033,[1]SKU!$H$2:$I$97,2,0)</f>
        <v>#N/A</v>
      </c>
    </row>
    <row r="2034" spans="24:27">
      <c r="X2034" s="8" t="str">
        <f>+IFERROR(VLOOKUP(N2034,[1]Hoja1!$B$2:$F$52,4,0)*P2034,"")</f>
        <v/>
      </c>
      <c r="Y2034" s="8" t="e">
        <f>+VLOOKUP(M2034,[1]SKU!$B$3:$E$81,4,0)</f>
        <v>#N/A</v>
      </c>
      <c r="Z2034" s="8" t="str">
        <f t="shared" si="31"/>
        <v>FLEX</v>
      </c>
      <c r="AA2034" s="8" t="e">
        <f>+VLOOKUP(I2034,[1]SKU!$H$2:$I$97,2,0)</f>
        <v>#N/A</v>
      </c>
    </row>
    <row r="2035" spans="24:27">
      <c r="X2035" s="8" t="str">
        <f>+IFERROR(VLOOKUP(N2035,[1]Hoja1!$B$2:$F$52,4,0)*P2035,"")</f>
        <v/>
      </c>
      <c r="Y2035" s="8" t="e">
        <f>+VLOOKUP(M2035,[1]SKU!$B$3:$E$81,4,0)</f>
        <v>#N/A</v>
      </c>
      <c r="Z2035" s="8" t="str">
        <f t="shared" si="31"/>
        <v>FLEX</v>
      </c>
      <c r="AA2035" s="8" t="e">
        <f>+VLOOKUP(I2035,[1]SKU!$H$2:$I$97,2,0)</f>
        <v>#N/A</v>
      </c>
    </row>
    <row r="2036" spans="24:27">
      <c r="X2036" s="8" t="str">
        <f>+IFERROR(VLOOKUP(N2036,[1]Hoja1!$B$2:$F$52,4,0)*P2036,"")</f>
        <v/>
      </c>
      <c r="Y2036" s="8" t="e">
        <f>+VLOOKUP(M2036,[1]SKU!$B$3:$E$81,4,0)</f>
        <v>#N/A</v>
      </c>
      <c r="Z2036" s="8" t="str">
        <f t="shared" si="31"/>
        <v>FLEX</v>
      </c>
      <c r="AA2036" s="8" t="e">
        <f>+VLOOKUP(I2036,[1]SKU!$H$2:$I$97,2,0)</f>
        <v>#N/A</v>
      </c>
    </row>
    <row r="2037" spans="24:27">
      <c r="X2037" s="8" t="str">
        <f>+IFERROR(VLOOKUP(N2037,[1]Hoja1!$B$2:$F$52,4,0)*P2037,"")</f>
        <v/>
      </c>
      <c r="Y2037" s="8" t="e">
        <f>+VLOOKUP(M2037,[1]SKU!$B$3:$E$81,4,0)</f>
        <v>#N/A</v>
      </c>
      <c r="Z2037" s="8" t="str">
        <f t="shared" si="31"/>
        <v>FLEX</v>
      </c>
      <c r="AA2037" s="8" t="e">
        <f>+VLOOKUP(I2037,[1]SKU!$H$2:$I$97,2,0)</f>
        <v>#N/A</v>
      </c>
    </row>
    <row r="2038" spans="24:27">
      <c r="X2038" s="8" t="str">
        <f>+IFERROR(VLOOKUP(N2038,[1]Hoja1!$B$2:$F$52,4,0)*P2038,"")</f>
        <v/>
      </c>
      <c r="Y2038" s="8" t="e">
        <f>+VLOOKUP(M2038,[1]SKU!$B$3:$E$81,4,0)</f>
        <v>#N/A</v>
      </c>
      <c r="Z2038" s="8" t="str">
        <f t="shared" si="31"/>
        <v>FLEX</v>
      </c>
      <c r="AA2038" s="8" t="e">
        <f>+VLOOKUP(I2038,[1]SKU!$H$2:$I$97,2,0)</f>
        <v>#N/A</v>
      </c>
    </row>
    <row r="2039" spans="24:27">
      <c r="X2039" s="8" t="str">
        <f>+IFERROR(VLOOKUP(N2039,[1]Hoja1!$B$2:$F$52,4,0)*P2039,"")</f>
        <v/>
      </c>
      <c r="Y2039" s="8" t="e">
        <f>+VLOOKUP(M2039,[1]SKU!$B$3:$E$81,4,0)</f>
        <v>#N/A</v>
      </c>
      <c r="Z2039" s="8" t="str">
        <f t="shared" si="31"/>
        <v>FLEX</v>
      </c>
      <c r="AA2039" s="8" t="e">
        <f>+VLOOKUP(I2039,[1]SKU!$H$2:$I$97,2,0)</f>
        <v>#N/A</v>
      </c>
    </row>
    <row r="2040" spans="24:27">
      <c r="X2040" s="8" t="str">
        <f>+IFERROR(VLOOKUP(N2040,[1]Hoja1!$B$2:$F$52,4,0)*P2040,"")</f>
        <v/>
      </c>
      <c r="Y2040" s="8" t="e">
        <f>+VLOOKUP(M2040,[1]SKU!$B$3:$E$81,4,0)</f>
        <v>#N/A</v>
      </c>
      <c r="Z2040" s="8" t="str">
        <f t="shared" si="31"/>
        <v>FLEX</v>
      </c>
      <c r="AA2040" s="8" t="e">
        <f>+VLOOKUP(I2040,[1]SKU!$H$2:$I$97,2,0)</f>
        <v>#N/A</v>
      </c>
    </row>
    <row r="2041" spans="24:27">
      <c r="X2041" s="8" t="str">
        <f>+IFERROR(VLOOKUP(N2041,[1]Hoja1!$B$2:$F$52,4,0)*P2041,"")</f>
        <v/>
      </c>
      <c r="Y2041" s="8" t="e">
        <f>+VLOOKUP(M2041,[1]SKU!$B$3:$E$81,4,0)</f>
        <v>#N/A</v>
      </c>
      <c r="Z2041" s="8" t="str">
        <f t="shared" si="31"/>
        <v>FLEX</v>
      </c>
      <c r="AA2041" s="8" t="e">
        <f>+VLOOKUP(I2041,[1]SKU!$H$2:$I$97,2,0)</f>
        <v>#N/A</v>
      </c>
    </row>
    <row r="2042" spans="24:27">
      <c r="X2042" s="8" t="str">
        <f>+IFERROR(VLOOKUP(N2042,[1]Hoja1!$B$2:$F$52,4,0)*P2042,"")</f>
        <v/>
      </c>
      <c r="Y2042" s="8" t="e">
        <f>+VLOOKUP(M2042,[1]SKU!$B$3:$E$81,4,0)</f>
        <v>#N/A</v>
      </c>
      <c r="Z2042" s="8" t="str">
        <f t="shared" si="31"/>
        <v>FLEX</v>
      </c>
      <c r="AA2042" s="8" t="e">
        <f>+VLOOKUP(I2042,[1]SKU!$H$2:$I$97,2,0)</f>
        <v>#N/A</v>
      </c>
    </row>
    <row r="2043" spans="24:27">
      <c r="X2043" s="8" t="str">
        <f>+IFERROR(VLOOKUP(N2043,[1]Hoja1!$B$2:$F$52,4,0)*P2043,"")</f>
        <v/>
      </c>
      <c r="Y2043" s="8" t="e">
        <f>+VLOOKUP(M2043,[1]SKU!$B$3:$E$81,4,0)</f>
        <v>#N/A</v>
      </c>
      <c r="Z2043" s="8" t="str">
        <f t="shared" si="31"/>
        <v>FLEX</v>
      </c>
      <c r="AA2043" s="8" t="e">
        <f>+VLOOKUP(I2043,[1]SKU!$H$2:$I$97,2,0)</f>
        <v>#N/A</v>
      </c>
    </row>
    <row r="2044" spans="24:27">
      <c r="X2044" s="8" t="str">
        <f>+IFERROR(VLOOKUP(N2044,[1]Hoja1!$B$2:$F$52,4,0)*P2044,"")</f>
        <v/>
      </c>
      <c r="Y2044" s="8" t="e">
        <f>+VLOOKUP(M2044,[1]SKU!$B$3:$E$81,4,0)</f>
        <v>#N/A</v>
      </c>
      <c r="Z2044" s="8" t="str">
        <f t="shared" si="31"/>
        <v>FLEX</v>
      </c>
      <c r="AA2044" s="8" t="e">
        <f>+VLOOKUP(I2044,[1]SKU!$H$2:$I$97,2,0)</f>
        <v>#N/A</v>
      </c>
    </row>
    <row r="2045" spans="24:27">
      <c r="X2045" s="8" t="str">
        <f>+IFERROR(VLOOKUP(N2045,[1]Hoja1!$B$2:$F$52,4,0)*P2045,"")</f>
        <v/>
      </c>
      <c r="Y2045" s="8" t="e">
        <f>+VLOOKUP(M2045,[1]SKU!$B$3:$E$81,4,0)</f>
        <v>#N/A</v>
      </c>
      <c r="Z2045" s="8" t="str">
        <f t="shared" si="31"/>
        <v>FLEX</v>
      </c>
      <c r="AA2045" s="8" t="e">
        <f>+VLOOKUP(I2045,[1]SKU!$H$2:$I$97,2,0)</f>
        <v>#N/A</v>
      </c>
    </row>
    <row r="2046" spans="24:27">
      <c r="X2046" s="8" t="str">
        <f>+IFERROR(VLOOKUP(N2046,[1]Hoja1!$B$2:$F$52,4,0)*P2046,"")</f>
        <v/>
      </c>
      <c r="Y2046" s="8" t="e">
        <f>+VLOOKUP(M2046,[1]SKU!$B$3:$E$81,4,0)</f>
        <v>#N/A</v>
      </c>
      <c r="Z2046" s="8" t="str">
        <f t="shared" si="31"/>
        <v>FLEX</v>
      </c>
      <c r="AA2046" s="8" t="e">
        <f>+VLOOKUP(I2046,[1]SKU!$H$2:$I$97,2,0)</f>
        <v>#N/A</v>
      </c>
    </row>
    <row r="2047" spans="24:27">
      <c r="X2047" s="8" t="str">
        <f>+IFERROR(VLOOKUP(N2047,[1]Hoja1!$B$2:$F$52,4,0)*P2047,"")</f>
        <v/>
      </c>
      <c r="Y2047" s="8" t="e">
        <f>+VLOOKUP(M2047,[1]SKU!$B$3:$E$81,4,0)</f>
        <v>#N/A</v>
      </c>
      <c r="Z2047" s="8" t="str">
        <f t="shared" si="31"/>
        <v>FLEX</v>
      </c>
      <c r="AA2047" s="8" t="e">
        <f>+VLOOKUP(I2047,[1]SKU!$H$2:$I$97,2,0)</f>
        <v>#N/A</v>
      </c>
    </row>
    <row r="2048" spans="24:27">
      <c r="X2048" s="8" t="str">
        <f>+IFERROR(VLOOKUP(N2048,[1]Hoja1!$B$2:$F$52,4,0)*P2048,"")</f>
        <v/>
      </c>
      <c r="Y2048" s="8" t="e">
        <f>+VLOOKUP(M2048,[1]SKU!$B$3:$E$81,4,0)</f>
        <v>#N/A</v>
      </c>
      <c r="Z2048" s="8" t="str">
        <f t="shared" si="31"/>
        <v>FLEX</v>
      </c>
      <c r="AA2048" s="8" t="e">
        <f>+VLOOKUP(I2048,[1]SKU!$H$2:$I$97,2,0)</f>
        <v>#N/A</v>
      </c>
    </row>
    <row r="2049" spans="24:27">
      <c r="X2049" s="8" t="str">
        <f>+IFERROR(VLOOKUP(N2049,[1]Hoja1!$B$2:$F$52,4,0)*P2049,"")</f>
        <v/>
      </c>
      <c r="Y2049" s="8" t="e">
        <f>+VLOOKUP(M2049,[1]SKU!$B$3:$E$81,4,0)</f>
        <v>#N/A</v>
      </c>
      <c r="Z2049" s="8" t="str">
        <f t="shared" si="31"/>
        <v>FLEX</v>
      </c>
      <c r="AA2049" s="8" t="e">
        <f>+VLOOKUP(I2049,[1]SKU!$H$2:$I$97,2,0)</f>
        <v>#N/A</v>
      </c>
    </row>
    <row r="2050" spans="24:27">
      <c r="X2050" s="8" t="str">
        <f>+IFERROR(VLOOKUP(N2050,[1]Hoja1!$B$2:$F$52,4,0)*P2050,"")</f>
        <v/>
      </c>
      <c r="Y2050" s="8" t="e">
        <f>+VLOOKUP(M2050,[1]SKU!$B$3:$E$81,4,0)</f>
        <v>#N/A</v>
      </c>
      <c r="Z2050" s="8" t="str">
        <f t="shared" si="31"/>
        <v>FLEX</v>
      </c>
      <c r="AA2050" s="8" t="e">
        <f>+VLOOKUP(I2050,[1]SKU!$H$2:$I$97,2,0)</f>
        <v>#N/A</v>
      </c>
    </row>
    <row r="2051" spans="24:27">
      <c r="X2051" s="8" t="str">
        <f>+IFERROR(VLOOKUP(N2051,[1]Hoja1!$B$2:$F$52,4,0)*P2051,"")</f>
        <v/>
      </c>
      <c r="Y2051" s="8" t="e">
        <f>+VLOOKUP(M2051,[1]SKU!$B$3:$E$81,4,0)</f>
        <v>#N/A</v>
      </c>
      <c r="Z2051" s="8" t="str">
        <f t="shared" ref="Z2051:Z2114" si="32">+IF(J2051="VB01                          ","BEES","FLEX")</f>
        <v>FLEX</v>
      </c>
      <c r="AA2051" s="8" t="e">
        <f>+VLOOKUP(I2051,[1]SKU!$H$2:$I$97,2,0)</f>
        <v>#N/A</v>
      </c>
    </row>
    <row r="2052" spans="24:27">
      <c r="X2052" s="8" t="str">
        <f>+IFERROR(VLOOKUP(N2052,[1]Hoja1!$B$2:$F$52,4,0)*P2052,"")</f>
        <v/>
      </c>
      <c r="Y2052" s="8" t="e">
        <f>+VLOOKUP(M2052,[1]SKU!$B$3:$E$81,4,0)</f>
        <v>#N/A</v>
      </c>
      <c r="Z2052" s="8" t="str">
        <f t="shared" si="32"/>
        <v>FLEX</v>
      </c>
      <c r="AA2052" s="8" t="e">
        <f>+VLOOKUP(I2052,[1]SKU!$H$2:$I$97,2,0)</f>
        <v>#N/A</v>
      </c>
    </row>
    <row r="2053" spans="24:27">
      <c r="X2053" s="8" t="str">
        <f>+IFERROR(VLOOKUP(N2053,[1]Hoja1!$B$2:$F$52,4,0)*P2053,"")</f>
        <v/>
      </c>
      <c r="Y2053" s="8" t="e">
        <f>+VLOOKUP(M2053,[1]SKU!$B$3:$E$81,4,0)</f>
        <v>#N/A</v>
      </c>
      <c r="Z2053" s="8" t="str">
        <f t="shared" si="32"/>
        <v>FLEX</v>
      </c>
      <c r="AA2053" s="8" t="e">
        <f>+VLOOKUP(I2053,[1]SKU!$H$2:$I$97,2,0)</f>
        <v>#N/A</v>
      </c>
    </row>
    <row r="2054" spans="24:27">
      <c r="X2054" s="8" t="str">
        <f>+IFERROR(VLOOKUP(N2054,[1]Hoja1!$B$2:$F$52,4,0)*P2054,"")</f>
        <v/>
      </c>
      <c r="Y2054" s="8" t="e">
        <f>+VLOOKUP(M2054,[1]SKU!$B$3:$E$81,4,0)</f>
        <v>#N/A</v>
      </c>
      <c r="Z2054" s="8" t="str">
        <f t="shared" si="32"/>
        <v>FLEX</v>
      </c>
      <c r="AA2054" s="8" t="e">
        <f>+VLOOKUP(I2054,[1]SKU!$H$2:$I$97,2,0)</f>
        <v>#N/A</v>
      </c>
    </row>
    <row r="2055" spans="24:27">
      <c r="X2055" s="8" t="str">
        <f>+IFERROR(VLOOKUP(N2055,[1]Hoja1!$B$2:$F$52,4,0)*P2055,"")</f>
        <v/>
      </c>
      <c r="Y2055" s="8" t="e">
        <f>+VLOOKUP(M2055,[1]SKU!$B$3:$E$81,4,0)</f>
        <v>#N/A</v>
      </c>
      <c r="Z2055" s="8" t="str">
        <f t="shared" si="32"/>
        <v>FLEX</v>
      </c>
      <c r="AA2055" s="8" t="e">
        <f>+VLOOKUP(I2055,[1]SKU!$H$2:$I$97,2,0)</f>
        <v>#N/A</v>
      </c>
    </row>
    <row r="2056" spans="24:27">
      <c r="X2056" s="8" t="str">
        <f>+IFERROR(VLOOKUP(N2056,[1]Hoja1!$B$2:$F$52,4,0)*P2056,"")</f>
        <v/>
      </c>
      <c r="Y2056" s="8" t="e">
        <f>+VLOOKUP(M2056,[1]SKU!$B$3:$E$81,4,0)</f>
        <v>#N/A</v>
      </c>
      <c r="Z2056" s="8" t="str">
        <f t="shared" si="32"/>
        <v>FLEX</v>
      </c>
      <c r="AA2056" s="8" t="e">
        <f>+VLOOKUP(I2056,[1]SKU!$H$2:$I$97,2,0)</f>
        <v>#N/A</v>
      </c>
    </row>
    <row r="2057" spans="24:27">
      <c r="X2057" s="8" t="str">
        <f>+IFERROR(VLOOKUP(N2057,[1]Hoja1!$B$2:$F$52,4,0)*P2057,"")</f>
        <v/>
      </c>
      <c r="Y2057" s="8" t="e">
        <f>+VLOOKUP(M2057,[1]SKU!$B$3:$E$81,4,0)</f>
        <v>#N/A</v>
      </c>
      <c r="Z2057" s="8" t="str">
        <f t="shared" si="32"/>
        <v>FLEX</v>
      </c>
      <c r="AA2057" s="8" t="e">
        <f>+VLOOKUP(I2057,[1]SKU!$H$2:$I$97,2,0)</f>
        <v>#N/A</v>
      </c>
    </row>
    <row r="2058" spans="24:27">
      <c r="X2058" s="8" t="str">
        <f>+IFERROR(VLOOKUP(N2058,[1]Hoja1!$B$2:$F$52,4,0)*P2058,"")</f>
        <v/>
      </c>
      <c r="Y2058" s="8" t="e">
        <f>+VLOOKUP(M2058,[1]SKU!$B$3:$E$81,4,0)</f>
        <v>#N/A</v>
      </c>
      <c r="Z2058" s="8" t="str">
        <f t="shared" si="32"/>
        <v>FLEX</v>
      </c>
      <c r="AA2058" s="8" t="e">
        <f>+VLOOKUP(I2058,[1]SKU!$H$2:$I$97,2,0)</f>
        <v>#N/A</v>
      </c>
    </row>
    <row r="2059" spans="24:27">
      <c r="X2059" s="8" t="str">
        <f>+IFERROR(VLOOKUP(N2059,[1]Hoja1!$B$2:$F$52,4,0)*P2059,"")</f>
        <v/>
      </c>
      <c r="Y2059" s="8" t="e">
        <f>+VLOOKUP(M2059,[1]SKU!$B$3:$E$81,4,0)</f>
        <v>#N/A</v>
      </c>
      <c r="Z2059" s="8" t="str">
        <f t="shared" si="32"/>
        <v>FLEX</v>
      </c>
      <c r="AA2059" s="8" t="e">
        <f>+VLOOKUP(I2059,[1]SKU!$H$2:$I$97,2,0)</f>
        <v>#N/A</v>
      </c>
    </row>
    <row r="2060" spans="24:27">
      <c r="X2060" s="8" t="str">
        <f>+IFERROR(VLOOKUP(N2060,[1]Hoja1!$B$2:$F$52,4,0)*P2060,"")</f>
        <v/>
      </c>
      <c r="Y2060" s="8" t="e">
        <f>+VLOOKUP(M2060,[1]SKU!$B$3:$E$81,4,0)</f>
        <v>#N/A</v>
      </c>
      <c r="Z2060" s="8" t="str">
        <f t="shared" si="32"/>
        <v>FLEX</v>
      </c>
      <c r="AA2060" s="8" t="e">
        <f>+VLOOKUP(I2060,[1]SKU!$H$2:$I$97,2,0)</f>
        <v>#N/A</v>
      </c>
    </row>
    <row r="2061" spans="24:27">
      <c r="X2061" s="8" t="str">
        <f>+IFERROR(VLOOKUP(N2061,[1]Hoja1!$B$2:$F$52,4,0)*P2061,"")</f>
        <v/>
      </c>
      <c r="Y2061" s="8" t="e">
        <f>+VLOOKUP(M2061,[1]SKU!$B$3:$E$81,4,0)</f>
        <v>#N/A</v>
      </c>
      <c r="Z2061" s="8" t="str">
        <f t="shared" si="32"/>
        <v>FLEX</v>
      </c>
      <c r="AA2061" s="8" t="e">
        <f>+VLOOKUP(I2061,[1]SKU!$H$2:$I$97,2,0)</f>
        <v>#N/A</v>
      </c>
    </row>
    <row r="2062" spans="24:27">
      <c r="X2062" s="8" t="str">
        <f>+IFERROR(VLOOKUP(N2062,[1]Hoja1!$B$2:$F$52,4,0)*P2062,"")</f>
        <v/>
      </c>
      <c r="Y2062" s="8" t="e">
        <f>+VLOOKUP(M2062,[1]SKU!$B$3:$E$81,4,0)</f>
        <v>#N/A</v>
      </c>
      <c r="Z2062" s="8" t="str">
        <f t="shared" si="32"/>
        <v>FLEX</v>
      </c>
      <c r="AA2062" s="8" t="e">
        <f>+VLOOKUP(I2062,[1]SKU!$H$2:$I$97,2,0)</f>
        <v>#N/A</v>
      </c>
    </row>
    <row r="2063" spans="24:27">
      <c r="X2063" s="8" t="str">
        <f>+IFERROR(VLOOKUP(N2063,[1]Hoja1!$B$2:$F$52,4,0)*P2063,"")</f>
        <v/>
      </c>
      <c r="Y2063" s="8" t="e">
        <f>+VLOOKUP(M2063,[1]SKU!$B$3:$E$81,4,0)</f>
        <v>#N/A</v>
      </c>
      <c r="Z2063" s="8" t="str">
        <f t="shared" si="32"/>
        <v>FLEX</v>
      </c>
      <c r="AA2063" s="8" t="e">
        <f>+VLOOKUP(I2063,[1]SKU!$H$2:$I$97,2,0)</f>
        <v>#N/A</v>
      </c>
    </row>
    <row r="2064" spans="24:27">
      <c r="X2064" s="8" t="str">
        <f>+IFERROR(VLOOKUP(N2064,[1]Hoja1!$B$2:$F$52,4,0)*P2064,"")</f>
        <v/>
      </c>
      <c r="Y2064" s="8" t="e">
        <f>+VLOOKUP(M2064,[1]SKU!$B$3:$E$81,4,0)</f>
        <v>#N/A</v>
      </c>
      <c r="Z2064" s="8" t="str">
        <f t="shared" si="32"/>
        <v>FLEX</v>
      </c>
      <c r="AA2064" s="8" t="e">
        <f>+VLOOKUP(I2064,[1]SKU!$H$2:$I$97,2,0)</f>
        <v>#N/A</v>
      </c>
    </row>
    <row r="2065" spans="24:27">
      <c r="X2065" s="8" t="str">
        <f>+IFERROR(VLOOKUP(N2065,[1]Hoja1!$B$2:$F$52,4,0)*P2065,"")</f>
        <v/>
      </c>
      <c r="Y2065" s="8" t="e">
        <f>+VLOOKUP(M2065,[1]SKU!$B$3:$E$81,4,0)</f>
        <v>#N/A</v>
      </c>
      <c r="Z2065" s="8" t="str">
        <f t="shared" si="32"/>
        <v>FLEX</v>
      </c>
      <c r="AA2065" s="8" t="e">
        <f>+VLOOKUP(I2065,[1]SKU!$H$2:$I$97,2,0)</f>
        <v>#N/A</v>
      </c>
    </row>
    <row r="2066" spans="24:27">
      <c r="X2066" s="8" t="str">
        <f>+IFERROR(VLOOKUP(N2066,[1]Hoja1!$B$2:$F$52,4,0)*P2066,"")</f>
        <v/>
      </c>
      <c r="Y2066" s="8" t="e">
        <f>+VLOOKUP(M2066,[1]SKU!$B$3:$E$81,4,0)</f>
        <v>#N/A</v>
      </c>
      <c r="Z2066" s="8" t="str">
        <f t="shared" si="32"/>
        <v>FLEX</v>
      </c>
      <c r="AA2066" s="8" t="e">
        <f>+VLOOKUP(I2066,[1]SKU!$H$2:$I$97,2,0)</f>
        <v>#N/A</v>
      </c>
    </row>
    <row r="2067" spans="24:27">
      <c r="X2067" s="8" t="str">
        <f>+IFERROR(VLOOKUP(N2067,[1]Hoja1!$B$2:$F$52,4,0)*P2067,"")</f>
        <v/>
      </c>
      <c r="Y2067" s="8" t="e">
        <f>+VLOOKUP(M2067,[1]SKU!$B$3:$E$81,4,0)</f>
        <v>#N/A</v>
      </c>
      <c r="Z2067" s="8" t="str">
        <f t="shared" si="32"/>
        <v>FLEX</v>
      </c>
      <c r="AA2067" s="8" t="e">
        <f>+VLOOKUP(I2067,[1]SKU!$H$2:$I$97,2,0)</f>
        <v>#N/A</v>
      </c>
    </row>
    <row r="2068" spans="24:27">
      <c r="X2068" s="8" t="str">
        <f>+IFERROR(VLOOKUP(N2068,[1]Hoja1!$B$2:$F$52,4,0)*P2068,"")</f>
        <v/>
      </c>
      <c r="Y2068" s="8" t="e">
        <f>+VLOOKUP(M2068,[1]SKU!$B$3:$E$81,4,0)</f>
        <v>#N/A</v>
      </c>
      <c r="Z2068" s="8" t="str">
        <f t="shared" si="32"/>
        <v>FLEX</v>
      </c>
      <c r="AA2068" s="8" t="e">
        <f>+VLOOKUP(I2068,[1]SKU!$H$2:$I$97,2,0)</f>
        <v>#N/A</v>
      </c>
    </row>
    <row r="2069" spans="24:27">
      <c r="X2069" s="8" t="str">
        <f>+IFERROR(VLOOKUP(N2069,[1]Hoja1!$B$2:$F$52,4,0)*P2069,"")</f>
        <v/>
      </c>
      <c r="Y2069" s="8" t="e">
        <f>+VLOOKUP(M2069,[1]SKU!$B$3:$E$81,4,0)</f>
        <v>#N/A</v>
      </c>
      <c r="Z2069" s="8" t="str">
        <f t="shared" si="32"/>
        <v>FLEX</v>
      </c>
      <c r="AA2069" s="8" t="e">
        <f>+VLOOKUP(I2069,[1]SKU!$H$2:$I$97,2,0)</f>
        <v>#N/A</v>
      </c>
    </row>
    <row r="2070" spans="24:27">
      <c r="X2070" s="8" t="str">
        <f>+IFERROR(VLOOKUP(N2070,[1]Hoja1!$B$2:$F$52,4,0)*P2070,"")</f>
        <v/>
      </c>
      <c r="Y2070" s="8" t="e">
        <f>+VLOOKUP(M2070,[1]SKU!$B$3:$E$81,4,0)</f>
        <v>#N/A</v>
      </c>
      <c r="Z2070" s="8" t="str">
        <f t="shared" si="32"/>
        <v>FLEX</v>
      </c>
      <c r="AA2070" s="8" t="e">
        <f>+VLOOKUP(I2070,[1]SKU!$H$2:$I$97,2,0)</f>
        <v>#N/A</v>
      </c>
    </row>
    <row r="2071" spans="24:27">
      <c r="X2071" s="8" t="str">
        <f>+IFERROR(VLOOKUP(N2071,[1]Hoja1!$B$2:$F$52,4,0)*P2071,"")</f>
        <v/>
      </c>
      <c r="Y2071" s="8" t="e">
        <f>+VLOOKUP(M2071,[1]SKU!$B$3:$E$81,4,0)</f>
        <v>#N/A</v>
      </c>
      <c r="Z2071" s="8" t="str">
        <f t="shared" si="32"/>
        <v>FLEX</v>
      </c>
      <c r="AA2071" s="8" t="e">
        <f>+VLOOKUP(I2071,[1]SKU!$H$2:$I$97,2,0)</f>
        <v>#N/A</v>
      </c>
    </row>
    <row r="2072" spans="24:27">
      <c r="X2072" s="8" t="str">
        <f>+IFERROR(VLOOKUP(N2072,[1]Hoja1!$B$2:$F$52,4,0)*P2072,"")</f>
        <v/>
      </c>
      <c r="Y2072" s="8" t="e">
        <f>+VLOOKUP(M2072,[1]SKU!$B$3:$E$81,4,0)</f>
        <v>#N/A</v>
      </c>
      <c r="Z2072" s="8" t="str">
        <f t="shared" si="32"/>
        <v>FLEX</v>
      </c>
      <c r="AA2072" s="8" t="e">
        <f>+VLOOKUP(I2072,[1]SKU!$H$2:$I$97,2,0)</f>
        <v>#N/A</v>
      </c>
    </row>
    <row r="2073" spans="24:27">
      <c r="X2073" s="8" t="str">
        <f>+IFERROR(VLOOKUP(N2073,[1]Hoja1!$B$2:$F$52,4,0)*P2073,"")</f>
        <v/>
      </c>
      <c r="Y2073" s="8" t="e">
        <f>+VLOOKUP(M2073,[1]SKU!$B$3:$E$81,4,0)</f>
        <v>#N/A</v>
      </c>
      <c r="Z2073" s="8" t="str">
        <f t="shared" si="32"/>
        <v>FLEX</v>
      </c>
      <c r="AA2073" s="8" t="e">
        <f>+VLOOKUP(I2073,[1]SKU!$H$2:$I$97,2,0)</f>
        <v>#N/A</v>
      </c>
    </row>
    <row r="2074" spans="24:27">
      <c r="X2074" s="8" t="str">
        <f>+IFERROR(VLOOKUP(N2074,[1]Hoja1!$B$2:$F$52,4,0)*P2074,"")</f>
        <v/>
      </c>
      <c r="Y2074" s="8" t="e">
        <f>+VLOOKUP(M2074,[1]SKU!$B$3:$E$81,4,0)</f>
        <v>#N/A</v>
      </c>
      <c r="Z2074" s="8" t="str">
        <f t="shared" si="32"/>
        <v>FLEX</v>
      </c>
      <c r="AA2074" s="8" t="e">
        <f>+VLOOKUP(I2074,[1]SKU!$H$2:$I$97,2,0)</f>
        <v>#N/A</v>
      </c>
    </row>
    <row r="2075" spans="24:27">
      <c r="X2075" s="8" t="str">
        <f>+IFERROR(VLOOKUP(N2075,[1]Hoja1!$B$2:$F$52,4,0)*P2075,"")</f>
        <v/>
      </c>
      <c r="Y2075" s="8" t="e">
        <f>+VLOOKUP(M2075,[1]SKU!$B$3:$E$81,4,0)</f>
        <v>#N/A</v>
      </c>
      <c r="Z2075" s="8" t="str">
        <f t="shared" si="32"/>
        <v>FLEX</v>
      </c>
      <c r="AA2075" s="8" t="e">
        <f>+VLOOKUP(I2075,[1]SKU!$H$2:$I$97,2,0)</f>
        <v>#N/A</v>
      </c>
    </row>
    <row r="2076" spans="24:27">
      <c r="X2076" s="8" t="str">
        <f>+IFERROR(VLOOKUP(N2076,[1]Hoja1!$B$2:$F$52,4,0)*P2076,"")</f>
        <v/>
      </c>
      <c r="Y2076" s="8" t="e">
        <f>+VLOOKUP(M2076,[1]SKU!$B$3:$E$81,4,0)</f>
        <v>#N/A</v>
      </c>
      <c r="Z2076" s="8" t="str">
        <f t="shared" si="32"/>
        <v>FLEX</v>
      </c>
      <c r="AA2076" s="8" t="e">
        <f>+VLOOKUP(I2076,[1]SKU!$H$2:$I$97,2,0)</f>
        <v>#N/A</v>
      </c>
    </row>
    <row r="2077" spans="24:27">
      <c r="X2077" s="8" t="str">
        <f>+IFERROR(VLOOKUP(N2077,[1]Hoja1!$B$2:$F$52,4,0)*P2077,"")</f>
        <v/>
      </c>
      <c r="Y2077" s="8" t="e">
        <f>+VLOOKUP(M2077,[1]SKU!$B$3:$E$81,4,0)</f>
        <v>#N/A</v>
      </c>
      <c r="Z2077" s="8" t="str">
        <f t="shared" si="32"/>
        <v>FLEX</v>
      </c>
      <c r="AA2077" s="8" t="e">
        <f>+VLOOKUP(I2077,[1]SKU!$H$2:$I$97,2,0)</f>
        <v>#N/A</v>
      </c>
    </row>
    <row r="2078" spans="24:27">
      <c r="X2078" s="8" t="str">
        <f>+IFERROR(VLOOKUP(N2078,[1]Hoja1!$B$2:$F$52,4,0)*P2078,"")</f>
        <v/>
      </c>
      <c r="Y2078" s="8" t="e">
        <f>+VLOOKUP(M2078,[1]SKU!$B$3:$E$81,4,0)</f>
        <v>#N/A</v>
      </c>
      <c r="Z2078" s="8" t="str">
        <f t="shared" si="32"/>
        <v>FLEX</v>
      </c>
      <c r="AA2078" s="8" t="e">
        <f>+VLOOKUP(I2078,[1]SKU!$H$2:$I$97,2,0)</f>
        <v>#N/A</v>
      </c>
    </row>
    <row r="2079" spans="24:27">
      <c r="X2079" s="8" t="str">
        <f>+IFERROR(VLOOKUP(N2079,[1]Hoja1!$B$2:$F$52,4,0)*P2079,"")</f>
        <v/>
      </c>
      <c r="Y2079" s="8" t="e">
        <f>+VLOOKUP(M2079,[1]SKU!$B$3:$E$81,4,0)</f>
        <v>#N/A</v>
      </c>
      <c r="Z2079" s="8" t="str">
        <f t="shared" si="32"/>
        <v>FLEX</v>
      </c>
      <c r="AA2079" s="8" t="e">
        <f>+VLOOKUP(I2079,[1]SKU!$H$2:$I$97,2,0)</f>
        <v>#N/A</v>
      </c>
    </row>
    <row r="2080" spans="24:27">
      <c r="X2080" s="8" t="str">
        <f>+IFERROR(VLOOKUP(N2080,[1]Hoja1!$B$2:$F$52,4,0)*P2080,"")</f>
        <v/>
      </c>
      <c r="Y2080" s="8" t="e">
        <f>+VLOOKUP(M2080,[1]SKU!$B$3:$E$81,4,0)</f>
        <v>#N/A</v>
      </c>
      <c r="Z2080" s="8" t="str">
        <f t="shared" si="32"/>
        <v>FLEX</v>
      </c>
      <c r="AA2080" s="8" t="e">
        <f>+VLOOKUP(I2080,[1]SKU!$H$2:$I$97,2,0)</f>
        <v>#N/A</v>
      </c>
    </row>
    <row r="2081" spans="24:27">
      <c r="X2081" s="8" t="str">
        <f>+IFERROR(VLOOKUP(N2081,[1]Hoja1!$B$2:$F$52,4,0)*P2081,"")</f>
        <v/>
      </c>
      <c r="Y2081" s="8" t="e">
        <f>+VLOOKUP(M2081,[1]SKU!$B$3:$E$81,4,0)</f>
        <v>#N/A</v>
      </c>
      <c r="Z2081" s="8" t="str">
        <f t="shared" si="32"/>
        <v>FLEX</v>
      </c>
      <c r="AA2081" s="8" t="e">
        <f>+VLOOKUP(I2081,[1]SKU!$H$2:$I$97,2,0)</f>
        <v>#N/A</v>
      </c>
    </row>
    <row r="2082" spans="24:27">
      <c r="X2082" s="8" t="str">
        <f>+IFERROR(VLOOKUP(N2082,[1]Hoja1!$B$2:$F$52,4,0)*P2082,"")</f>
        <v/>
      </c>
      <c r="Y2082" s="8" t="e">
        <f>+VLOOKUP(M2082,[1]SKU!$B$3:$E$81,4,0)</f>
        <v>#N/A</v>
      </c>
      <c r="Z2082" s="8" t="str">
        <f t="shared" si="32"/>
        <v>FLEX</v>
      </c>
      <c r="AA2082" s="8" t="e">
        <f>+VLOOKUP(I2082,[1]SKU!$H$2:$I$97,2,0)</f>
        <v>#N/A</v>
      </c>
    </row>
    <row r="2083" spans="24:27">
      <c r="X2083" s="8" t="str">
        <f>+IFERROR(VLOOKUP(N2083,[1]Hoja1!$B$2:$F$52,4,0)*P2083,"")</f>
        <v/>
      </c>
      <c r="Y2083" s="8" t="e">
        <f>+VLOOKUP(M2083,[1]SKU!$B$3:$E$81,4,0)</f>
        <v>#N/A</v>
      </c>
      <c r="Z2083" s="8" t="str">
        <f t="shared" si="32"/>
        <v>FLEX</v>
      </c>
      <c r="AA2083" s="8" t="e">
        <f>+VLOOKUP(I2083,[1]SKU!$H$2:$I$97,2,0)</f>
        <v>#N/A</v>
      </c>
    </row>
    <row r="2084" spans="24:27">
      <c r="X2084" s="8" t="str">
        <f>+IFERROR(VLOOKUP(N2084,[1]Hoja1!$B$2:$F$52,4,0)*P2084,"")</f>
        <v/>
      </c>
      <c r="Y2084" s="8" t="e">
        <f>+VLOOKUP(M2084,[1]SKU!$B$3:$E$81,4,0)</f>
        <v>#N/A</v>
      </c>
      <c r="Z2084" s="8" t="str">
        <f t="shared" si="32"/>
        <v>FLEX</v>
      </c>
      <c r="AA2084" s="8" t="e">
        <f>+VLOOKUP(I2084,[1]SKU!$H$2:$I$97,2,0)</f>
        <v>#N/A</v>
      </c>
    </row>
    <row r="2085" spans="24:27">
      <c r="X2085" s="8" t="str">
        <f>+IFERROR(VLOOKUP(N2085,[1]Hoja1!$B$2:$F$52,4,0)*P2085,"")</f>
        <v/>
      </c>
      <c r="Y2085" s="8" t="e">
        <f>+VLOOKUP(M2085,[1]SKU!$B$3:$E$81,4,0)</f>
        <v>#N/A</v>
      </c>
      <c r="Z2085" s="8" t="str">
        <f t="shared" si="32"/>
        <v>FLEX</v>
      </c>
      <c r="AA2085" s="8" t="e">
        <f>+VLOOKUP(I2085,[1]SKU!$H$2:$I$97,2,0)</f>
        <v>#N/A</v>
      </c>
    </row>
    <row r="2086" spans="24:27">
      <c r="X2086" s="8" t="str">
        <f>+IFERROR(VLOOKUP(N2086,[1]Hoja1!$B$2:$F$52,4,0)*P2086,"")</f>
        <v/>
      </c>
      <c r="Y2086" s="8" t="e">
        <f>+VLOOKUP(M2086,[1]SKU!$B$3:$E$81,4,0)</f>
        <v>#N/A</v>
      </c>
      <c r="Z2086" s="8" t="str">
        <f t="shared" si="32"/>
        <v>FLEX</v>
      </c>
      <c r="AA2086" s="8" t="e">
        <f>+VLOOKUP(I2086,[1]SKU!$H$2:$I$97,2,0)</f>
        <v>#N/A</v>
      </c>
    </row>
    <row r="2087" spans="24:27">
      <c r="X2087" s="8" t="str">
        <f>+IFERROR(VLOOKUP(N2087,[1]Hoja1!$B$2:$F$52,4,0)*P2087,"")</f>
        <v/>
      </c>
      <c r="Y2087" s="8" t="e">
        <f>+VLOOKUP(M2087,[1]SKU!$B$3:$E$81,4,0)</f>
        <v>#N/A</v>
      </c>
      <c r="Z2087" s="8" t="str">
        <f t="shared" si="32"/>
        <v>FLEX</v>
      </c>
      <c r="AA2087" s="8" t="e">
        <f>+VLOOKUP(I2087,[1]SKU!$H$2:$I$97,2,0)</f>
        <v>#N/A</v>
      </c>
    </row>
    <row r="2088" spans="24:27">
      <c r="X2088" s="8" t="str">
        <f>+IFERROR(VLOOKUP(N2088,[1]Hoja1!$B$2:$F$52,4,0)*P2088,"")</f>
        <v/>
      </c>
      <c r="Y2088" s="8" t="e">
        <f>+VLOOKUP(M2088,[1]SKU!$B$3:$E$81,4,0)</f>
        <v>#N/A</v>
      </c>
      <c r="Z2088" s="8" t="str">
        <f t="shared" si="32"/>
        <v>FLEX</v>
      </c>
      <c r="AA2088" s="8" t="e">
        <f>+VLOOKUP(I2088,[1]SKU!$H$2:$I$97,2,0)</f>
        <v>#N/A</v>
      </c>
    </row>
    <row r="2089" spans="24:27">
      <c r="X2089" s="8" t="str">
        <f>+IFERROR(VLOOKUP(N2089,[1]Hoja1!$B$2:$F$52,4,0)*P2089,"")</f>
        <v/>
      </c>
      <c r="Y2089" s="8" t="e">
        <f>+VLOOKUP(M2089,[1]SKU!$B$3:$E$81,4,0)</f>
        <v>#N/A</v>
      </c>
      <c r="Z2089" s="8" t="str">
        <f t="shared" si="32"/>
        <v>FLEX</v>
      </c>
      <c r="AA2089" s="8" t="e">
        <f>+VLOOKUP(I2089,[1]SKU!$H$2:$I$97,2,0)</f>
        <v>#N/A</v>
      </c>
    </row>
    <row r="2090" spans="24:27">
      <c r="X2090" s="8" t="str">
        <f>+IFERROR(VLOOKUP(N2090,[1]Hoja1!$B$2:$F$52,4,0)*P2090,"")</f>
        <v/>
      </c>
      <c r="Y2090" s="8" t="e">
        <f>+VLOOKUP(M2090,[1]SKU!$B$3:$E$81,4,0)</f>
        <v>#N/A</v>
      </c>
      <c r="Z2090" s="8" t="str">
        <f t="shared" si="32"/>
        <v>FLEX</v>
      </c>
      <c r="AA2090" s="8" t="e">
        <f>+VLOOKUP(I2090,[1]SKU!$H$2:$I$97,2,0)</f>
        <v>#N/A</v>
      </c>
    </row>
    <row r="2091" spans="24:27">
      <c r="X2091" s="8" t="str">
        <f>+IFERROR(VLOOKUP(N2091,[1]Hoja1!$B$2:$F$52,4,0)*P2091,"")</f>
        <v/>
      </c>
      <c r="Y2091" s="8" t="e">
        <f>+VLOOKUP(M2091,[1]SKU!$B$3:$E$81,4,0)</f>
        <v>#N/A</v>
      </c>
      <c r="Z2091" s="8" t="str">
        <f t="shared" si="32"/>
        <v>FLEX</v>
      </c>
      <c r="AA2091" s="8" t="e">
        <f>+VLOOKUP(I2091,[1]SKU!$H$2:$I$97,2,0)</f>
        <v>#N/A</v>
      </c>
    </row>
    <row r="2092" spans="24:27">
      <c r="X2092" s="8" t="str">
        <f>+IFERROR(VLOOKUP(N2092,[1]Hoja1!$B$2:$F$52,4,0)*P2092,"")</f>
        <v/>
      </c>
      <c r="Y2092" s="8" t="e">
        <f>+VLOOKUP(M2092,[1]SKU!$B$3:$E$81,4,0)</f>
        <v>#N/A</v>
      </c>
      <c r="Z2092" s="8" t="str">
        <f t="shared" si="32"/>
        <v>FLEX</v>
      </c>
      <c r="AA2092" s="8" t="e">
        <f>+VLOOKUP(I2092,[1]SKU!$H$2:$I$97,2,0)</f>
        <v>#N/A</v>
      </c>
    </row>
    <row r="2093" spans="24:27">
      <c r="X2093" s="8" t="str">
        <f>+IFERROR(VLOOKUP(N2093,[1]Hoja1!$B$2:$F$52,4,0)*P2093,"")</f>
        <v/>
      </c>
      <c r="Y2093" s="8" t="e">
        <f>+VLOOKUP(M2093,[1]SKU!$B$3:$E$81,4,0)</f>
        <v>#N/A</v>
      </c>
      <c r="Z2093" s="8" t="str">
        <f t="shared" si="32"/>
        <v>FLEX</v>
      </c>
      <c r="AA2093" s="8" t="e">
        <f>+VLOOKUP(I2093,[1]SKU!$H$2:$I$97,2,0)</f>
        <v>#N/A</v>
      </c>
    </row>
    <row r="2094" spans="24:27">
      <c r="X2094" s="8" t="str">
        <f>+IFERROR(VLOOKUP(N2094,[1]Hoja1!$B$2:$F$52,4,0)*P2094,"")</f>
        <v/>
      </c>
      <c r="Y2094" s="8" t="e">
        <f>+VLOOKUP(M2094,[1]SKU!$B$3:$E$81,4,0)</f>
        <v>#N/A</v>
      </c>
      <c r="Z2094" s="8" t="str">
        <f t="shared" si="32"/>
        <v>FLEX</v>
      </c>
      <c r="AA2094" s="8" t="e">
        <f>+VLOOKUP(I2094,[1]SKU!$H$2:$I$97,2,0)</f>
        <v>#N/A</v>
      </c>
    </row>
    <row r="2095" spans="24:27">
      <c r="X2095" s="8" t="str">
        <f>+IFERROR(VLOOKUP(N2095,[1]Hoja1!$B$2:$F$52,4,0)*P2095,"")</f>
        <v/>
      </c>
      <c r="Y2095" s="8" t="e">
        <f>+VLOOKUP(M2095,[1]SKU!$B$3:$E$81,4,0)</f>
        <v>#N/A</v>
      </c>
      <c r="Z2095" s="8" t="str">
        <f t="shared" si="32"/>
        <v>FLEX</v>
      </c>
      <c r="AA2095" s="8" t="e">
        <f>+VLOOKUP(I2095,[1]SKU!$H$2:$I$97,2,0)</f>
        <v>#N/A</v>
      </c>
    </row>
    <row r="2096" spans="24:27">
      <c r="X2096" s="8" t="str">
        <f>+IFERROR(VLOOKUP(N2096,[1]Hoja1!$B$2:$F$52,4,0)*P2096,"")</f>
        <v/>
      </c>
      <c r="Y2096" s="8" t="e">
        <f>+VLOOKUP(M2096,[1]SKU!$B$3:$E$81,4,0)</f>
        <v>#N/A</v>
      </c>
      <c r="Z2096" s="8" t="str">
        <f t="shared" si="32"/>
        <v>FLEX</v>
      </c>
      <c r="AA2096" s="8" t="e">
        <f>+VLOOKUP(I2096,[1]SKU!$H$2:$I$97,2,0)</f>
        <v>#N/A</v>
      </c>
    </row>
    <row r="2097" spans="24:27">
      <c r="X2097" s="8" t="str">
        <f>+IFERROR(VLOOKUP(N2097,[1]Hoja1!$B$2:$F$52,4,0)*P2097,"")</f>
        <v/>
      </c>
      <c r="Y2097" s="8" t="e">
        <f>+VLOOKUP(M2097,[1]SKU!$B$3:$E$81,4,0)</f>
        <v>#N/A</v>
      </c>
      <c r="Z2097" s="8" t="str">
        <f t="shared" si="32"/>
        <v>FLEX</v>
      </c>
      <c r="AA2097" s="8" t="e">
        <f>+VLOOKUP(I2097,[1]SKU!$H$2:$I$97,2,0)</f>
        <v>#N/A</v>
      </c>
    </row>
    <row r="2098" spans="24:27">
      <c r="X2098" s="8" t="str">
        <f>+IFERROR(VLOOKUP(N2098,[1]Hoja1!$B$2:$F$52,4,0)*P2098,"")</f>
        <v/>
      </c>
      <c r="Y2098" s="8" t="e">
        <f>+VLOOKUP(M2098,[1]SKU!$B$3:$E$81,4,0)</f>
        <v>#N/A</v>
      </c>
      <c r="Z2098" s="8" t="str">
        <f t="shared" si="32"/>
        <v>FLEX</v>
      </c>
      <c r="AA2098" s="8" t="e">
        <f>+VLOOKUP(I2098,[1]SKU!$H$2:$I$97,2,0)</f>
        <v>#N/A</v>
      </c>
    </row>
    <row r="2099" spans="24:27">
      <c r="X2099" s="8" t="str">
        <f>+IFERROR(VLOOKUP(N2099,[1]Hoja1!$B$2:$F$52,4,0)*P2099,"")</f>
        <v/>
      </c>
      <c r="Y2099" s="8" t="e">
        <f>+VLOOKUP(M2099,[1]SKU!$B$3:$E$81,4,0)</f>
        <v>#N/A</v>
      </c>
      <c r="Z2099" s="8" t="str">
        <f t="shared" si="32"/>
        <v>FLEX</v>
      </c>
      <c r="AA2099" s="8" t="e">
        <f>+VLOOKUP(I2099,[1]SKU!$H$2:$I$97,2,0)</f>
        <v>#N/A</v>
      </c>
    </row>
    <row r="2100" spans="24:27">
      <c r="X2100" s="8" t="str">
        <f>+IFERROR(VLOOKUP(N2100,[1]Hoja1!$B$2:$F$52,4,0)*P2100,"")</f>
        <v/>
      </c>
      <c r="Y2100" s="8" t="e">
        <f>+VLOOKUP(M2100,[1]SKU!$B$3:$E$81,4,0)</f>
        <v>#N/A</v>
      </c>
      <c r="Z2100" s="8" t="str">
        <f t="shared" si="32"/>
        <v>FLEX</v>
      </c>
      <c r="AA2100" s="8" t="e">
        <f>+VLOOKUP(I2100,[1]SKU!$H$2:$I$97,2,0)</f>
        <v>#N/A</v>
      </c>
    </row>
    <row r="2101" spans="24:27">
      <c r="X2101" s="8" t="str">
        <f>+IFERROR(VLOOKUP(N2101,[1]Hoja1!$B$2:$F$52,4,0)*P2101,"")</f>
        <v/>
      </c>
      <c r="Y2101" s="8" t="e">
        <f>+VLOOKUP(M2101,[1]SKU!$B$3:$E$81,4,0)</f>
        <v>#N/A</v>
      </c>
      <c r="Z2101" s="8" t="str">
        <f t="shared" si="32"/>
        <v>FLEX</v>
      </c>
      <c r="AA2101" s="8" t="e">
        <f>+VLOOKUP(I2101,[1]SKU!$H$2:$I$97,2,0)</f>
        <v>#N/A</v>
      </c>
    </row>
    <row r="2102" spans="24:27">
      <c r="X2102" s="8" t="str">
        <f>+IFERROR(VLOOKUP(N2102,[1]Hoja1!$B$2:$F$52,4,0)*P2102,"")</f>
        <v/>
      </c>
      <c r="Y2102" s="8" t="e">
        <f>+VLOOKUP(M2102,[1]SKU!$B$3:$E$81,4,0)</f>
        <v>#N/A</v>
      </c>
      <c r="Z2102" s="8" t="str">
        <f t="shared" si="32"/>
        <v>FLEX</v>
      </c>
      <c r="AA2102" s="8" t="e">
        <f>+VLOOKUP(I2102,[1]SKU!$H$2:$I$97,2,0)</f>
        <v>#N/A</v>
      </c>
    </row>
    <row r="2103" spans="24:27">
      <c r="X2103" s="8" t="str">
        <f>+IFERROR(VLOOKUP(N2103,[1]Hoja1!$B$2:$F$52,4,0)*P2103,"")</f>
        <v/>
      </c>
      <c r="Y2103" s="8" t="e">
        <f>+VLOOKUP(M2103,[1]SKU!$B$3:$E$81,4,0)</f>
        <v>#N/A</v>
      </c>
      <c r="Z2103" s="8" t="str">
        <f t="shared" si="32"/>
        <v>FLEX</v>
      </c>
      <c r="AA2103" s="8" t="e">
        <f>+VLOOKUP(I2103,[1]SKU!$H$2:$I$97,2,0)</f>
        <v>#N/A</v>
      </c>
    </row>
    <row r="2104" spans="24:27">
      <c r="X2104" s="8" t="str">
        <f>+IFERROR(VLOOKUP(N2104,[1]Hoja1!$B$2:$F$52,4,0)*P2104,"")</f>
        <v/>
      </c>
      <c r="Y2104" s="8" t="e">
        <f>+VLOOKUP(M2104,[1]SKU!$B$3:$E$81,4,0)</f>
        <v>#N/A</v>
      </c>
      <c r="Z2104" s="8" t="str">
        <f t="shared" si="32"/>
        <v>FLEX</v>
      </c>
      <c r="AA2104" s="8" t="e">
        <f>+VLOOKUP(I2104,[1]SKU!$H$2:$I$97,2,0)</f>
        <v>#N/A</v>
      </c>
    </row>
    <row r="2105" spans="24:27">
      <c r="X2105" s="8" t="str">
        <f>+IFERROR(VLOOKUP(N2105,[1]Hoja1!$B$2:$F$52,4,0)*P2105,"")</f>
        <v/>
      </c>
      <c r="Y2105" s="8" t="e">
        <f>+VLOOKUP(M2105,[1]SKU!$B$3:$E$81,4,0)</f>
        <v>#N/A</v>
      </c>
      <c r="Z2105" s="8" t="str">
        <f t="shared" si="32"/>
        <v>FLEX</v>
      </c>
      <c r="AA2105" s="8" t="e">
        <f>+VLOOKUP(I2105,[1]SKU!$H$2:$I$97,2,0)</f>
        <v>#N/A</v>
      </c>
    </row>
    <row r="2106" spans="24:27">
      <c r="X2106" s="8" t="str">
        <f>+IFERROR(VLOOKUP(N2106,[1]Hoja1!$B$2:$F$52,4,0)*P2106,"")</f>
        <v/>
      </c>
      <c r="Y2106" s="8" t="e">
        <f>+VLOOKUP(M2106,[1]SKU!$B$3:$E$81,4,0)</f>
        <v>#N/A</v>
      </c>
      <c r="Z2106" s="8" t="str">
        <f t="shared" si="32"/>
        <v>FLEX</v>
      </c>
      <c r="AA2106" s="8" t="e">
        <f>+VLOOKUP(I2106,[1]SKU!$H$2:$I$97,2,0)</f>
        <v>#N/A</v>
      </c>
    </row>
    <row r="2107" spans="24:27">
      <c r="X2107" s="8" t="str">
        <f>+IFERROR(VLOOKUP(N2107,[1]Hoja1!$B$2:$F$52,4,0)*P2107,"")</f>
        <v/>
      </c>
      <c r="Y2107" s="8" t="e">
        <f>+VLOOKUP(M2107,[1]SKU!$B$3:$E$81,4,0)</f>
        <v>#N/A</v>
      </c>
      <c r="Z2107" s="8" t="str">
        <f t="shared" si="32"/>
        <v>FLEX</v>
      </c>
      <c r="AA2107" s="8" t="e">
        <f>+VLOOKUP(I2107,[1]SKU!$H$2:$I$97,2,0)</f>
        <v>#N/A</v>
      </c>
    </row>
    <row r="2108" spans="24:27">
      <c r="X2108" s="8" t="str">
        <f>+IFERROR(VLOOKUP(N2108,[1]Hoja1!$B$2:$F$52,4,0)*P2108,"")</f>
        <v/>
      </c>
      <c r="Y2108" s="8" t="e">
        <f>+VLOOKUP(M2108,[1]SKU!$B$3:$E$81,4,0)</f>
        <v>#N/A</v>
      </c>
      <c r="Z2108" s="8" t="str">
        <f t="shared" si="32"/>
        <v>FLEX</v>
      </c>
      <c r="AA2108" s="8" t="e">
        <f>+VLOOKUP(I2108,[1]SKU!$H$2:$I$97,2,0)</f>
        <v>#N/A</v>
      </c>
    </row>
    <row r="2109" spans="24:27">
      <c r="X2109" s="8" t="str">
        <f>+IFERROR(VLOOKUP(N2109,[1]Hoja1!$B$2:$F$52,4,0)*P2109,"")</f>
        <v/>
      </c>
      <c r="Y2109" s="8" t="e">
        <f>+VLOOKUP(M2109,[1]SKU!$B$3:$E$81,4,0)</f>
        <v>#N/A</v>
      </c>
      <c r="Z2109" s="8" t="str">
        <f t="shared" si="32"/>
        <v>FLEX</v>
      </c>
      <c r="AA2109" s="8" t="e">
        <f>+VLOOKUP(I2109,[1]SKU!$H$2:$I$97,2,0)</f>
        <v>#N/A</v>
      </c>
    </row>
    <row r="2110" spans="24:27">
      <c r="X2110" s="8" t="str">
        <f>+IFERROR(VLOOKUP(N2110,[1]Hoja1!$B$2:$F$52,4,0)*P2110,"")</f>
        <v/>
      </c>
      <c r="Y2110" s="8" t="e">
        <f>+VLOOKUP(M2110,[1]SKU!$B$3:$E$81,4,0)</f>
        <v>#N/A</v>
      </c>
      <c r="Z2110" s="8" t="str">
        <f t="shared" si="32"/>
        <v>FLEX</v>
      </c>
      <c r="AA2110" s="8" t="e">
        <f>+VLOOKUP(I2110,[1]SKU!$H$2:$I$97,2,0)</f>
        <v>#N/A</v>
      </c>
    </row>
    <row r="2111" spans="24:27">
      <c r="X2111" s="8" t="str">
        <f>+IFERROR(VLOOKUP(N2111,[1]Hoja1!$B$2:$F$52,4,0)*P2111,"")</f>
        <v/>
      </c>
      <c r="Y2111" s="8" t="e">
        <f>+VLOOKUP(M2111,[1]SKU!$B$3:$E$81,4,0)</f>
        <v>#N/A</v>
      </c>
      <c r="Z2111" s="8" t="str">
        <f t="shared" si="32"/>
        <v>FLEX</v>
      </c>
      <c r="AA2111" s="8" t="e">
        <f>+VLOOKUP(I2111,[1]SKU!$H$2:$I$97,2,0)</f>
        <v>#N/A</v>
      </c>
    </row>
    <row r="2112" spans="24:27">
      <c r="X2112" s="8" t="str">
        <f>+IFERROR(VLOOKUP(N2112,[1]Hoja1!$B$2:$F$52,4,0)*P2112,"")</f>
        <v/>
      </c>
      <c r="Y2112" s="8" t="e">
        <f>+VLOOKUP(M2112,[1]SKU!$B$3:$E$81,4,0)</f>
        <v>#N/A</v>
      </c>
      <c r="Z2112" s="8" t="str">
        <f t="shared" si="32"/>
        <v>FLEX</v>
      </c>
      <c r="AA2112" s="8" t="e">
        <f>+VLOOKUP(I2112,[1]SKU!$H$2:$I$97,2,0)</f>
        <v>#N/A</v>
      </c>
    </row>
    <row r="2113" spans="24:27">
      <c r="X2113" s="8" t="str">
        <f>+IFERROR(VLOOKUP(N2113,[1]Hoja1!$B$2:$F$52,4,0)*P2113,"")</f>
        <v/>
      </c>
      <c r="Y2113" s="8" t="e">
        <f>+VLOOKUP(M2113,[1]SKU!$B$3:$E$81,4,0)</f>
        <v>#N/A</v>
      </c>
      <c r="Z2113" s="8" t="str">
        <f t="shared" si="32"/>
        <v>FLEX</v>
      </c>
      <c r="AA2113" s="8" t="e">
        <f>+VLOOKUP(I2113,[1]SKU!$H$2:$I$97,2,0)</f>
        <v>#N/A</v>
      </c>
    </row>
    <row r="2114" spans="24:27">
      <c r="X2114" s="8" t="str">
        <f>+IFERROR(VLOOKUP(N2114,[1]Hoja1!$B$2:$F$52,4,0)*P2114,"")</f>
        <v/>
      </c>
      <c r="Y2114" s="8" t="e">
        <f>+VLOOKUP(M2114,[1]SKU!$B$3:$E$81,4,0)</f>
        <v>#N/A</v>
      </c>
      <c r="Z2114" s="8" t="str">
        <f t="shared" si="32"/>
        <v>FLEX</v>
      </c>
      <c r="AA2114" s="8" t="e">
        <f>+VLOOKUP(I2114,[1]SKU!$H$2:$I$97,2,0)</f>
        <v>#N/A</v>
      </c>
    </row>
    <row r="2115" spans="24:27">
      <c r="X2115" s="8" t="str">
        <f>+IFERROR(VLOOKUP(N2115,[1]Hoja1!$B$2:$F$52,4,0)*P2115,"")</f>
        <v/>
      </c>
      <c r="Y2115" s="8" t="e">
        <f>+VLOOKUP(M2115,[1]SKU!$B$3:$E$81,4,0)</f>
        <v>#N/A</v>
      </c>
      <c r="Z2115" s="8" t="str">
        <f t="shared" ref="Z2115:Z2178" si="33">+IF(J2115="VB01                          ","BEES","FLEX")</f>
        <v>FLEX</v>
      </c>
      <c r="AA2115" s="8" t="e">
        <f>+VLOOKUP(I2115,[1]SKU!$H$2:$I$97,2,0)</f>
        <v>#N/A</v>
      </c>
    </row>
    <row r="2116" spans="24:27">
      <c r="X2116" s="8" t="str">
        <f>+IFERROR(VLOOKUP(N2116,[1]Hoja1!$B$2:$F$52,4,0)*P2116,"")</f>
        <v/>
      </c>
      <c r="Y2116" s="8" t="e">
        <f>+VLOOKUP(M2116,[1]SKU!$B$3:$E$81,4,0)</f>
        <v>#N/A</v>
      </c>
      <c r="Z2116" s="8" t="str">
        <f t="shared" si="33"/>
        <v>FLEX</v>
      </c>
      <c r="AA2116" s="8" t="e">
        <f>+VLOOKUP(I2116,[1]SKU!$H$2:$I$97,2,0)</f>
        <v>#N/A</v>
      </c>
    </row>
    <row r="2117" spans="24:27">
      <c r="X2117" s="8" t="str">
        <f>+IFERROR(VLOOKUP(N2117,[1]Hoja1!$B$2:$F$52,4,0)*P2117,"")</f>
        <v/>
      </c>
      <c r="Y2117" s="8" t="e">
        <f>+VLOOKUP(M2117,[1]SKU!$B$3:$E$81,4,0)</f>
        <v>#N/A</v>
      </c>
      <c r="Z2117" s="8" t="str">
        <f t="shared" si="33"/>
        <v>FLEX</v>
      </c>
      <c r="AA2117" s="8" t="e">
        <f>+VLOOKUP(I2117,[1]SKU!$H$2:$I$97,2,0)</f>
        <v>#N/A</v>
      </c>
    </row>
    <row r="2118" spans="24:27">
      <c r="X2118" s="8" t="str">
        <f>+IFERROR(VLOOKUP(N2118,[1]Hoja1!$B$2:$F$52,4,0)*P2118,"")</f>
        <v/>
      </c>
      <c r="Y2118" s="8" t="e">
        <f>+VLOOKUP(M2118,[1]SKU!$B$3:$E$81,4,0)</f>
        <v>#N/A</v>
      </c>
      <c r="Z2118" s="8" t="str">
        <f t="shared" si="33"/>
        <v>FLEX</v>
      </c>
      <c r="AA2118" s="8" t="e">
        <f>+VLOOKUP(I2118,[1]SKU!$H$2:$I$97,2,0)</f>
        <v>#N/A</v>
      </c>
    </row>
    <row r="2119" spans="24:27">
      <c r="X2119" s="8" t="str">
        <f>+IFERROR(VLOOKUP(N2119,[1]Hoja1!$B$2:$F$52,4,0)*P2119,"")</f>
        <v/>
      </c>
      <c r="Y2119" s="8" t="e">
        <f>+VLOOKUP(M2119,[1]SKU!$B$3:$E$81,4,0)</f>
        <v>#N/A</v>
      </c>
      <c r="Z2119" s="8" t="str">
        <f t="shared" si="33"/>
        <v>FLEX</v>
      </c>
      <c r="AA2119" s="8" t="e">
        <f>+VLOOKUP(I2119,[1]SKU!$H$2:$I$97,2,0)</f>
        <v>#N/A</v>
      </c>
    </row>
    <row r="2120" spans="24:27">
      <c r="X2120" s="8" t="str">
        <f>+IFERROR(VLOOKUP(N2120,[1]Hoja1!$B$2:$F$52,4,0)*P2120,"")</f>
        <v/>
      </c>
      <c r="Y2120" s="8" t="e">
        <f>+VLOOKUP(M2120,[1]SKU!$B$3:$E$81,4,0)</f>
        <v>#N/A</v>
      </c>
      <c r="Z2120" s="8" t="str">
        <f t="shared" si="33"/>
        <v>FLEX</v>
      </c>
      <c r="AA2120" s="8" t="e">
        <f>+VLOOKUP(I2120,[1]SKU!$H$2:$I$97,2,0)</f>
        <v>#N/A</v>
      </c>
    </row>
    <row r="2121" spans="24:27">
      <c r="X2121" s="8" t="str">
        <f>+IFERROR(VLOOKUP(N2121,[1]Hoja1!$B$2:$F$52,4,0)*P2121,"")</f>
        <v/>
      </c>
      <c r="Y2121" s="8" t="e">
        <f>+VLOOKUP(M2121,[1]SKU!$B$3:$E$81,4,0)</f>
        <v>#N/A</v>
      </c>
      <c r="Z2121" s="8" t="str">
        <f t="shared" si="33"/>
        <v>FLEX</v>
      </c>
      <c r="AA2121" s="8" t="e">
        <f>+VLOOKUP(I2121,[1]SKU!$H$2:$I$97,2,0)</f>
        <v>#N/A</v>
      </c>
    </row>
    <row r="2122" spans="24:27">
      <c r="X2122" s="8" t="str">
        <f>+IFERROR(VLOOKUP(N2122,[1]Hoja1!$B$2:$F$52,4,0)*P2122,"")</f>
        <v/>
      </c>
      <c r="Y2122" s="8" t="e">
        <f>+VLOOKUP(M2122,[1]SKU!$B$3:$E$81,4,0)</f>
        <v>#N/A</v>
      </c>
      <c r="Z2122" s="8" t="str">
        <f t="shared" si="33"/>
        <v>FLEX</v>
      </c>
      <c r="AA2122" s="8" t="e">
        <f>+VLOOKUP(I2122,[1]SKU!$H$2:$I$97,2,0)</f>
        <v>#N/A</v>
      </c>
    </row>
    <row r="2123" spans="24:27">
      <c r="X2123" s="8" t="str">
        <f>+IFERROR(VLOOKUP(N2123,[1]Hoja1!$B$2:$F$52,4,0)*P2123,"")</f>
        <v/>
      </c>
      <c r="Y2123" s="8" t="e">
        <f>+VLOOKUP(M2123,[1]SKU!$B$3:$E$81,4,0)</f>
        <v>#N/A</v>
      </c>
      <c r="Z2123" s="8" t="str">
        <f t="shared" si="33"/>
        <v>FLEX</v>
      </c>
      <c r="AA2123" s="8" t="e">
        <f>+VLOOKUP(I2123,[1]SKU!$H$2:$I$97,2,0)</f>
        <v>#N/A</v>
      </c>
    </row>
    <row r="2124" spans="24:27">
      <c r="X2124" s="8" t="str">
        <f>+IFERROR(VLOOKUP(N2124,[1]Hoja1!$B$2:$F$52,4,0)*P2124,"")</f>
        <v/>
      </c>
      <c r="Y2124" s="8" t="e">
        <f>+VLOOKUP(M2124,[1]SKU!$B$3:$E$81,4,0)</f>
        <v>#N/A</v>
      </c>
      <c r="Z2124" s="8" t="str">
        <f t="shared" si="33"/>
        <v>FLEX</v>
      </c>
      <c r="AA2124" s="8" t="e">
        <f>+VLOOKUP(I2124,[1]SKU!$H$2:$I$97,2,0)</f>
        <v>#N/A</v>
      </c>
    </row>
    <row r="2125" spans="24:27">
      <c r="X2125" s="8" t="str">
        <f>+IFERROR(VLOOKUP(N2125,[1]Hoja1!$B$2:$F$52,4,0)*P2125,"")</f>
        <v/>
      </c>
      <c r="Y2125" s="8" t="e">
        <f>+VLOOKUP(M2125,[1]SKU!$B$3:$E$81,4,0)</f>
        <v>#N/A</v>
      </c>
      <c r="Z2125" s="8" t="str">
        <f t="shared" si="33"/>
        <v>FLEX</v>
      </c>
      <c r="AA2125" s="8" t="e">
        <f>+VLOOKUP(I2125,[1]SKU!$H$2:$I$97,2,0)</f>
        <v>#N/A</v>
      </c>
    </row>
    <row r="2126" spans="24:27">
      <c r="X2126" s="8" t="str">
        <f>+IFERROR(VLOOKUP(N2126,[1]Hoja1!$B$2:$F$52,4,0)*P2126,"")</f>
        <v/>
      </c>
      <c r="Y2126" s="8" t="e">
        <f>+VLOOKUP(M2126,[1]SKU!$B$3:$E$81,4,0)</f>
        <v>#N/A</v>
      </c>
      <c r="Z2126" s="8" t="str">
        <f t="shared" si="33"/>
        <v>FLEX</v>
      </c>
      <c r="AA2126" s="8" t="e">
        <f>+VLOOKUP(I2126,[1]SKU!$H$2:$I$97,2,0)</f>
        <v>#N/A</v>
      </c>
    </row>
    <row r="2127" spans="24:27">
      <c r="X2127" s="8" t="str">
        <f>+IFERROR(VLOOKUP(N2127,[1]Hoja1!$B$2:$F$52,4,0)*P2127,"")</f>
        <v/>
      </c>
      <c r="Y2127" s="8" t="e">
        <f>+VLOOKUP(M2127,[1]SKU!$B$3:$E$81,4,0)</f>
        <v>#N/A</v>
      </c>
      <c r="Z2127" s="8" t="str">
        <f t="shared" si="33"/>
        <v>FLEX</v>
      </c>
      <c r="AA2127" s="8" t="e">
        <f>+VLOOKUP(I2127,[1]SKU!$H$2:$I$97,2,0)</f>
        <v>#N/A</v>
      </c>
    </row>
    <row r="2128" spans="24:27">
      <c r="X2128" s="8" t="str">
        <f>+IFERROR(VLOOKUP(N2128,[1]Hoja1!$B$2:$F$52,4,0)*P2128,"")</f>
        <v/>
      </c>
      <c r="Y2128" s="8" t="e">
        <f>+VLOOKUP(M2128,[1]SKU!$B$3:$E$81,4,0)</f>
        <v>#N/A</v>
      </c>
      <c r="Z2128" s="8" t="str">
        <f t="shared" si="33"/>
        <v>FLEX</v>
      </c>
      <c r="AA2128" s="8" t="e">
        <f>+VLOOKUP(I2128,[1]SKU!$H$2:$I$97,2,0)</f>
        <v>#N/A</v>
      </c>
    </row>
    <row r="2129" spans="24:27">
      <c r="X2129" s="8" t="str">
        <f>+IFERROR(VLOOKUP(N2129,[1]Hoja1!$B$2:$F$52,4,0)*P2129,"")</f>
        <v/>
      </c>
      <c r="Y2129" s="8" t="e">
        <f>+VLOOKUP(M2129,[1]SKU!$B$3:$E$81,4,0)</f>
        <v>#N/A</v>
      </c>
      <c r="Z2129" s="8" t="str">
        <f t="shared" si="33"/>
        <v>FLEX</v>
      </c>
      <c r="AA2129" s="8" t="e">
        <f>+VLOOKUP(I2129,[1]SKU!$H$2:$I$97,2,0)</f>
        <v>#N/A</v>
      </c>
    </row>
    <row r="2130" spans="24:27">
      <c r="X2130" s="8" t="str">
        <f>+IFERROR(VLOOKUP(N2130,[1]Hoja1!$B$2:$F$52,4,0)*P2130,"")</f>
        <v/>
      </c>
      <c r="Y2130" s="8" t="e">
        <f>+VLOOKUP(M2130,[1]SKU!$B$3:$E$81,4,0)</f>
        <v>#N/A</v>
      </c>
      <c r="Z2130" s="8" t="str">
        <f t="shared" si="33"/>
        <v>FLEX</v>
      </c>
      <c r="AA2130" s="8" t="e">
        <f>+VLOOKUP(I2130,[1]SKU!$H$2:$I$97,2,0)</f>
        <v>#N/A</v>
      </c>
    </row>
    <row r="2131" spans="24:27">
      <c r="X2131" s="8" t="str">
        <f>+IFERROR(VLOOKUP(N2131,[1]Hoja1!$B$2:$F$52,4,0)*P2131,"")</f>
        <v/>
      </c>
      <c r="Y2131" s="8" t="e">
        <f>+VLOOKUP(M2131,[1]SKU!$B$3:$E$81,4,0)</f>
        <v>#N/A</v>
      </c>
      <c r="Z2131" s="8" t="str">
        <f t="shared" si="33"/>
        <v>FLEX</v>
      </c>
      <c r="AA2131" s="8" t="e">
        <f>+VLOOKUP(I2131,[1]SKU!$H$2:$I$97,2,0)</f>
        <v>#N/A</v>
      </c>
    </row>
    <row r="2132" spans="24:27">
      <c r="X2132" s="8" t="str">
        <f>+IFERROR(VLOOKUP(N2132,[1]Hoja1!$B$2:$F$52,4,0)*P2132,"")</f>
        <v/>
      </c>
      <c r="Y2132" s="8" t="e">
        <f>+VLOOKUP(M2132,[1]SKU!$B$3:$E$81,4,0)</f>
        <v>#N/A</v>
      </c>
      <c r="Z2132" s="8" t="str">
        <f t="shared" si="33"/>
        <v>FLEX</v>
      </c>
      <c r="AA2132" s="8" t="e">
        <f>+VLOOKUP(I2132,[1]SKU!$H$2:$I$97,2,0)</f>
        <v>#N/A</v>
      </c>
    </row>
    <row r="2133" spans="24:27">
      <c r="X2133" s="8" t="str">
        <f>+IFERROR(VLOOKUP(N2133,[1]Hoja1!$B$2:$F$52,4,0)*P2133,"")</f>
        <v/>
      </c>
      <c r="Y2133" s="8" t="e">
        <f>+VLOOKUP(M2133,[1]SKU!$B$3:$E$81,4,0)</f>
        <v>#N/A</v>
      </c>
      <c r="Z2133" s="8" t="str">
        <f t="shared" si="33"/>
        <v>FLEX</v>
      </c>
      <c r="AA2133" s="8" t="e">
        <f>+VLOOKUP(I2133,[1]SKU!$H$2:$I$97,2,0)</f>
        <v>#N/A</v>
      </c>
    </row>
    <row r="2134" spans="24:27">
      <c r="X2134" s="8" t="str">
        <f>+IFERROR(VLOOKUP(N2134,[1]Hoja1!$B$2:$F$52,4,0)*P2134,"")</f>
        <v/>
      </c>
      <c r="Y2134" s="8" t="e">
        <f>+VLOOKUP(M2134,[1]SKU!$B$3:$E$81,4,0)</f>
        <v>#N/A</v>
      </c>
      <c r="Z2134" s="8" t="str">
        <f t="shared" si="33"/>
        <v>FLEX</v>
      </c>
      <c r="AA2134" s="8" t="e">
        <f>+VLOOKUP(I2134,[1]SKU!$H$2:$I$97,2,0)</f>
        <v>#N/A</v>
      </c>
    </row>
    <row r="2135" spans="24:27">
      <c r="X2135" s="8" t="str">
        <f>+IFERROR(VLOOKUP(N2135,[1]Hoja1!$B$2:$F$52,4,0)*P2135,"")</f>
        <v/>
      </c>
      <c r="Y2135" s="8" t="e">
        <f>+VLOOKUP(M2135,[1]SKU!$B$3:$E$81,4,0)</f>
        <v>#N/A</v>
      </c>
      <c r="Z2135" s="8" t="str">
        <f t="shared" si="33"/>
        <v>FLEX</v>
      </c>
      <c r="AA2135" s="8" t="e">
        <f>+VLOOKUP(I2135,[1]SKU!$H$2:$I$97,2,0)</f>
        <v>#N/A</v>
      </c>
    </row>
    <row r="2136" spans="24:27">
      <c r="X2136" s="8" t="str">
        <f>+IFERROR(VLOOKUP(N2136,[1]Hoja1!$B$2:$F$52,4,0)*P2136,"")</f>
        <v/>
      </c>
      <c r="Y2136" s="8" t="e">
        <f>+VLOOKUP(M2136,[1]SKU!$B$3:$E$81,4,0)</f>
        <v>#N/A</v>
      </c>
      <c r="Z2136" s="8" t="str">
        <f t="shared" si="33"/>
        <v>FLEX</v>
      </c>
      <c r="AA2136" s="8" t="e">
        <f>+VLOOKUP(I2136,[1]SKU!$H$2:$I$97,2,0)</f>
        <v>#N/A</v>
      </c>
    </row>
    <row r="2137" spans="24:27">
      <c r="X2137" s="8" t="str">
        <f>+IFERROR(VLOOKUP(N2137,[1]Hoja1!$B$2:$F$52,4,0)*P2137,"")</f>
        <v/>
      </c>
      <c r="Y2137" s="8" t="e">
        <f>+VLOOKUP(M2137,[1]SKU!$B$3:$E$81,4,0)</f>
        <v>#N/A</v>
      </c>
      <c r="Z2137" s="8" t="str">
        <f t="shared" si="33"/>
        <v>FLEX</v>
      </c>
      <c r="AA2137" s="8" t="e">
        <f>+VLOOKUP(I2137,[1]SKU!$H$2:$I$97,2,0)</f>
        <v>#N/A</v>
      </c>
    </row>
    <row r="2138" spans="24:27">
      <c r="X2138" s="8" t="str">
        <f>+IFERROR(VLOOKUP(N2138,[1]Hoja1!$B$2:$F$52,4,0)*P2138,"")</f>
        <v/>
      </c>
      <c r="Y2138" s="8" t="e">
        <f>+VLOOKUP(M2138,[1]SKU!$B$3:$E$81,4,0)</f>
        <v>#N/A</v>
      </c>
      <c r="Z2138" s="8" t="str">
        <f t="shared" si="33"/>
        <v>FLEX</v>
      </c>
      <c r="AA2138" s="8" t="e">
        <f>+VLOOKUP(I2138,[1]SKU!$H$2:$I$97,2,0)</f>
        <v>#N/A</v>
      </c>
    </row>
    <row r="2139" spans="24:27">
      <c r="X2139" s="8" t="str">
        <f>+IFERROR(VLOOKUP(N2139,[1]Hoja1!$B$2:$F$52,4,0)*P2139,"")</f>
        <v/>
      </c>
      <c r="Y2139" s="8" t="e">
        <f>+VLOOKUP(M2139,[1]SKU!$B$3:$E$81,4,0)</f>
        <v>#N/A</v>
      </c>
      <c r="Z2139" s="8" t="str">
        <f t="shared" si="33"/>
        <v>FLEX</v>
      </c>
      <c r="AA2139" s="8" t="e">
        <f>+VLOOKUP(I2139,[1]SKU!$H$2:$I$97,2,0)</f>
        <v>#N/A</v>
      </c>
    </row>
    <row r="2140" spans="24:27">
      <c r="X2140" s="8" t="str">
        <f>+IFERROR(VLOOKUP(N2140,[1]Hoja1!$B$2:$F$52,4,0)*P2140,"")</f>
        <v/>
      </c>
      <c r="Y2140" s="8" t="e">
        <f>+VLOOKUP(M2140,[1]SKU!$B$3:$E$81,4,0)</f>
        <v>#N/A</v>
      </c>
      <c r="Z2140" s="8" t="str">
        <f t="shared" si="33"/>
        <v>FLEX</v>
      </c>
      <c r="AA2140" s="8" t="e">
        <f>+VLOOKUP(I2140,[1]SKU!$H$2:$I$97,2,0)</f>
        <v>#N/A</v>
      </c>
    </row>
    <row r="2141" spans="24:27">
      <c r="X2141" s="8" t="str">
        <f>+IFERROR(VLOOKUP(N2141,[1]Hoja1!$B$2:$F$52,4,0)*P2141,"")</f>
        <v/>
      </c>
      <c r="Y2141" s="8" t="e">
        <f>+VLOOKUP(M2141,[1]SKU!$B$3:$E$81,4,0)</f>
        <v>#N/A</v>
      </c>
      <c r="Z2141" s="8" t="str">
        <f t="shared" si="33"/>
        <v>FLEX</v>
      </c>
      <c r="AA2141" s="8" t="e">
        <f>+VLOOKUP(I2141,[1]SKU!$H$2:$I$97,2,0)</f>
        <v>#N/A</v>
      </c>
    </row>
    <row r="2142" spans="24:27">
      <c r="X2142" s="8" t="str">
        <f>+IFERROR(VLOOKUP(N2142,[1]Hoja1!$B$2:$F$52,4,0)*P2142,"")</f>
        <v/>
      </c>
      <c r="Y2142" s="8" t="e">
        <f>+VLOOKUP(M2142,[1]SKU!$B$3:$E$81,4,0)</f>
        <v>#N/A</v>
      </c>
      <c r="Z2142" s="8" t="str">
        <f t="shared" si="33"/>
        <v>FLEX</v>
      </c>
      <c r="AA2142" s="8" t="e">
        <f>+VLOOKUP(I2142,[1]SKU!$H$2:$I$97,2,0)</f>
        <v>#N/A</v>
      </c>
    </row>
    <row r="2143" spans="24:27">
      <c r="X2143" s="8" t="str">
        <f>+IFERROR(VLOOKUP(N2143,[1]Hoja1!$B$2:$F$52,4,0)*P2143,"")</f>
        <v/>
      </c>
      <c r="Y2143" s="8" t="e">
        <f>+VLOOKUP(M2143,[1]SKU!$B$3:$E$81,4,0)</f>
        <v>#N/A</v>
      </c>
      <c r="Z2143" s="8" t="str">
        <f t="shared" si="33"/>
        <v>FLEX</v>
      </c>
      <c r="AA2143" s="8" t="e">
        <f>+VLOOKUP(I2143,[1]SKU!$H$2:$I$97,2,0)</f>
        <v>#N/A</v>
      </c>
    </row>
    <row r="2144" spans="24:27">
      <c r="X2144" s="8" t="str">
        <f>+IFERROR(VLOOKUP(N2144,[1]Hoja1!$B$2:$F$52,4,0)*P2144,"")</f>
        <v/>
      </c>
      <c r="Y2144" s="8" t="e">
        <f>+VLOOKUP(M2144,[1]SKU!$B$3:$E$81,4,0)</f>
        <v>#N/A</v>
      </c>
      <c r="Z2144" s="8" t="str">
        <f t="shared" si="33"/>
        <v>FLEX</v>
      </c>
      <c r="AA2144" s="8" t="e">
        <f>+VLOOKUP(I2144,[1]SKU!$H$2:$I$97,2,0)</f>
        <v>#N/A</v>
      </c>
    </row>
    <row r="2145" spans="24:27">
      <c r="X2145" s="8" t="str">
        <f>+IFERROR(VLOOKUP(N2145,[1]Hoja1!$B$2:$F$52,4,0)*P2145,"")</f>
        <v/>
      </c>
      <c r="Y2145" s="8" t="e">
        <f>+VLOOKUP(M2145,[1]SKU!$B$3:$E$81,4,0)</f>
        <v>#N/A</v>
      </c>
      <c r="Z2145" s="8" t="str">
        <f t="shared" si="33"/>
        <v>FLEX</v>
      </c>
      <c r="AA2145" s="8" t="e">
        <f>+VLOOKUP(I2145,[1]SKU!$H$2:$I$97,2,0)</f>
        <v>#N/A</v>
      </c>
    </row>
    <row r="2146" spans="24:27">
      <c r="X2146" s="8" t="str">
        <f>+IFERROR(VLOOKUP(N2146,[1]Hoja1!$B$2:$F$52,4,0)*P2146,"")</f>
        <v/>
      </c>
      <c r="Y2146" s="8" t="e">
        <f>+VLOOKUP(M2146,[1]SKU!$B$3:$E$81,4,0)</f>
        <v>#N/A</v>
      </c>
      <c r="Z2146" s="8" t="str">
        <f t="shared" si="33"/>
        <v>FLEX</v>
      </c>
      <c r="AA2146" s="8" t="e">
        <f>+VLOOKUP(I2146,[1]SKU!$H$2:$I$97,2,0)</f>
        <v>#N/A</v>
      </c>
    </row>
    <row r="2147" spans="24:27">
      <c r="X2147" s="8" t="str">
        <f>+IFERROR(VLOOKUP(N2147,[1]Hoja1!$B$2:$F$52,4,0)*P2147,"")</f>
        <v/>
      </c>
      <c r="Y2147" s="8" t="e">
        <f>+VLOOKUP(M2147,[1]SKU!$B$3:$E$81,4,0)</f>
        <v>#N/A</v>
      </c>
      <c r="Z2147" s="8" t="str">
        <f t="shared" si="33"/>
        <v>FLEX</v>
      </c>
      <c r="AA2147" s="8" t="e">
        <f>+VLOOKUP(I2147,[1]SKU!$H$2:$I$97,2,0)</f>
        <v>#N/A</v>
      </c>
    </row>
    <row r="2148" spans="24:27">
      <c r="X2148" s="8" t="str">
        <f>+IFERROR(VLOOKUP(N2148,[1]Hoja1!$B$2:$F$52,4,0)*P2148,"")</f>
        <v/>
      </c>
      <c r="Y2148" s="8" t="e">
        <f>+VLOOKUP(M2148,[1]SKU!$B$3:$E$81,4,0)</f>
        <v>#N/A</v>
      </c>
      <c r="Z2148" s="8" t="str">
        <f t="shared" si="33"/>
        <v>FLEX</v>
      </c>
      <c r="AA2148" s="8" t="e">
        <f>+VLOOKUP(I2148,[1]SKU!$H$2:$I$97,2,0)</f>
        <v>#N/A</v>
      </c>
    </row>
    <row r="2149" spans="24:27">
      <c r="X2149" s="8" t="str">
        <f>+IFERROR(VLOOKUP(N2149,[1]Hoja1!$B$2:$F$52,4,0)*P2149,"")</f>
        <v/>
      </c>
      <c r="Y2149" s="8" t="e">
        <f>+VLOOKUP(M2149,[1]SKU!$B$3:$E$81,4,0)</f>
        <v>#N/A</v>
      </c>
      <c r="Z2149" s="8" t="str">
        <f t="shared" si="33"/>
        <v>FLEX</v>
      </c>
      <c r="AA2149" s="8" t="e">
        <f>+VLOOKUP(I2149,[1]SKU!$H$2:$I$97,2,0)</f>
        <v>#N/A</v>
      </c>
    </row>
    <row r="2150" spans="24:27">
      <c r="X2150" s="8" t="str">
        <f>+IFERROR(VLOOKUP(N2150,[1]Hoja1!$B$2:$F$52,4,0)*P2150,"")</f>
        <v/>
      </c>
      <c r="Y2150" s="8" t="e">
        <f>+VLOOKUP(M2150,[1]SKU!$B$3:$E$81,4,0)</f>
        <v>#N/A</v>
      </c>
      <c r="Z2150" s="8" t="str">
        <f t="shared" si="33"/>
        <v>FLEX</v>
      </c>
      <c r="AA2150" s="8" t="e">
        <f>+VLOOKUP(I2150,[1]SKU!$H$2:$I$97,2,0)</f>
        <v>#N/A</v>
      </c>
    </row>
    <row r="2151" spans="24:27">
      <c r="X2151" s="8" t="str">
        <f>+IFERROR(VLOOKUP(N2151,[1]Hoja1!$B$2:$F$52,4,0)*P2151,"")</f>
        <v/>
      </c>
      <c r="Y2151" s="8" t="e">
        <f>+VLOOKUP(M2151,[1]SKU!$B$3:$E$81,4,0)</f>
        <v>#N/A</v>
      </c>
      <c r="Z2151" s="8" t="str">
        <f t="shared" si="33"/>
        <v>FLEX</v>
      </c>
      <c r="AA2151" s="8" t="e">
        <f>+VLOOKUP(I2151,[1]SKU!$H$2:$I$97,2,0)</f>
        <v>#N/A</v>
      </c>
    </row>
    <row r="2152" spans="24:27">
      <c r="X2152" s="8" t="str">
        <f>+IFERROR(VLOOKUP(N2152,[1]Hoja1!$B$2:$F$52,4,0)*P2152,"")</f>
        <v/>
      </c>
      <c r="Y2152" s="8" t="e">
        <f>+VLOOKUP(M2152,[1]SKU!$B$3:$E$81,4,0)</f>
        <v>#N/A</v>
      </c>
      <c r="Z2152" s="8" t="str">
        <f t="shared" si="33"/>
        <v>FLEX</v>
      </c>
      <c r="AA2152" s="8" t="e">
        <f>+VLOOKUP(I2152,[1]SKU!$H$2:$I$97,2,0)</f>
        <v>#N/A</v>
      </c>
    </row>
    <row r="2153" spans="24:27">
      <c r="X2153" s="8" t="str">
        <f>+IFERROR(VLOOKUP(N2153,[1]Hoja1!$B$2:$F$52,4,0)*P2153,"")</f>
        <v/>
      </c>
      <c r="Y2153" s="8" t="e">
        <f>+VLOOKUP(M2153,[1]SKU!$B$3:$E$81,4,0)</f>
        <v>#N/A</v>
      </c>
      <c r="Z2153" s="8" t="str">
        <f t="shared" si="33"/>
        <v>FLEX</v>
      </c>
      <c r="AA2153" s="8" t="e">
        <f>+VLOOKUP(I2153,[1]SKU!$H$2:$I$97,2,0)</f>
        <v>#N/A</v>
      </c>
    </row>
    <row r="2154" spans="24:27">
      <c r="X2154" s="8" t="str">
        <f>+IFERROR(VLOOKUP(N2154,[1]Hoja1!$B$2:$F$52,4,0)*P2154,"")</f>
        <v/>
      </c>
      <c r="Y2154" s="8" t="e">
        <f>+VLOOKUP(M2154,[1]SKU!$B$3:$E$81,4,0)</f>
        <v>#N/A</v>
      </c>
      <c r="Z2154" s="8" t="str">
        <f t="shared" si="33"/>
        <v>FLEX</v>
      </c>
      <c r="AA2154" s="8" t="e">
        <f>+VLOOKUP(I2154,[1]SKU!$H$2:$I$97,2,0)</f>
        <v>#N/A</v>
      </c>
    </row>
    <row r="2155" spans="24:27">
      <c r="X2155" s="8" t="str">
        <f>+IFERROR(VLOOKUP(N2155,[1]Hoja1!$B$2:$F$52,4,0)*P2155,"")</f>
        <v/>
      </c>
      <c r="Y2155" s="8" t="e">
        <f>+VLOOKUP(M2155,[1]SKU!$B$3:$E$81,4,0)</f>
        <v>#N/A</v>
      </c>
      <c r="Z2155" s="8" t="str">
        <f t="shared" si="33"/>
        <v>FLEX</v>
      </c>
      <c r="AA2155" s="8" t="e">
        <f>+VLOOKUP(I2155,[1]SKU!$H$2:$I$97,2,0)</f>
        <v>#N/A</v>
      </c>
    </row>
    <row r="2156" spans="24:27">
      <c r="X2156" s="8" t="str">
        <f>+IFERROR(VLOOKUP(N2156,[1]Hoja1!$B$2:$F$52,4,0)*P2156,"")</f>
        <v/>
      </c>
      <c r="Y2156" s="8" t="e">
        <f>+VLOOKUP(M2156,[1]SKU!$B$3:$E$81,4,0)</f>
        <v>#N/A</v>
      </c>
      <c r="Z2156" s="8" t="str">
        <f t="shared" si="33"/>
        <v>FLEX</v>
      </c>
      <c r="AA2156" s="8" t="e">
        <f>+VLOOKUP(I2156,[1]SKU!$H$2:$I$97,2,0)</f>
        <v>#N/A</v>
      </c>
    </row>
    <row r="2157" spans="24:27">
      <c r="X2157" s="8" t="str">
        <f>+IFERROR(VLOOKUP(N2157,[1]Hoja1!$B$2:$F$52,4,0)*P2157,"")</f>
        <v/>
      </c>
      <c r="Y2157" s="8" t="e">
        <f>+VLOOKUP(M2157,[1]SKU!$B$3:$E$81,4,0)</f>
        <v>#N/A</v>
      </c>
      <c r="Z2157" s="8" t="str">
        <f t="shared" si="33"/>
        <v>FLEX</v>
      </c>
      <c r="AA2157" s="8" t="e">
        <f>+VLOOKUP(I2157,[1]SKU!$H$2:$I$97,2,0)</f>
        <v>#N/A</v>
      </c>
    </row>
    <row r="2158" spans="24:27">
      <c r="X2158" s="8" t="str">
        <f>+IFERROR(VLOOKUP(N2158,[1]Hoja1!$B$2:$F$52,4,0)*P2158,"")</f>
        <v/>
      </c>
      <c r="Y2158" s="8" t="e">
        <f>+VLOOKUP(M2158,[1]SKU!$B$3:$E$81,4,0)</f>
        <v>#N/A</v>
      </c>
      <c r="Z2158" s="8" t="str">
        <f t="shared" si="33"/>
        <v>FLEX</v>
      </c>
      <c r="AA2158" s="8" t="e">
        <f>+VLOOKUP(I2158,[1]SKU!$H$2:$I$97,2,0)</f>
        <v>#N/A</v>
      </c>
    </row>
    <row r="2159" spans="24:27">
      <c r="X2159" s="8" t="str">
        <f>+IFERROR(VLOOKUP(N2159,[1]Hoja1!$B$2:$F$52,4,0)*P2159,"")</f>
        <v/>
      </c>
      <c r="Y2159" s="8" t="e">
        <f>+VLOOKUP(M2159,[1]SKU!$B$3:$E$81,4,0)</f>
        <v>#N/A</v>
      </c>
      <c r="Z2159" s="8" t="str">
        <f t="shared" si="33"/>
        <v>FLEX</v>
      </c>
      <c r="AA2159" s="8" t="e">
        <f>+VLOOKUP(I2159,[1]SKU!$H$2:$I$97,2,0)</f>
        <v>#N/A</v>
      </c>
    </row>
    <row r="2160" spans="24:27">
      <c r="X2160" s="8" t="str">
        <f>+IFERROR(VLOOKUP(N2160,[1]Hoja1!$B$2:$F$52,4,0)*P2160,"")</f>
        <v/>
      </c>
      <c r="Y2160" s="8" t="e">
        <f>+VLOOKUP(M2160,[1]SKU!$B$3:$E$81,4,0)</f>
        <v>#N/A</v>
      </c>
      <c r="Z2160" s="8" t="str">
        <f t="shared" si="33"/>
        <v>FLEX</v>
      </c>
      <c r="AA2160" s="8" t="e">
        <f>+VLOOKUP(I2160,[1]SKU!$H$2:$I$97,2,0)</f>
        <v>#N/A</v>
      </c>
    </row>
    <row r="2161" spans="24:27">
      <c r="X2161" s="8" t="str">
        <f>+IFERROR(VLOOKUP(N2161,[1]Hoja1!$B$2:$F$52,4,0)*P2161,"")</f>
        <v/>
      </c>
      <c r="Y2161" s="8" t="e">
        <f>+VLOOKUP(M2161,[1]SKU!$B$3:$E$81,4,0)</f>
        <v>#N/A</v>
      </c>
      <c r="Z2161" s="8" t="str">
        <f t="shared" si="33"/>
        <v>FLEX</v>
      </c>
      <c r="AA2161" s="8" t="e">
        <f>+VLOOKUP(I2161,[1]SKU!$H$2:$I$97,2,0)</f>
        <v>#N/A</v>
      </c>
    </row>
    <row r="2162" spans="24:27">
      <c r="X2162" s="8" t="str">
        <f>+IFERROR(VLOOKUP(N2162,[1]Hoja1!$B$2:$F$52,4,0)*P2162,"")</f>
        <v/>
      </c>
      <c r="Y2162" s="8" t="e">
        <f>+VLOOKUP(M2162,[1]SKU!$B$3:$E$81,4,0)</f>
        <v>#N/A</v>
      </c>
      <c r="Z2162" s="8" t="str">
        <f t="shared" si="33"/>
        <v>FLEX</v>
      </c>
      <c r="AA2162" s="8" t="e">
        <f>+VLOOKUP(I2162,[1]SKU!$H$2:$I$97,2,0)</f>
        <v>#N/A</v>
      </c>
    </row>
    <row r="2163" spans="24:27">
      <c r="X2163" s="8" t="str">
        <f>+IFERROR(VLOOKUP(N2163,[1]Hoja1!$B$2:$F$52,4,0)*P2163,"")</f>
        <v/>
      </c>
      <c r="Y2163" s="8" t="e">
        <f>+VLOOKUP(M2163,[1]SKU!$B$3:$E$81,4,0)</f>
        <v>#N/A</v>
      </c>
      <c r="Z2163" s="8" t="str">
        <f t="shared" si="33"/>
        <v>FLEX</v>
      </c>
      <c r="AA2163" s="8" t="e">
        <f>+VLOOKUP(I2163,[1]SKU!$H$2:$I$97,2,0)</f>
        <v>#N/A</v>
      </c>
    </row>
    <row r="2164" spans="24:27">
      <c r="X2164" s="8" t="str">
        <f>+IFERROR(VLOOKUP(N2164,[1]Hoja1!$B$2:$F$52,4,0)*P2164,"")</f>
        <v/>
      </c>
      <c r="Y2164" s="8" t="e">
        <f>+VLOOKUP(M2164,[1]SKU!$B$3:$E$81,4,0)</f>
        <v>#N/A</v>
      </c>
      <c r="Z2164" s="8" t="str">
        <f t="shared" si="33"/>
        <v>FLEX</v>
      </c>
      <c r="AA2164" s="8" t="e">
        <f>+VLOOKUP(I2164,[1]SKU!$H$2:$I$97,2,0)</f>
        <v>#N/A</v>
      </c>
    </row>
    <row r="2165" spans="24:27">
      <c r="X2165" s="8" t="str">
        <f>+IFERROR(VLOOKUP(N2165,[1]Hoja1!$B$2:$F$52,4,0)*P2165,"")</f>
        <v/>
      </c>
      <c r="Y2165" s="8" t="e">
        <f>+VLOOKUP(M2165,[1]SKU!$B$3:$E$81,4,0)</f>
        <v>#N/A</v>
      </c>
      <c r="Z2165" s="8" t="str">
        <f t="shared" si="33"/>
        <v>FLEX</v>
      </c>
      <c r="AA2165" s="8" t="e">
        <f>+VLOOKUP(I2165,[1]SKU!$H$2:$I$97,2,0)</f>
        <v>#N/A</v>
      </c>
    </row>
    <row r="2166" spans="24:27">
      <c r="X2166" s="8" t="str">
        <f>+IFERROR(VLOOKUP(N2166,[1]Hoja1!$B$2:$F$52,4,0)*P2166,"")</f>
        <v/>
      </c>
      <c r="Y2166" s="8" t="e">
        <f>+VLOOKUP(M2166,[1]SKU!$B$3:$E$81,4,0)</f>
        <v>#N/A</v>
      </c>
      <c r="Z2166" s="8" t="str">
        <f t="shared" si="33"/>
        <v>FLEX</v>
      </c>
      <c r="AA2166" s="8" t="e">
        <f>+VLOOKUP(I2166,[1]SKU!$H$2:$I$97,2,0)</f>
        <v>#N/A</v>
      </c>
    </row>
    <row r="2167" spans="24:27">
      <c r="X2167" s="8" t="str">
        <f>+IFERROR(VLOOKUP(N2167,[1]Hoja1!$B$2:$F$52,4,0)*P2167,"")</f>
        <v/>
      </c>
      <c r="Y2167" s="8" t="e">
        <f>+VLOOKUP(M2167,[1]SKU!$B$3:$E$81,4,0)</f>
        <v>#N/A</v>
      </c>
      <c r="Z2167" s="8" t="str">
        <f t="shared" si="33"/>
        <v>FLEX</v>
      </c>
      <c r="AA2167" s="8" t="e">
        <f>+VLOOKUP(I2167,[1]SKU!$H$2:$I$97,2,0)</f>
        <v>#N/A</v>
      </c>
    </row>
    <row r="2168" spans="24:27">
      <c r="X2168" s="8" t="str">
        <f>+IFERROR(VLOOKUP(N2168,[1]Hoja1!$B$2:$F$52,4,0)*P2168,"")</f>
        <v/>
      </c>
      <c r="Y2168" s="8" t="e">
        <f>+VLOOKUP(M2168,[1]SKU!$B$3:$E$81,4,0)</f>
        <v>#N/A</v>
      </c>
      <c r="Z2168" s="8" t="str">
        <f t="shared" si="33"/>
        <v>FLEX</v>
      </c>
      <c r="AA2168" s="8" t="e">
        <f>+VLOOKUP(I2168,[1]SKU!$H$2:$I$97,2,0)</f>
        <v>#N/A</v>
      </c>
    </row>
    <row r="2169" spans="24:27">
      <c r="X2169" s="8" t="str">
        <f>+IFERROR(VLOOKUP(N2169,[1]Hoja1!$B$2:$F$52,4,0)*P2169,"")</f>
        <v/>
      </c>
      <c r="Y2169" s="8" t="e">
        <f>+VLOOKUP(M2169,[1]SKU!$B$3:$E$81,4,0)</f>
        <v>#N/A</v>
      </c>
      <c r="Z2169" s="8" t="str">
        <f t="shared" si="33"/>
        <v>FLEX</v>
      </c>
      <c r="AA2169" s="8" t="e">
        <f>+VLOOKUP(I2169,[1]SKU!$H$2:$I$97,2,0)</f>
        <v>#N/A</v>
      </c>
    </row>
    <row r="2170" spans="24:27">
      <c r="X2170" s="8" t="str">
        <f>+IFERROR(VLOOKUP(N2170,[1]Hoja1!$B$2:$F$52,4,0)*P2170,"")</f>
        <v/>
      </c>
      <c r="Y2170" s="8" t="e">
        <f>+VLOOKUP(M2170,[1]SKU!$B$3:$E$81,4,0)</f>
        <v>#N/A</v>
      </c>
      <c r="Z2170" s="8" t="str">
        <f t="shared" si="33"/>
        <v>FLEX</v>
      </c>
      <c r="AA2170" s="8" t="e">
        <f>+VLOOKUP(I2170,[1]SKU!$H$2:$I$97,2,0)</f>
        <v>#N/A</v>
      </c>
    </row>
    <row r="2171" spans="24:27">
      <c r="X2171" s="8" t="str">
        <f>+IFERROR(VLOOKUP(N2171,[1]Hoja1!$B$2:$F$52,4,0)*P2171,"")</f>
        <v/>
      </c>
      <c r="Y2171" s="8" t="e">
        <f>+VLOOKUP(M2171,[1]SKU!$B$3:$E$81,4,0)</f>
        <v>#N/A</v>
      </c>
      <c r="Z2171" s="8" t="str">
        <f t="shared" si="33"/>
        <v>FLEX</v>
      </c>
      <c r="AA2171" s="8" t="e">
        <f>+VLOOKUP(I2171,[1]SKU!$H$2:$I$97,2,0)</f>
        <v>#N/A</v>
      </c>
    </row>
    <row r="2172" spans="24:27">
      <c r="X2172" s="8" t="str">
        <f>+IFERROR(VLOOKUP(N2172,[1]Hoja1!$B$2:$F$52,4,0)*P2172,"")</f>
        <v/>
      </c>
      <c r="Y2172" s="8" t="e">
        <f>+VLOOKUP(M2172,[1]SKU!$B$3:$E$81,4,0)</f>
        <v>#N/A</v>
      </c>
      <c r="Z2172" s="8" t="str">
        <f t="shared" si="33"/>
        <v>FLEX</v>
      </c>
      <c r="AA2172" s="8" t="e">
        <f>+VLOOKUP(I2172,[1]SKU!$H$2:$I$97,2,0)</f>
        <v>#N/A</v>
      </c>
    </row>
    <row r="2173" spans="24:27">
      <c r="X2173" s="8" t="str">
        <f>+IFERROR(VLOOKUP(N2173,[1]Hoja1!$B$2:$F$52,4,0)*P2173,"")</f>
        <v/>
      </c>
      <c r="Y2173" s="8" t="e">
        <f>+VLOOKUP(M2173,[1]SKU!$B$3:$E$81,4,0)</f>
        <v>#N/A</v>
      </c>
      <c r="Z2173" s="8" t="str">
        <f t="shared" si="33"/>
        <v>FLEX</v>
      </c>
      <c r="AA2173" s="8" t="e">
        <f>+VLOOKUP(I2173,[1]SKU!$H$2:$I$97,2,0)</f>
        <v>#N/A</v>
      </c>
    </row>
    <row r="2174" spans="24:27">
      <c r="X2174" s="8" t="str">
        <f>+IFERROR(VLOOKUP(N2174,[1]Hoja1!$B$2:$F$52,4,0)*P2174,"")</f>
        <v/>
      </c>
      <c r="Y2174" s="8" t="e">
        <f>+VLOOKUP(M2174,[1]SKU!$B$3:$E$81,4,0)</f>
        <v>#N/A</v>
      </c>
      <c r="Z2174" s="8" t="str">
        <f t="shared" si="33"/>
        <v>FLEX</v>
      </c>
      <c r="AA2174" s="8" t="e">
        <f>+VLOOKUP(I2174,[1]SKU!$H$2:$I$97,2,0)</f>
        <v>#N/A</v>
      </c>
    </row>
    <row r="2175" spans="24:27">
      <c r="X2175" s="8" t="str">
        <f>+IFERROR(VLOOKUP(N2175,[1]Hoja1!$B$2:$F$52,4,0)*P2175,"")</f>
        <v/>
      </c>
      <c r="Y2175" s="8" t="e">
        <f>+VLOOKUP(M2175,[1]SKU!$B$3:$E$81,4,0)</f>
        <v>#N/A</v>
      </c>
      <c r="Z2175" s="8" t="str">
        <f t="shared" si="33"/>
        <v>FLEX</v>
      </c>
      <c r="AA2175" s="8" t="e">
        <f>+VLOOKUP(I2175,[1]SKU!$H$2:$I$97,2,0)</f>
        <v>#N/A</v>
      </c>
    </row>
    <row r="2176" spans="24:27">
      <c r="X2176" s="8" t="str">
        <f>+IFERROR(VLOOKUP(N2176,[1]Hoja1!$B$2:$F$52,4,0)*P2176,"")</f>
        <v/>
      </c>
      <c r="Y2176" s="8" t="e">
        <f>+VLOOKUP(M2176,[1]SKU!$B$3:$E$81,4,0)</f>
        <v>#N/A</v>
      </c>
      <c r="Z2176" s="8" t="str">
        <f t="shared" si="33"/>
        <v>FLEX</v>
      </c>
      <c r="AA2176" s="8" t="e">
        <f>+VLOOKUP(I2176,[1]SKU!$H$2:$I$97,2,0)</f>
        <v>#N/A</v>
      </c>
    </row>
    <row r="2177" spans="24:27">
      <c r="X2177" s="8" t="str">
        <f>+IFERROR(VLOOKUP(N2177,[1]Hoja1!$B$2:$F$52,4,0)*P2177,"")</f>
        <v/>
      </c>
      <c r="Y2177" s="8" t="e">
        <f>+VLOOKUP(M2177,[1]SKU!$B$3:$E$81,4,0)</f>
        <v>#N/A</v>
      </c>
      <c r="Z2177" s="8" t="str">
        <f t="shared" si="33"/>
        <v>FLEX</v>
      </c>
      <c r="AA2177" s="8" t="e">
        <f>+VLOOKUP(I2177,[1]SKU!$H$2:$I$97,2,0)</f>
        <v>#N/A</v>
      </c>
    </row>
    <row r="2178" spans="24:27">
      <c r="X2178" s="8" t="str">
        <f>+IFERROR(VLOOKUP(N2178,[1]Hoja1!$B$2:$F$52,4,0)*P2178,"")</f>
        <v/>
      </c>
      <c r="Y2178" s="8" t="e">
        <f>+VLOOKUP(M2178,[1]SKU!$B$3:$E$81,4,0)</f>
        <v>#N/A</v>
      </c>
      <c r="Z2178" s="8" t="str">
        <f t="shared" si="33"/>
        <v>FLEX</v>
      </c>
      <c r="AA2178" s="8" t="e">
        <f>+VLOOKUP(I2178,[1]SKU!$H$2:$I$97,2,0)</f>
        <v>#N/A</v>
      </c>
    </row>
    <row r="2179" spans="24:27">
      <c r="X2179" s="8" t="str">
        <f>+IFERROR(VLOOKUP(N2179,[1]Hoja1!$B$2:$F$52,4,0)*P2179,"")</f>
        <v/>
      </c>
      <c r="Y2179" s="8" t="e">
        <f>+VLOOKUP(M2179,[1]SKU!$B$3:$E$81,4,0)</f>
        <v>#N/A</v>
      </c>
      <c r="Z2179" s="8" t="str">
        <f t="shared" ref="Z2179:Z2242" si="34">+IF(J2179="VB01                          ","BEES","FLEX")</f>
        <v>FLEX</v>
      </c>
      <c r="AA2179" s="8" t="e">
        <f>+VLOOKUP(I2179,[1]SKU!$H$2:$I$97,2,0)</f>
        <v>#N/A</v>
      </c>
    </row>
    <row r="2180" spans="24:27">
      <c r="X2180" s="8" t="str">
        <f>+IFERROR(VLOOKUP(N2180,[1]Hoja1!$B$2:$F$52,4,0)*P2180,"")</f>
        <v/>
      </c>
      <c r="Y2180" s="8" t="e">
        <f>+VLOOKUP(M2180,[1]SKU!$B$3:$E$81,4,0)</f>
        <v>#N/A</v>
      </c>
      <c r="Z2180" s="8" t="str">
        <f t="shared" si="34"/>
        <v>FLEX</v>
      </c>
      <c r="AA2180" s="8" t="e">
        <f>+VLOOKUP(I2180,[1]SKU!$H$2:$I$97,2,0)</f>
        <v>#N/A</v>
      </c>
    </row>
    <row r="2181" spans="24:27">
      <c r="X2181" s="8" t="str">
        <f>+IFERROR(VLOOKUP(N2181,[1]Hoja1!$B$2:$F$52,4,0)*P2181,"")</f>
        <v/>
      </c>
      <c r="Y2181" s="8" t="e">
        <f>+VLOOKUP(M2181,[1]SKU!$B$3:$E$81,4,0)</f>
        <v>#N/A</v>
      </c>
      <c r="Z2181" s="8" t="str">
        <f t="shared" si="34"/>
        <v>FLEX</v>
      </c>
      <c r="AA2181" s="8" t="e">
        <f>+VLOOKUP(I2181,[1]SKU!$H$2:$I$97,2,0)</f>
        <v>#N/A</v>
      </c>
    </row>
    <row r="2182" spans="24:27">
      <c r="X2182" s="8" t="str">
        <f>+IFERROR(VLOOKUP(N2182,[1]Hoja1!$B$2:$F$52,4,0)*P2182,"")</f>
        <v/>
      </c>
      <c r="Y2182" s="8" t="e">
        <f>+VLOOKUP(M2182,[1]SKU!$B$3:$E$81,4,0)</f>
        <v>#N/A</v>
      </c>
      <c r="Z2182" s="8" t="str">
        <f t="shared" si="34"/>
        <v>FLEX</v>
      </c>
      <c r="AA2182" s="8" t="e">
        <f>+VLOOKUP(I2182,[1]SKU!$H$2:$I$97,2,0)</f>
        <v>#N/A</v>
      </c>
    </row>
    <row r="2183" spans="24:27">
      <c r="X2183" s="8" t="str">
        <f>+IFERROR(VLOOKUP(N2183,[1]Hoja1!$B$2:$F$52,4,0)*P2183,"")</f>
        <v/>
      </c>
      <c r="Y2183" s="8" t="e">
        <f>+VLOOKUP(M2183,[1]SKU!$B$3:$E$81,4,0)</f>
        <v>#N/A</v>
      </c>
      <c r="Z2183" s="8" t="str">
        <f t="shared" si="34"/>
        <v>FLEX</v>
      </c>
      <c r="AA2183" s="8" t="e">
        <f>+VLOOKUP(I2183,[1]SKU!$H$2:$I$97,2,0)</f>
        <v>#N/A</v>
      </c>
    </row>
    <row r="2184" spans="24:27">
      <c r="X2184" s="8" t="str">
        <f>+IFERROR(VLOOKUP(N2184,[1]Hoja1!$B$2:$F$52,4,0)*P2184,"")</f>
        <v/>
      </c>
      <c r="Y2184" s="8" t="e">
        <f>+VLOOKUP(M2184,[1]SKU!$B$3:$E$81,4,0)</f>
        <v>#N/A</v>
      </c>
      <c r="Z2184" s="8" t="str">
        <f t="shared" si="34"/>
        <v>FLEX</v>
      </c>
      <c r="AA2184" s="8" t="e">
        <f>+VLOOKUP(I2184,[1]SKU!$H$2:$I$97,2,0)</f>
        <v>#N/A</v>
      </c>
    </row>
    <row r="2185" spans="24:27">
      <c r="X2185" s="8" t="str">
        <f>+IFERROR(VLOOKUP(N2185,[1]Hoja1!$B$2:$F$52,4,0)*P2185,"")</f>
        <v/>
      </c>
      <c r="Y2185" s="8" t="e">
        <f>+VLOOKUP(M2185,[1]SKU!$B$3:$E$81,4,0)</f>
        <v>#N/A</v>
      </c>
      <c r="Z2185" s="8" t="str">
        <f t="shared" si="34"/>
        <v>FLEX</v>
      </c>
      <c r="AA2185" s="8" t="e">
        <f>+VLOOKUP(I2185,[1]SKU!$H$2:$I$97,2,0)</f>
        <v>#N/A</v>
      </c>
    </row>
    <row r="2186" spans="24:27">
      <c r="X2186" s="8" t="str">
        <f>+IFERROR(VLOOKUP(N2186,[1]Hoja1!$B$2:$F$52,4,0)*P2186,"")</f>
        <v/>
      </c>
      <c r="Y2186" s="8" t="e">
        <f>+VLOOKUP(M2186,[1]SKU!$B$3:$E$81,4,0)</f>
        <v>#N/A</v>
      </c>
      <c r="Z2186" s="8" t="str">
        <f t="shared" si="34"/>
        <v>FLEX</v>
      </c>
      <c r="AA2186" s="8" t="e">
        <f>+VLOOKUP(I2186,[1]SKU!$H$2:$I$97,2,0)</f>
        <v>#N/A</v>
      </c>
    </row>
    <row r="2187" spans="24:27">
      <c r="X2187" s="8" t="str">
        <f>+IFERROR(VLOOKUP(N2187,[1]Hoja1!$B$2:$F$52,4,0)*P2187,"")</f>
        <v/>
      </c>
      <c r="Y2187" s="8" t="e">
        <f>+VLOOKUP(M2187,[1]SKU!$B$3:$E$81,4,0)</f>
        <v>#N/A</v>
      </c>
      <c r="Z2187" s="8" t="str">
        <f t="shared" si="34"/>
        <v>FLEX</v>
      </c>
      <c r="AA2187" s="8" t="e">
        <f>+VLOOKUP(I2187,[1]SKU!$H$2:$I$97,2,0)</f>
        <v>#N/A</v>
      </c>
    </row>
    <row r="2188" spans="24:27">
      <c r="X2188" s="8" t="str">
        <f>+IFERROR(VLOOKUP(N2188,[1]Hoja1!$B$2:$F$52,4,0)*P2188,"")</f>
        <v/>
      </c>
      <c r="Y2188" s="8" t="e">
        <f>+VLOOKUP(M2188,[1]SKU!$B$3:$E$81,4,0)</f>
        <v>#N/A</v>
      </c>
      <c r="Z2188" s="8" t="str">
        <f t="shared" si="34"/>
        <v>FLEX</v>
      </c>
      <c r="AA2188" s="8" t="e">
        <f>+VLOOKUP(I2188,[1]SKU!$H$2:$I$97,2,0)</f>
        <v>#N/A</v>
      </c>
    </row>
    <row r="2189" spans="24:27">
      <c r="X2189" s="8" t="str">
        <f>+IFERROR(VLOOKUP(N2189,[1]Hoja1!$B$2:$F$52,4,0)*P2189,"")</f>
        <v/>
      </c>
      <c r="Y2189" s="8" t="e">
        <f>+VLOOKUP(M2189,[1]SKU!$B$3:$E$81,4,0)</f>
        <v>#N/A</v>
      </c>
      <c r="Z2189" s="8" t="str">
        <f t="shared" si="34"/>
        <v>FLEX</v>
      </c>
      <c r="AA2189" s="8" t="e">
        <f>+VLOOKUP(I2189,[1]SKU!$H$2:$I$97,2,0)</f>
        <v>#N/A</v>
      </c>
    </row>
    <row r="2190" spans="24:27">
      <c r="X2190" s="8" t="str">
        <f>+IFERROR(VLOOKUP(N2190,[1]Hoja1!$B$2:$F$52,4,0)*P2190,"")</f>
        <v/>
      </c>
      <c r="Y2190" s="8" t="e">
        <f>+VLOOKUP(M2190,[1]SKU!$B$3:$E$81,4,0)</f>
        <v>#N/A</v>
      </c>
      <c r="Z2190" s="8" t="str">
        <f t="shared" si="34"/>
        <v>FLEX</v>
      </c>
      <c r="AA2190" s="8" t="e">
        <f>+VLOOKUP(I2190,[1]SKU!$H$2:$I$97,2,0)</f>
        <v>#N/A</v>
      </c>
    </row>
    <row r="2191" spans="24:27">
      <c r="X2191" s="8" t="str">
        <f>+IFERROR(VLOOKUP(N2191,[1]Hoja1!$B$2:$F$52,4,0)*P2191,"")</f>
        <v/>
      </c>
      <c r="Y2191" s="8" t="e">
        <f>+VLOOKUP(M2191,[1]SKU!$B$3:$E$81,4,0)</f>
        <v>#N/A</v>
      </c>
      <c r="Z2191" s="8" t="str">
        <f t="shared" si="34"/>
        <v>FLEX</v>
      </c>
      <c r="AA2191" s="8" t="e">
        <f>+VLOOKUP(I2191,[1]SKU!$H$2:$I$97,2,0)</f>
        <v>#N/A</v>
      </c>
    </row>
    <row r="2192" spans="24:27">
      <c r="X2192" s="8" t="str">
        <f>+IFERROR(VLOOKUP(N2192,[1]Hoja1!$B$2:$F$52,4,0)*P2192,"")</f>
        <v/>
      </c>
      <c r="Y2192" s="8" t="e">
        <f>+VLOOKUP(M2192,[1]SKU!$B$3:$E$81,4,0)</f>
        <v>#N/A</v>
      </c>
      <c r="Z2192" s="8" t="str">
        <f t="shared" si="34"/>
        <v>FLEX</v>
      </c>
      <c r="AA2192" s="8" t="e">
        <f>+VLOOKUP(I2192,[1]SKU!$H$2:$I$97,2,0)</f>
        <v>#N/A</v>
      </c>
    </row>
    <row r="2193" spans="24:27">
      <c r="X2193" s="8" t="str">
        <f>+IFERROR(VLOOKUP(N2193,[1]Hoja1!$B$2:$F$52,4,0)*P2193,"")</f>
        <v/>
      </c>
      <c r="Y2193" s="8" t="e">
        <f>+VLOOKUP(M2193,[1]SKU!$B$3:$E$81,4,0)</f>
        <v>#N/A</v>
      </c>
      <c r="Z2193" s="8" t="str">
        <f t="shared" si="34"/>
        <v>FLEX</v>
      </c>
      <c r="AA2193" s="8" t="e">
        <f>+VLOOKUP(I2193,[1]SKU!$H$2:$I$97,2,0)</f>
        <v>#N/A</v>
      </c>
    </row>
    <row r="2194" spans="24:27">
      <c r="X2194" s="8" t="str">
        <f>+IFERROR(VLOOKUP(N2194,[1]Hoja1!$B$2:$F$52,4,0)*P2194,"")</f>
        <v/>
      </c>
      <c r="Y2194" s="8" t="e">
        <f>+VLOOKUP(M2194,[1]SKU!$B$3:$E$81,4,0)</f>
        <v>#N/A</v>
      </c>
      <c r="Z2194" s="8" t="str">
        <f t="shared" si="34"/>
        <v>FLEX</v>
      </c>
      <c r="AA2194" s="8" t="e">
        <f>+VLOOKUP(I2194,[1]SKU!$H$2:$I$97,2,0)</f>
        <v>#N/A</v>
      </c>
    </row>
    <row r="2195" spans="24:27">
      <c r="X2195" s="8" t="str">
        <f>+IFERROR(VLOOKUP(N2195,[1]Hoja1!$B$2:$F$52,4,0)*P2195,"")</f>
        <v/>
      </c>
      <c r="Y2195" s="8" t="e">
        <f>+VLOOKUP(M2195,[1]SKU!$B$3:$E$81,4,0)</f>
        <v>#N/A</v>
      </c>
      <c r="Z2195" s="8" t="str">
        <f t="shared" si="34"/>
        <v>FLEX</v>
      </c>
      <c r="AA2195" s="8" t="e">
        <f>+VLOOKUP(I2195,[1]SKU!$H$2:$I$97,2,0)</f>
        <v>#N/A</v>
      </c>
    </row>
    <row r="2196" spans="24:27">
      <c r="X2196" s="8" t="str">
        <f>+IFERROR(VLOOKUP(N2196,[1]Hoja1!$B$2:$F$52,4,0)*P2196,"")</f>
        <v/>
      </c>
      <c r="Y2196" s="8" t="e">
        <f>+VLOOKUP(M2196,[1]SKU!$B$3:$E$81,4,0)</f>
        <v>#N/A</v>
      </c>
      <c r="Z2196" s="8" t="str">
        <f t="shared" si="34"/>
        <v>FLEX</v>
      </c>
      <c r="AA2196" s="8" t="e">
        <f>+VLOOKUP(I2196,[1]SKU!$H$2:$I$97,2,0)</f>
        <v>#N/A</v>
      </c>
    </row>
    <row r="2197" spans="24:27">
      <c r="X2197" s="8" t="str">
        <f>+IFERROR(VLOOKUP(N2197,[1]Hoja1!$B$2:$F$52,4,0)*P2197,"")</f>
        <v/>
      </c>
      <c r="Y2197" s="8" t="e">
        <f>+VLOOKUP(M2197,[1]SKU!$B$3:$E$81,4,0)</f>
        <v>#N/A</v>
      </c>
      <c r="Z2197" s="8" t="str">
        <f t="shared" si="34"/>
        <v>FLEX</v>
      </c>
      <c r="AA2197" s="8" t="e">
        <f>+VLOOKUP(I2197,[1]SKU!$H$2:$I$97,2,0)</f>
        <v>#N/A</v>
      </c>
    </row>
    <row r="2198" spans="24:27">
      <c r="X2198" s="8" t="str">
        <f>+IFERROR(VLOOKUP(N2198,[1]Hoja1!$B$2:$F$52,4,0)*P2198,"")</f>
        <v/>
      </c>
      <c r="Y2198" s="8" t="e">
        <f>+VLOOKUP(M2198,[1]SKU!$B$3:$E$81,4,0)</f>
        <v>#N/A</v>
      </c>
      <c r="Z2198" s="8" t="str">
        <f t="shared" si="34"/>
        <v>FLEX</v>
      </c>
      <c r="AA2198" s="8" t="e">
        <f>+VLOOKUP(I2198,[1]SKU!$H$2:$I$97,2,0)</f>
        <v>#N/A</v>
      </c>
    </row>
    <row r="2199" spans="24:27">
      <c r="X2199" s="8" t="str">
        <f>+IFERROR(VLOOKUP(N2199,[1]Hoja1!$B$2:$F$52,4,0)*P2199,"")</f>
        <v/>
      </c>
      <c r="Y2199" s="8" t="e">
        <f>+VLOOKUP(M2199,[1]SKU!$B$3:$E$81,4,0)</f>
        <v>#N/A</v>
      </c>
      <c r="Z2199" s="8" t="str">
        <f t="shared" si="34"/>
        <v>FLEX</v>
      </c>
      <c r="AA2199" s="8" t="e">
        <f>+VLOOKUP(I2199,[1]SKU!$H$2:$I$97,2,0)</f>
        <v>#N/A</v>
      </c>
    </row>
    <row r="2200" spans="24:27">
      <c r="X2200" s="8" t="str">
        <f>+IFERROR(VLOOKUP(N2200,[1]Hoja1!$B$2:$F$52,4,0)*P2200,"")</f>
        <v/>
      </c>
      <c r="Y2200" s="8" t="e">
        <f>+VLOOKUP(M2200,[1]SKU!$B$3:$E$81,4,0)</f>
        <v>#N/A</v>
      </c>
      <c r="Z2200" s="8" t="str">
        <f t="shared" si="34"/>
        <v>FLEX</v>
      </c>
      <c r="AA2200" s="8" t="e">
        <f>+VLOOKUP(I2200,[1]SKU!$H$2:$I$97,2,0)</f>
        <v>#N/A</v>
      </c>
    </row>
    <row r="2201" spans="24:27">
      <c r="X2201" s="8" t="str">
        <f>+IFERROR(VLOOKUP(N2201,[1]Hoja1!$B$2:$F$52,4,0)*P2201,"")</f>
        <v/>
      </c>
      <c r="Y2201" s="8" t="e">
        <f>+VLOOKUP(M2201,[1]SKU!$B$3:$E$81,4,0)</f>
        <v>#N/A</v>
      </c>
      <c r="Z2201" s="8" t="str">
        <f t="shared" si="34"/>
        <v>FLEX</v>
      </c>
      <c r="AA2201" s="8" t="e">
        <f>+VLOOKUP(I2201,[1]SKU!$H$2:$I$97,2,0)</f>
        <v>#N/A</v>
      </c>
    </row>
    <row r="2202" spans="24:27">
      <c r="X2202" s="8" t="str">
        <f>+IFERROR(VLOOKUP(N2202,[1]Hoja1!$B$2:$F$52,4,0)*P2202,"")</f>
        <v/>
      </c>
      <c r="Y2202" s="8" t="e">
        <f>+VLOOKUP(M2202,[1]SKU!$B$3:$E$81,4,0)</f>
        <v>#N/A</v>
      </c>
      <c r="Z2202" s="8" t="str">
        <f t="shared" si="34"/>
        <v>FLEX</v>
      </c>
      <c r="AA2202" s="8" t="e">
        <f>+VLOOKUP(I2202,[1]SKU!$H$2:$I$97,2,0)</f>
        <v>#N/A</v>
      </c>
    </row>
    <row r="2203" spans="24:27">
      <c r="X2203" s="8" t="str">
        <f>+IFERROR(VLOOKUP(N2203,[1]Hoja1!$B$2:$F$52,4,0)*P2203,"")</f>
        <v/>
      </c>
      <c r="Y2203" s="8" t="e">
        <f>+VLOOKUP(M2203,[1]SKU!$B$3:$E$81,4,0)</f>
        <v>#N/A</v>
      </c>
      <c r="Z2203" s="8" t="str">
        <f t="shared" si="34"/>
        <v>FLEX</v>
      </c>
      <c r="AA2203" s="8" t="e">
        <f>+VLOOKUP(I2203,[1]SKU!$H$2:$I$97,2,0)</f>
        <v>#N/A</v>
      </c>
    </row>
    <row r="2204" spans="24:27">
      <c r="X2204" s="8" t="str">
        <f>+IFERROR(VLOOKUP(N2204,[1]Hoja1!$B$2:$F$52,4,0)*P2204,"")</f>
        <v/>
      </c>
      <c r="Y2204" s="8" t="e">
        <f>+VLOOKUP(M2204,[1]SKU!$B$3:$E$81,4,0)</f>
        <v>#N/A</v>
      </c>
      <c r="Z2204" s="8" t="str">
        <f t="shared" si="34"/>
        <v>FLEX</v>
      </c>
      <c r="AA2204" s="8" t="e">
        <f>+VLOOKUP(I2204,[1]SKU!$H$2:$I$97,2,0)</f>
        <v>#N/A</v>
      </c>
    </row>
    <row r="2205" spans="24:27">
      <c r="X2205" s="8" t="str">
        <f>+IFERROR(VLOOKUP(N2205,[1]Hoja1!$B$2:$F$52,4,0)*P2205,"")</f>
        <v/>
      </c>
      <c r="Y2205" s="8" t="e">
        <f>+VLOOKUP(M2205,[1]SKU!$B$3:$E$81,4,0)</f>
        <v>#N/A</v>
      </c>
      <c r="Z2205" s="8" t="str">
        <f t="shared" si="34"/>
        <v>FLEX</v>
      </c>
      <c r="AA2205" s="8" t="e">
        <f>+VLOOKUP(I2205,[1]SKU!$H$2:$I$97,2,0)</f>
        <v>#N/A</v>
      </c>
    </row>
    <row r="2206" spans="24:27">
      <c r="X2206" s="8" t="str">
        <f>+IFERROR(VLOOKUP(N2206,[1]Hoja1!$B$2:$F$52,4,0)*P2206,"")</f>
        <v/>
      </c>
      <c r="Y2206" s="8" t="e">
        <f>+VLOOKUP(M2206,[1]SKU!$B$3:$E$81,4,0)</f>
        <v>#N/A</v>
      </c>
      <c r="Z2206" s="8" t="str">
        <f t="shared" si="34"/>
        <v>FLEX</v>
      </c>
      <c r="AA2206" s="8" t="e">
        <f>+VLOOKUP(I2206,[1]SKU!$H$2:$I$97,2,0)</f>
        <v>#N/A</v>
      </c>
    </row>
    <row r="2207" spans="24:27">
      <c r="X2207" s="8" t="str">
        <f>+IFERROR(VLOOKUP(N2207,[1]Hoja1!$B$2:$F$52,4,0)*P2207,"")</f>
        <v/>
      </c>
      <c r="Y2207" s="8" t="e">
        <f>+VLOOKUP(M2207,[1]SKU!$B$3:$E$81,4,0)</f>
        <v>#N/A</v>
      </c>
      <c r="Z2207" s="8" t="str">
        <f t="shared" si="34"/>
        <v>FLEX</v>
      </c>
      <c r="AA2207" s="8" t="e">
        <f>+VLOOKUP(I2207,[1]SKU!$H$2:$I$97,2,0)</f>
        <v>#N/A</v>
      </c>
    </row>
    <row r="2208" spans="24:27">
      <c r="X2208" s="8" t="str">
        <f>+IFERROR(VLOOKUP(N2208,[1]Hoja1!$B$2:$F$52,4,0)*P2208,"")</f>
        <v/>
      </c>
      <c r="Y2208" s="8" t="e">
        <f>+VLOOKUP(M2208,[1]SKU!$B$3:$E$81,4,0)</f>
        <v>#N/A</v>
      </c>
      <c r="Z2208" s="8" t="str">
        <f t="shared" si="34"/>
        <v>FLEX</v>
      </c>
      <c r="AA2208" s="8" t="e">
        <f>+VLOOKUP(I2208,[1]SKU!$H$2:$I$97,2,0)</f>
        <v>#N/A</v>
      </c>
    </row>
    <row r="2209" spans="24:27">
      <c r="X2209" s="8" t="str">
        <f>+IFERROR(VLOOKUP(N2209,[1]Hoja1!$B$2:$F$52,4,0)*P2209,"")</f>
        <v/>
      </c>
      <c r="Y2209" s="8" t="e">
        <f>+VLOOKUP(M2209,[1]SKU!$B$3:$E$81,4,0)</f>
        <v>#N/A</v>
      </c>
      <c r="Z2209" s="8" t="str">
        <f t="shared" si="34"/>
        <v>FLEX</v>
      </c>
      <c r="AA2209" s="8" t="e">
        <f>+VLOOKUP(I2209,[1]SKU!$H$2:$I$97,2,0)</f>
        <v>#N/A</v>
      </c>
    </row>
    <row r="2210" spans="24:27">
      <c r="X2210" s="8" t="str">
        <f>+IFERROR(VLOOKUP(N2210,[1]Hoja1!$B$2:$F$52,4,0)*P2210,"")</f>
        <v/>
      </c>
      <c r="Y2210" s="8" t="e">
        <f>+VLOOKUP(M2210,[1]SKU!$B$3:$E$81,4,0)</f>
        <v>#N/A</v>
      </c>
      <c r="Z2210" s="8" t="str">
        <f t="shared" si="34"/>
        <v>FLEX</v>
      </c>
      <c r="AA2210" s="8" t="e">
        <f>+VLOOKUP(I2210,[1]SKU!$H$2:$I$97,2,0)</f>
        <v>#N/A</v>
      </c>
    </row>
    <row r="2211" spans="24:27">
      <c r="X2211" s="8" t="str">
        <f>+IFERROR(VLOOKUP(N2211,[1]Hoja1!$B$2:$F$52,4,0)*P2211,"")</f>
        <v/>
      </c>
      <c r="Y2211" s="8" t="e">
        <f>+VLOOKUP(M2211,[1]SKU!$B$3:$E$81,4,0)</f>
        <v>#N/A</v>
      </c>
      <c r="Z2211" s="8" t="str">
        <f t="shared" si="34"/>
        <v>FLEX</v>
      </c>
      <c r="AA2211" s="8" t="e">
        <f>+VLOOKUP(I2211,[1]SKU!$H$2:$I$97,2,0)</f>
        <v>#N/A</v>
      </c>
    </row>
    <row r="2212" spans="24:27">
      <c r="X2212" s="8" t="str">
        <f>+IFERROR(VLOOKUP(N2212,[1]Hoja1!$B$2:$F$52,4,0)*P2212,"")</f>
        <v/>
      </c>
      <c r="Y2212" s="8" t="e">
        <f>+VLOOKUP(M2212,[1]SKU!$B$3:$E$81,4,0)</f>
        <v>#N/A</v>
      </c>
      <c r="Z2212" s="8" t="str">
        <f t="shared" si="34"/>
        <v>FLEX</v>
      </c>
      <c r="AA2212" s="8" t="e">
        <f>+VLOOKUP(I2212,[1]SKU!$H$2:$I$97,2,0)</f>
        <v>#N/A</v>
      </c>
    </row>
    <row r="2213" spans="24:27">
      <c r="X2213" s="8" t="str">
        <f>+IFERROR(VLOOKUP(N2213,[1]Hoja1!$B$2:$F$52,4,0)*P2213,"")</f>
        <v/>
      </c>
      <c r="Y2213" s="8" t="e">
        <f>+VLOOKUP(M2213,[1]SKU!$B$3:$E$81,4,0)</f>
        <v>#N/A</v>
      </c>
      <c r="Z2213" s="8" t="str">
        <f t="shared" si="34"/>
        <v>FLEX</v>
      </c>
      <c r="AA2213" s="8" t="e">
        <f>+VLOOKUP(I2213,[1]SKU!$H$2:$I$97,2,0)</f>
        <v>#N/A</v>
      </c>
    </row>
    <row r="2214" spans="24:27">
      <c r="X2214" s="8" t="str">
        <f>+IFERROR(VLOOKUP(N2214,[1]Hoja1!$B$2:$F$52,4,0)*P2214,"")</f>
        <v/>
      </c>
      <c r="Y2214" s="8" t="e">
        <f>+VLOOKUP(M2214,[1]SKU!$B$3:$E$81,4,0)</f>
        <v>#N/A</v>
      </c>
      <c r="Z2214" s="8" t="str">
        <f t="shared" si="34"/>
        <v>FLEX</v>
      </c>
      <c r="AA2214" s="8" t="e">
        <f>+VLOOKUP(I2214,[1]SKU!$H$2:$I$97,2,0)</f>
        <v>#N/A</v>
      </c>
    </row>
    <row r="2215" spans="24:27">
      <c r="X2215" s="8" t="str">
        <f>+IFERROR(VLOOKUP(N2215,[1]Hoja1!$B$2:$F$52,4,0)*P2215,"")</f>
        <v/>
      </c>
      <c r="Y2215" s="8" t="e">
        <f>+VLOOKUP(M2215,[1]SKU!$B$3:$E$81,4,0)</f>
        <v>#N/A</v>
      </c>
      <c r="Z2215" s="8" t="str">
        <f t="shared" si="34"/>
        <v>FLEX</v>
      </c>
      <c r="AA2215" s="8" t="e">
        <f>+VLOOKUP(I2215,[1]SKU!$H$2:$I$97,2,0)</f>
        <v>#N/A</v>
      </c>
    </row>
    <row r="2216" spans="24:27">
      <c r="X2216" s="8" t="str">
        <f>+IFERROR(VLOOKUP(N2216,[1]Hoja1!$B$2:$F$52,4,0)*P2216,"")</f>
        <v/>
      </c>
      <c r="Y2216" s="8" t="e">
        <f>+VLOOKUP(M2216,[1]SKU!$B$3:$E$81,4,0)</f>
        <v>#N/A</v>
      </c>
      <c r="Z2216" s="8" t="str">
        <f t="shared" si="34"/>
        <v>FLEX</v>
      </c>
      <c r="AA2216" s="8" t="e">
        <f>+VLOOKUP(I2216,[1]SKU!$H$2:$I$97,2,0)</f>
        <v>#N/A</v>
      </c>
    </row>
    <row r="2217" spans="24:27">
      <c r="X2217" s="8" t="str">
        <f>+IFERROR(VLOOKUP(N2217,[1]Hoja1!$B$2:$F$52,4,0)*P2217,"")</f>
        <v/>
      </c>
      <c r="Y2217" s="8" t="e">
        <f>+VLOOKUP(M2217,[1]SKU!$B$3:$E$81,4,0)</f>
        <v>#N/A</v>
      </c>
      <c r="Z2217" s="8" t="str">
        <f t="shared" si="34"/>
        <v>FLEX</v>
      </c>
      <c r="AA2217" s="8" t="e">
        <f>+VLOOKUP(I2217,[1]SKU!$H$2:$I$97,2,0)</f>
        <v>#N/A</v>
      </c>
    </row>
    <row r="2218" spans="24:27">
      <c r="X2218" s="8" t="str">
        <f>+IFERROR(VLOOKUP(N2218,[1]Hoja1!$B$2:$F$52,4,0)*P2218,"")</f>
        <v/>
      </c>
      <c r="Y2218" s="8" t="e">
        <f>+VLOOKUP(M2218,[1]SKU!$B$3:$E$81,4,0)</f>
        <v>#N/A</v>
      </c>
      <c r="Z2218" s="8" t="str">
        <f t="shared" si="34"/>
        <v>FLEX</v>
      </c>
      <c r="AA2218" s="8" t="e">
        <f>+VLOOKUP(I2218,[1]SKU!$H$2:$I$97,2,0)</f>
        <v>#N/A</v>
      </c>
    </row>
    <row r="2219" spans="24:27">
      <c r="X2219" s="8" t="str">
        <f>+IFERROR(VLOOKUP(N2219,[1]Hoja1!$B$2:$F$52,4,0)*P2219,"")</f>
        <v/>
      </c>
      <c r="Y2219" s="8" t="e">
        <f>+VLOOKUP(M2219,[1]SKU!$B$3:$E$81,4,0)</f>
        <v>#N/A</v>
      </c>
      <c r="Z2219" s="8" t="str">
        <f t="shared" si="34"/>
        <v>FLEX</v>
      </c>
      <c r="AA2219" s="8" t="e">
        <f>+VLOOKUP(I2219,[1]SKU!$H$2:$I$97,2,0)</f>
        <v>#N/A</v>
      </c>
    </row>
    <row r="2220" spans="24:27">
      <c r="X2220" s="8" t="str">
        <f>+IFERROR(VLOOKUP(N2220,[1]Hoja1!$B$2:$F$52,4,0)*P2220,"")</f>
        <v/>
      </c>
      <c r="Y2220" s="8" t="e">
        <f>+VLOOKUP(M2220,[1]SKU!$B$3:$E$81,4,0)</f>
        <v>#N/A</v>
      </c>
      <c r="Z2220" s="8" t="str">
        <f t="shared" si="34"/>
        <v>FLEX</v>
      </c>
      <c r="AA2220" s="8" t="e">
        <f>+VLOOKUP(I2220,[1]SKU!$H$2:$I$97,2,0)</f>
        <v>#N/A</v>
      </c>
    </row>
    <row r="2221" spans="24:27">
      <c r="X2221" s="8" t="str">
        <f>+IFERROR(VLOOKUP(N2221,[1]Hoja1!$B$2:$F$52,4,0)*P2221,"")</f>
        <v/>
      </c>
      <c r="Y2221" s="8" t="e">
        <f>+VLOOKUP(M2221,[1]SKU!$B$3:$E$81,4,0)</f>
        <v>#N/A</v>
      </c>
      <c r="Z2221" s="8" t="str">
        <f t="shared" si="34"/>
        <v>FLEX</v>
      </c>
      <c r="AA2221" s="8" t="e">
        <f>+VLOOKUP(I2221,[1]SKU!$H$2:$I$97,2,0)</f>
        <v>#N/A</v>
      </c>
    </row>
    <row r="2222" spans="24:27">
      <c r="X2222" s="8" t="str">
        <f>+IFERROR(VLOOKUP(N2222,[1]Hoja1!$B$2:$F$52,4,0)*P2222,"")</f>
        <v/>
      </c>
      <c r="Y2222" s="8" t="e">
        <f>+VLOOKUP(M2222,[1]SKU!$B$3:$E$81,4,0)</f>
        <v>#N/A</v>
      </c>
      <c r="Z2222" s="8" t="str">
        <f t="shared" si="34"/>
        <v>FLEX</v>
      </c>
      <c r="AA2222" s="8" t="e">
        <f>+VLOOKUP(I2222,[1]SKU!$H$2:$I$97,2,0)</f>
        <v>#N/A</v>
      </c>
    </row>
    <row r="2223" spans="24:27">
      <c r="X2223" s="8" t="str">
        <f>+IFERROR(VLOOKUP(N2223,[1]Hoja1!$B$2:$F$52,4,0)*P2223,"")</f>
        <v/>
      </c>
      <c r="Y2223" s="8" t="e">
        <f>+VLOOKUP(M2223,[1]SKU!$B$3:$E$81,4,0)</f>
        <v>#N/A</v>
      </c>
      <c r="Z2223" s="8" t="str">
        <f t="shared" si="34"/>
        <v>FLEX</v>
      </c>
      <c r="AA2223" s="8" t="e">
        <f>+VLOOKUP(I2223,[1]SKU!$H$2:$I$97,2,0)</f>
        <v>#N/A</v>
      </c>
    </row>
    <row r="2224" spans="24:27">
      <c r="X2224" s="8" t="str">
        <f>+IFERROR(VLOOKUP(N2224,[1]Hoja1!$B$2:$F$52,4,0)*P2224,"")</f>
        <v/>
      </c>
      <c r="Y2224" s="8" t="e">
        <f>+VLOOKUP(M2224,[1]SKU!$B$3:$E$81,4,0)</f>
        <v>#N/A</v>
      </c>
      <c r="Z2224" s="8" t="str">
        <f t="shared" si="34"/>
        <v>FLEX</v>
      </c>
      <c r="AA2224" s="8" t="e">
        <f>+VLOOKUP(I2224,[1]SKU!$H$2:$I$97,2,0)</f>
        <v>#N/A</v>
      </c>
    </row>
    <row r="2225" spans="24:27">
      <c r="X2225" s="8" t="str">
        <f>+IFERROR(VLOOKUP(N2225,[1]Hoja1!$B$2:$F$52,4,0)*P2225,"")</f>
        <v/>
      </c>
      <c r="Y2225" s="8" t="e">
        <f>+VLOOKUP(M2225,[1]SKU!$B$3:$E$81,4,0)</f>
        <v>#N/A</v>
      </c>
      <c r="Z2225" s="8" t="str">
        <f t="shared" si="34"/>
        <v>FLEX</v>
      </c>
      <c r="AA2225" s="8" t="e">
        <f>+VLOOKUP(I2225,[1]SKU!$H$2:$I$97,2,0)</f>
        <v>#N/A</v>
      </c>
    </row>
    <row r="2226" spans="24:27">
      <c r="X2226" s="8" t="str">
        <f>+IFERROR(VLOOKUP(N2226,[1]Hoja1!$B$2:$F$52,4,0)*P2226,"")</f>
        <v/>
      </c>
      <c r="Y2226" s="8" t="e">
        <f>+VLOOKUP(M2226,[1]SKU!$B$3:$E$81,4,0)</f>
        <v>#N/A</v>
      </c>
      <c r="Z2226" s="8" t="str">
        <f t="shared" si="34"/>
        <v>FLEX</v>
      </c>
      <c r="AA2226" s="8" t="e">
        <f>+VLOOKUP(I2226,[1]SKU!$H$2:$I$97,2,0)</f>
        <v>#N/A</v>
      </c>
    </row>
    <row r="2227" spans="24:27">
      <c r="X2227" s="8" t="str">
        <f>+IFERROR(VLOOKUP(N2227,[1]Hoja1!$B$2:$F$52,4,0)*P2227,"")</f>
        <v/>
      </c>
      <c r="Y2227" s="8" t="e">
        <f>+VLOOKUP(M2227,[1]SKU!$B$3:$E$81,4,0)</f>
        <v>#N/A</v>
      </c>
      <c r="Z2227" s="8" t="str">
        <f t="shared" si="34"/>
        <v>FLEX</v>
      </c>
      <c r="AA2227" s="8" t="e">
        <f>+VLOOKUP(I2227,[1]SKU!$H$2:$I$97,2,0)</f>
        <v>#N/A</v>
      </c>
    </row>
    <row r="2228" spans="24:27">
      <c r="X2228" s="8" t="str">
        <f>+IFERROR(VLOOKUP(N2228,[1]Hoja1!$B$2:$F$52,4,0)*P2228,"")</f>
        <v/>
      </c>
      <c r="Y2228" s="8" t="e">
        <f>+VLOOKUP(M2228,[1]SKU!$B$3:$E$81,4,0)</f>
        <v>#N/A</v>
      </c>
      <c r="Z2228" s="8" t="str">
        <f t="shared" si="34"/>
        <v>FLEX</v>
      </c>
      <c r="AA2228" s="8" t="e">
        <f>+VLOOKUP(I2228,[1]SKU!$H$2:$I$97,2,0)</f>
        <v>#N/A</v>
      </c>
    </row>
    <row r="2229" spans="24:27">
      <c r="X2229" s="8" t="str">
        <f>+IFERROR(VLOOKUP(N2229,[1]Hoja1!$B$2:$F$52,4,0)*P2229,"")</f>
        <v/>
      </c>
      <c r="Y2229" s="8" t="e">
        <f>+VLOOKUP(M2229,[1]SKU!$B$3:$E$81,4,0)</f>
        <v>#N/A</v>
      </c>
      <c r="Z2229" s="8" t="str">
        <f t="shared" si="34"/>
        <v>FLEX</v>
      </c>
      <c r="AA2229" s="8" t="e">
        <f>+VLOOKUP(I2229,[1]SKU!$H$2:$I$97,2,0)</f>
        <v>#N/A</v>
      </c>
    </row>
    <row r="2230" spans="24:27">
      <c r="X2230" s="8" t="str">
        <f>+IFERROR(VLOOKUP(N2230,[1]Hoja1!$B$2:$F$52,4,0)*P2230,"")</f>
        <v/>
      </c>
      <c r="Y2230" s="8" t="e">
        <f>+VLOOKUP(M2230,[1]SKU!$B$3:$E$81,4,0)</f>
        <v>#N/A</v>
      </c>
      <c r="Z2230" s="8" t="str">
        <f t="shared" si="34"/>
        <v>FLEX</v>
      </c>
      <c r="AA2230" s="8" t="e">
        <f>+VLOOKUP(I2230,[1]SKU!$H$2:$I$97,2,0)</f>
        <v>#N/A</v>
      </c>
    </row>
    <row r="2231" spans="24:27">
      <c r="X2231" s="8" t="str">
        <f>+IFERROR(VLOOKUP(N2231,[1]Hoja1!$B$2:$F$52,4,0)*P2231,"")</f>
        <v/>
      </c>
      <c r="Y2231" s="8" t="e">
        <f>+VLOOKUP(M2231,[1]SKU!$B$3:$E$81,4,0)</f>
        <v>#N/A</v>
      </c>
      <c r="Z2231" s="8" t="str">
        <f t="shared" si="34"/>
        <v>FLEX</v>
      </c>
      <c r="AA2231" s="8" t="e">
        <f>+VLOOKUP(I2231,[1]SKU!$H$2:$I$97,2,0)</f>
        <v>#N/A</v>
      </c>
    </row>
    <row r="2232" spans="24:27">
      <c r="X2232" s="8" t="str">
        <f>+IFERROR(VLOOKUP(N2232,[1]Hoja1!$B$2:$F$52,4,0)*P2232,"")</f>
        <v/>
      </c>
      <c r="Y2232" s="8" t="e">
        <f>+VLOOKUP(M2232,[1]SKU!$B$3:$E$81,4,0)</f>
        <v>#N/A</v>
      </c>
      <c r="Z2232" s="8" t="str">
        <f t="shared" si="34"/>
        <v>FLEX</v>
      </c>
      <c r="AA2232" s="8" t="e">
        <f>+VLOOKUP(I2232,[1]SKU!$H$2:$I$97,2,0)</f>
        <v>#N/A</v>
      </c>
    </row>
    <row r="2233" spans="24:27">
      <c r="X2233" s="8" t="str">
        <f>+IFERROR(VLOOKUP(N2233,[1]Hoja1!$B$2:$F$52,4,0)*P2233,"")</f>
        <v/>
      </c>
      <c r="Y2233" s="8" t="e">
        <f>+VLOOKUP(M2233,[1]SKU!$B$3:$E$81,4,0)</f>
        <v>#N/A</v>
      </c>
      <c r="Z2233" s="8" t="str">
        <f t="shared" si="34"/>
        <v>FLEX</v>
      </c>
      <c r="AA2233" s="8" t="e">
        <f>+VLOOKUP(I2233,[1]SKU!$H$2:$I$97,2,0)</f>
        <v>#N/A</v>
      </c>
    </row>
    <row r="2234" spans="24:27">
      <c r="X2234" s="8" t="str">
        <f>+IFERROR(VLOOKUP(N2234,[1]Hoja1!$B$2:$F$52,4,0)*P2234,"")</f>
        <v/>
      </c>
      <c r="Y2234" s="8" t="e">
        <f>+VLOOKUP(M2234,[1]SKU!$B$3:$E$81,4,0)</f>
        <v>#N/A</v>
      </c>
      <c r="Z2234" s="8" t="str">
        <f t="shared" si="34"/>
        <v>FLEX</v>
      </c>
      <c r="AA2234" s="8" t="e">
        <f>+VLOOKUP(I2234,[1]SKU!$H$2:$I$97,2,0)</f>
        <v>#N/A</v>
      </c>
    </row>
    <row r="2235" spans="24:27">
      <c r="X2235" s="8" t="str">
        <f>+IFERROR(VLOOKUP(N2235,[1]Hoja1!$B$2:$F$52,4,0)*P2235,"")</f>
        <v/>
      </c>
      <c r="Y2235" s="8" t="e">
        <f>+VLOOKUP(M2235,[1]SKU!$B$3:$E$81,4,0)</f>
        <v>#N/A</v>
      </c>
      <c r="Z2235" s="8" t="str">
        <f t="shared" si="34"/>
        <v>FLEX</v>
      </c>
      <c r="AA2235" s="8" t="e">
        <f>+VLOOKUP(I2235,[1]SKU!$H$2:$I$97,2,0)</f>
        <v>#N/A</v>
      </c>
    </row>
    <row r="2236" spans="24:27">
      <c r="X2236" s="8" t="str">
        <f>+IFERROR(VLOOKUP(N2236,[1]Hoja1!$B$2:$F$52,4,0)*P2236,"")</f>
        <v/>
      </c>
      <c r="Y2236" s="8" t="e">
        <f>+VLOOKUP(M2236,[1]SKU!$B$3:$E$81,4,0)</f>
        <v>#N/A</v>
      </c>
      <c r="Z2236" s="8" t="str">
        <f t="shared" si="34"/>
        <v>FLEX</v>
      </c>
      <c r="AA2236" s="8" t="e">
        <f>+VLOOKUP(I2236,[1]SKU!$H$2:$I$97,2,0)</f>
        <v>#N/A</v>
      </c>
    </row>
    <row r="2237" spans="24:27">
      <c r="X2237" s="8" t="str">
        <f>+IFERROR(VLOOKUP(N2237,[1]Hoja1!$B$2:$F$52,4,0)*P2237,"")</f>
        <v/>
      </c>
      <c r="Y2237" s="8" t="e">
        <f>+VLOOKUP(M2237,[1]SKU!$B$3:$E$81,4,0)</f>
        <v>#N/A</v>
      </c>
      <c r="Z2237" s="8" t="str">
        <f t="shared" si="34"/>
        <v>FLEX</v>
      </c>
      <c r="AA2237" s="8" t="e">
        <f>+VLOOKUP(I2237,[1]SKU!$H$2:$I$97,2,0)</f>
        <v>#N/A</v>
      </c>
    </row>
    <row r="2238" spans="24:27">
      <c r="X2238" s="8" t="str">
        <f>+IFERROR(VLOOKUP(N2238,[1]Hoja1!$B$2:$F$52,4,0)*P2238,"")</f>
        <v/>
      </c>
      <c r="Y2238" s="8" t="e">
        <f>+VLOOKUP(M2238,[1]SKU!$B$3:$E$81,4,0)</f>
        <v>#N/A</v>
      </c>
      <c r="Z2238" s="8" t="str">
        <f t="shared" si="34"/>
        <v>FLEX</v>
      </c>
      <c r="AA2238" s="8" t="e">
        <f>+VLOOKUP(I2238,[1]SKU!$H$2:$I$97,2,0)</f>
        <v>#N/A</v>
      </c>
    </row>
    <row r="2239" spans="24:27">
      <c r="X2239" s="8" t="str">
        <f>+IFERROR(VLOOKUP(N2239,[1]Hoja1!$B$2:$F$52,4,0)*P2239,"")</f>
        <v/>
      </c>
      <c r="Y2239" s="8" t="e">
        <f>+VLOOKUP(M2239,[1]SKU!$B$3:$E$81,4,0)</f>
        <v>#N/A</v>
      </c>
      <c r="Z2239" s="8" t="str">
        <f t="shared" si="34"/>
        <v>FLEX</v>
      </c>
      <c r="AA2239" s="8" t="e">
        <f>+VLOOKUP(I2239,[1]SKU!$H$2:$I$97,2,0)</f>
        <v>#N/A</v>
      </c>
    </row>
    <row r="2240" spans="24:27">
      <c r="X2240" s="8" t="str">
        <f>+IFERROR(VLOOKUP(N2240,[1]Hoja1!$B$2:$F$52,4,0)*P2240,"")</f>
        <v/>
      </c>
      <c r="Y2240" s="8" t="e">
        <f>+VLOOKUP(M2240,[1]SKU!$B$3:$E$81,4,0)</f>
        <v>#N/A</v>
      </c>
      <c r="Z2240" s="8" t="str">
        <f t="shared" si="34"/>
        <v>FLEX</v>
      </c>
      <c r="AA2240" s="8" t="e">
        <f>+VLOOKUP(I2240,[1]SKU!$H$2:$I$97,2,0)</f>
        <v>#N/A</v>
      </c>
    </row>
    <row r="2241" spans="24:27">
      <c r="X2241" s="8" t="str">
        <f>+IFERROR(VLOOKUP(N2241,[1]Hoja1!$B$2:$F$52,4,0)*P2241,"")</f>
        <v/>
      </c>
      <c r="Y2241" s="8" t="e">
        <f>+VLOOKUP(M2241,[1]SKU!$B$3:$E$81,4,0)</f>
        <v>#N/A</v>
      </c>
      <c r="Z2241" s="8" t="str">
        <f t="shared" si="34"/>
        <v>FLEX</v>
      </c>
      <c r="AA2241" s="8" t="e">
        <f>+VLOOKUP(I2241,[1]SKU!$H$2:$I$97,2,0)</f>
        <v>#N/A</v>
      </c>
    </row>
    <row r="2242" spans="24:27">
      <c r="X2242" s="8" t="str">
        <f>+IFERROR(VLOOKUP(N2242,[1]Hoja1!$B$2:$F$52,4,0)*P2242,"")</f>
        <v/>
      </c>
      <c r="Y2242" s="8" t="e">
        <f>+VLOOKUP(M2242,[1]SKU!$B$3:$E$81,4,0)</f>
        <v>#N/A</v>
      </c>
      <c r="Z2242" s="8" t="str">
        <f t="shared" si="34"/>
        <v>FLEX</v>
      </c>
      <c r="AA2242" s="8" t="e">
        <f>+VLOOKUP(I2242,[1]SKU!$H$2:$I$97,2,0)</f>
        <v>#N/A</v>
      </c>
    </row>
    <row r="2243" spans="24:27">
      <c r="X2243" s="8" t="str">
        <f>+IFERROR(VLOOKUP(N2243,[1]Hoja1!$B$2:$F$52,4,0)*P2243,"")</f>
        <v/>
      </c>
      <c r="Y2243" s="8" t="e">
        <f>+VLOOKUP(M2243,[1]SKU!$B$3:$E$81,4,0)</f>
        <v>#N/A</v>
      </c>
      <c r="Z2243" s="8" t="str">
        <f t="shared" ref="Z2243:Z2306" si="35">+IF(J2243="VB01                          ","BEES","FLEX")</f>
        <v>FLEX</v>
      </c>
      <c r="AA2243" s="8" t="e">
        <f>+VLOOKUP(I2243,[1]SKU!$H$2:$I$97,2,0)</f>
        <v>#N/A</v>
      </c>
    </row>
    <row r="2244" spans="24:27">
      <c r="X2244" s="8" t="str">
        <f>+IFERROR(VLOOKUP(N2244,[1]Hoja1!$B$2:$F$52,4,0)*P2244,"")</f>
        <v/>
      </c>
      <c r="Y2244" s="8" t="e">
        <f>+VLOOKUP(M2244,[1]SKU!$B$3:$E$81,4,0)</f>
        <v>#N/A</v>
      </c>
      <c r="Z2244" s="8" t="str">
        <f t="shared" si="35"/>
        <v>FLEX</v>
      </c>
      <c r="AA2244" s="8" t="e">
        <f>+VLOOKUP(I2244,[1]SKU!$H$2:$I$97,2,0)</f>
        <v>#N/A</v>
      </c>
    </row>
    <row r="2245" spans="24:27">
      <c r="X2245" s="8" t="str">
        <f>+IFERROR(VLOOKUP(N2245,[1]Hoja1!$B$2:$F$52,4,0)*P2245,"")</f>
        <v/>
      </c>
      <c r="Y2245" s="8" t="e">
        <f>+VLOOKUP(M2245,[1]SKU!$B$3:$E$81,4,0)</f>
        <v>#N/A</v>
      </c>
      <c r="Z2245" s="8" t="str">
        <f t="shared" si="35"/>
        <v>FLEX</v>
      </c>
      <c r="AA2245" s="8" t="e">
        <f>+VLOOKUP(I2245,[1]SKU!$H$2:$I$97,2,0)</f>
        <v>#N/A</v>
      </c>
    </row>
    <row r="2246" spans="24:27">
      <c r="X2246" s="8" t="str">
        <f>+IFERROR(VLOOKUP(N2246,[1]Hoja1!$B$2:$F$52,4,0)*P2246,"")</f>
        <v/>
      </c>
      <c r="Y2246" s="8" t="e">
        <f>+VLOOKUP(M2246,[1]SKU!$B$3:$E$81,4,0)</f>
        <v>#N/A</v>
      </c>
      <c r="Z2246" s="8" t="str">
        <f t="shared" si="35"/>
        <v>FLEX</v>
      </c>
      <c r="AA2246" s="8" t="e">
        <f>+VLOOKUP(I2246,[1]SKU!$H$2:$I$97,2,0)</f>
        <v>#N/A</v>
      </c>
    </row>
    <row r="2247" spans="24:27">
      <c r="X2247" s="8" t="str">
        <f>+IFERROR(VLOOKUP(N2247,[1]Hoja1!$B$2:$F$52,4,0)*P2247,"")</f>
        <v/>
      </c>
      <c r="Y2247" s="8" t="e">
        <f>+VLOOKUP(M2247,[1]SKU!$B$3:$E$81,4,0)</f>
        <v>#N/A</v>
      </c>
      <c r="Z2247" s="8" t="str">
        <f t="shared" si="35"/>
        <v>FLEX</v>
      </c>
      <c r="AA2247" s="8" t="e">
        <f>+VLOOKUP(I2247,[1]SKU!$H$2:$I$97,2,0)</f>
        <v>#N/A</v>
      </c>
    </row>
    <row r="2248" spans="24:27">
      <c r="X2248" s="8" t="str">
        <f>+IFERROR(VLOOKUP(N2248,[1]Hoja1!$B$2:$F$52,4,0)*P2248,"")</f>
        <v/>
      </c>
      <c r="Y2248" s="8" t="e">
        <f>+VLOOKUP(M2248,[1]SKU!$B$3:$E$81,4,0)</f>
        <v>#N/A</v>
      </c>
      <c r="Z2248" s="8" t="str">
        <f t="shared" si="35"/>
        <v>FLEX</v>
      </c>
      <c r="AA2248" s="8" t="e">
        <f>+VLOOKUP(I2248,[1]SKU!$H$2:$I$97,2,0)</f>
        <v>#N/A</v>
      </c>
    </row>
    <row r="2249" spans="24:27">
      <c r="X2249" s="8" t="str">
        <f>+IFERROR(VLOOKUP(N2249,[1]Hoja1!$B$2:$F$52,4,0)*P2249,"")</f>
        <v/>
      </c>
      <c r="Y2249" s="8" t="e">
        <f>+VLOOKUP(M2249,[1]SKU!$B$3:$E$81,4,0)</f>
        <v>#N/A</v>
      </c>
      <c r="Z2249" s="8" t="str">
        <f t="shared" si="35"/>
        <v>FLEX</v>
      </c>
      <c r="AA2249" s="8" t="e">
        <f>+VLOOKUP(I2249,[1]SKU!$H$2:$I$97,2,0)</f>
        <v>#N/A</v>
      </c>
    </row>
    <row r="2250" spans="24:27">
      <c r="X2250" s="8" t="str">
        <f>+IFERROR(VLOOKUP(N2250,[1]Hoja1!$B$2:$F$52,4,0)*P2250,"")</f>
        <v/>
      </c>
      <c r="Y2250" s="8" t="e">
        <f>+VLOOKUP(M2250,[1]SKU!$B$3:$E$81,4,0)</f>
        <v>#N/A</v>
      </c>
      <c r="Z2250" s="8" t="str">
        <f t="shared" si="35"/>
        <v>FLEX</v>
      </c>
      <c r="AA2250" s="8" t="e">
        <f>+VLOOKUP(I2250,[1]SKU!$H$2:$I$97,2,0)</f>
        <v>#N/A</v>
      </c>
    </row>
    <row r="2251" spans="24:27">
      <c r="X2251" s="8" t="str">
        <f>+IFERROR(VLOOKUP(N2251,[1]Hoja1!$B$2:$F$52,4,0)*P2251,"")</f>
        <v/>
      </c>
      <c r="Y2251" s="8" t="e">
        <f>+VLOOKUP(M2251,[1]SKU!$B$3:$E$81,4,0)</f>
        <v>#N/A</v>
      </c>
      <c r="Z2251" s="8" t="str">
        <f t="shared" si="35"/>
        <v>FLEX</v>
      </c>
      <c r="AA2251" s="8" t="e">
        <f>+VLOOKUP(I2251,[1]SKU!$H$2:$I$97,2,0)</f>
        <v>#N/A</v>
      </c>
    </row>
    <row r="2252" spans="24:27">
      <c r="X2252" s="8" t="str">
        <f>+IFERROR(VLOOKUP(N2252,[1]Hoja1!$B$2:$F$52,4,0)*P2252,"")</f>
        <v/>
      </c>
      <c r="Y2252" s="8" t="e">
        <f>+VLOOKUP(M2252,[1]SKU!$B$3:$E$81,4,0)</f>
        <v>#N/A</v>
      </c>
      <c r="Z2252" s="8" t="str">
        <f t="shared" si="35"/>
        <v>FLEX</v>
      </c>
      <c r="AA2252" s="8" t="e">
        <f>+VLOOKUP(I2252,[1]SKU!$H$2:$I$97,2,0)</f>
        <v>#N/A</v>
      </c>
    </row>
    <row r="2253" spans="24:27">
      <c r="X2253" s="8" t="str">
        <f>+IFERROR(VLOOKUP(N2253,[1]Hoja1!$B$2:$F$52,4,0)*P2253,"")</f>
        <v/>
      </c>
      <c r="Y2253" s="8" t="e">
        <f>+VLOOKUP(M2253,[1]SKU!$B$3:$E$81,4,0)</f>
        <v>#N/A</v>
      </c>
      <c r="Z2253" s="8" t="str">
        <f t="shared" si="35"/>
        <v>FLEX</v>
      </c>
      <c r="AA2253" s="8" t="e">
        <f>+VLOOKUP(I2253,[1]SKU!$H$2:$I$97,2,0)</f>
        <v>#N/A</v>
      </c>
    </row>
    <row r="2254" spans="24:27">
      <c r="X2254" s="8" t="str">
        <f>+IFERROR(VLOOKUP(N2254,[1]Hoja1!$B$2:$F$52,4,0)*P2254,"")</f>
        <v/>
      </c>
      <c r="Y2254" s="8" t="e">
        <f>+VLOOKUP(M2254,[1]SKU!$B$3:$E$81,4,0)</f>
        <v>#N/A</v>
      </c>
      <c r="Z2254" s="8" t="str">
        <f t="shared" si="35"/>
        <v>FLEX</v>
      </c>
      <c r="AA2254" s="8" t="e">
        <f>+VLOOKUP(I2254,[1]SKU!$H$2:$I$97,2,0)</f>
        <v>#N/A</v>
      </c>
    </row>
    <row r="2255" spans="24:27">
      <c r="X2255" s="8" t="str">
        <f>+IFERROR(VLOOKUP(N2255,[1]Hoja1!$B$2:$F$52,4,0)*P2255,"")</f>
        <v/>
      </c>
      <c r="Y2255" s="8" t="e">
        <f>+VLOOKUP(M2255,[1]SKU!$B$3:$E$81,4,0)</f>
        <v>#N/A</v>
      </c>
      <c r="Z2255" s="8" t="str">
        <f t="shared" si="35"/>
        <v>FLEX</v>
      </c>
      <c r="AA2255" s="8" t="e">
        <f>+VLOOKUP(I2255,[1]SKU!$H$2:$I$97,2,0)</f>
        <v>#N/A</v>
      </c>
    </row>
    <row r="2256" spans="24:27">
      <c r="X2256" s="8" t="str">
        <f>+IFERROR(VLOOKUP(N2256,[1]Hoja1!$B$2:$F$52,4,0)*P2256,"")</f>
        <v/>
      </c>
      <c r="Y2256" s="8" t="e">
        <f>+VLOOKUP(M2256,[1]SKU!$B$3:$E$81,4,0)</f>
        <v>#N/A</v>
      </c>
      <c r="Z2256" s="8" t="str">
        <f t="shared" si="35"/>
        <v>FLEX</v>
      </c>
      <c r="AA2256" s="8" t="e">
        <f>+VLOOKUP(I2256,[1]SKU!$H$2:$I$97,2,0)</f>
        <v>#N/A</v>
      </c>
    </row>
    <row r="2257" spans="24:27">
      <c r="X2257" s="8" t="str">
        <f>+IFERROR(VLOOKUP(N2257,[1]Hoja1!$B$2:$F$52,4,0)*P2257,"")</f>
        <v/>
      </c>
      <c r="Y2257" s="8" t="e">
        <f>+VLOOKUP(M2257,[1]SKU!$B$3:$E$81,4,0)</f>
        <v>#N/A</v>
      </c>
      <c r="Z2257" s="8" t="str">
        <f t="shared" si="35"/>
        <v>FLEX</v>
      </c>
      <c r="AA2257" s="8" t="e">
        <f>+VLOOKUP(I2257,[1]SKU!$H$2:$I$97,2,0)</f>
        <v>#N/A</v>
      </c>
    </row>
    <row r="2258" spans="24:27">
      <c r="X2258" s="8" t="str">
        <f>+IFERROR(VLOOKUP(N2258,[1]Hoja1!$B$2:$F$52,4,0)*P2258,"")</f>
        <v/>
      </c>
      <c r="Y2258" s="8" t="e">
        <f>+VLOOKUP(M2258,[1]SKU!$B$3:$E$81,4,0)</f>
        <v>#N/A</v>
      </c>
      <c r="Z2258" s="8" t="str">
        <f t="shared" si="35"/>
        <v>FLEX</v>
      </c>
      <c r="AA2258" s="8" t="e">
        <f>+VLOOKUP(I2258,[1]SKU!$H$2:$I$97,2,0)</f>
        <v>#N/A</v>
      </c>
    </row>
    <row r="2259" spans="24:27">
      <c r="X2259" s="8" t="str">
        <f>+IFERROR(VLOOKUP(N2259,[1]Hoja1!$B$2:$F$52,4,0)*P2259,"")</f>
        <v/>
      </c>
      <c r="Y2259" s="8" t="e">
        <f>+VLOOKUP(M2259,[1]SKU!$B$3:$E$81,4,0)</f>
        <v>#N/A</v>
      </c>
      <c r="Z2259" s="8" t="str">
        <f t="shared" si="35"/>
        <v>FLEX</v>
      </c>
      <c r="AA2259" s="8" t="e">
        <f>+VLOOKUP(I2259,[1]SKU!$H$2:$I$97,2,0)</f>
        <v>#N/A</v>
      </c>
    </row>
    <row r="2260" spans="24:27">
      <c r="X2260" s="8" t="str">
        <f>+IFERROR(VLOOKUP(N2260,[1]Hoja1!$B$2:$F$52,4,0)*P2260,"")</f>
        <v/>
      </c>
      <c r="Y2260" s="8" t="e">
        <f>+VLOOKUP(M2260,[1]SKU!$B$3:$E$81,4,0)</f>
        <v>#N/A</v>
      </c>
      <c r="Z2260" s="8" t="str">
        <f t="shared" si="35"/>
        <v>FLEX</v>
      </c>
      <c r="AA2260" s="8" t="e">
        <f>+VLOOKUP(I2260,[1]SKU!$H$2:$I$97,2,0)</f>
        <v>#N/A</v>
      </c>
    </row>
    <row r="2261" spans="24:27">
      <c r="X2261" s="8" t="str">
        <f>+IFERROR(VLOOKUP(N2261,[1]Hoja1!$B$2:$F$52,4,0)*P2261,"")</f>
        <v/>
      </c>
      <c r="Y2261" s="8" t="e">
        <f>+VLOOKUP(M2261,[1]SKU!$B$3:$E$81,4,0)</f>
        <v>#N/A</v>
      </c>
      <c r="Z2261" s="8" t="str">
        <f t="shared" si="35"/>
        <v>FLEX</v>
      </c>
      <c r="AA2261" s="8" t="e">
        <f>+VLOOKUP(I2261,[1]SKU!$H$2:$I$97,2,0)</f>
        <v>#N/A</v>
      </c>
    </row>
    <row r="2262" spans="24:27">
      <c r="X2262" s="8" t="str">
        <f>+IFERROR(VLOOKUP(N2262,[1]Hoja1!$B$2:$F$52,4,0)*P2262,"")</f>
        <v/>
      </c>
      <c r="Y2262" s="8" t="e">
        <f>+VLOOKUP(M2262,[1]SKU!$B$3:$E$81,4,0)</f>
        <v>#N/A</v>
      </c>
      <c r="Z2262" s="8" t="str">
        <f t="shared" si="35"/>
        <v>FLEX</v>
      </c>
      <c r="AA2262" s="8" t="e">
        <f>+VLOOKUP(I2262,[1]SKU!$H$2:$I$97,2,0)</f>
        <v>#N/A</v>
      </c>
    </row>
    <row r="2263" spans="24:27">
      <c r="X2263" s="8" t="str">
        <f>+IFERROR(VLOOKUP(N2263,[1]Hoja1!$B$2:$F$52,4,0)*P2263,"")</f>
        <v/>
      </c>
      <c r="Y2263" s="8" t="e">
        <f>+VLOOKUP(M2263,[1]SKU!$B$3:$E$81,4,0)</f>
        <v>#N/A</v>
      </c>
      <c r="Z2263" s="8" t="str">
        <f t="shared" si="35"/>
        <v>FLEX</v>
      </c>
      <c r="AA2263" s="8" t="e">
        <f>+VLOOKUP(I2263,[1]SKU!$H$2:$I$97,2,0)</f>
        <v>#N/A</v>
      </c>
    </row>
    <row r="2264" spans="24:27">
      <c r="X2264" s="8" t="str">
        <f>+IFERROR(VLOOKUP(N2264,[1]Hoja1!$B$2:$F$52,4,0)*P2264,"")</f>
        <v/>
      </c>
      <c r="Y2264" s="8" t="e">
        <f>+VLOOKUP(M2264,[1]SKU!$B$3:$E$81,4,0)</f>
        <v>#N/A</v>
      </c>
      <c r="Z2264" s="8" t="str">
        <f t="shared" si="35"/>
        <v>FLEX</v>
      </c>
      <c r="AA2264" s="8" t="e">
        <f>+VLOOKUP(I2264,[1]SKU!$H$2:$I$97,2,0)</f>
        <v>#N/A</v>
      </c>
    </row>
    <row r="2265" spans="24:27">
      <c r="X2265" s="8" t="str">
        <f>+IFERROR(VLOOKUP(N2265,[1]Hoja1!$B$2:$F$52,4,0)*P2265,"")</f>
        <v/>
      </c>
      <c r="Y2265" s="8" t="e">
        <f>+VLOOKUP(M2265,[1]SKU!$B$3:$E$81,4,0)</f>
        <v>#N/A</v>
      </c>
      <c r="Z2265" s="8" t="str">
        <f t="shared" si="35"/>
        <v>FLEX</v>
      </c>
      <c r="AA2265" s="8" t="e">
        <f>+VLOOKUP(I2265,[1]SKU!$H$2:$I$97,2,0)</f>
        <v>#N/A</v>
      </c>
    </row>
    <row r="2266" spans="24:27">
      <c r="X2266" s="8" t="str">
        <f>+IFERROR(VLOOKUP(N2266,[1]Hoja1!$B$2:$F$52,4,0)*P2266,"")</f>
        <v/>
      </c>
      <c r="Y2266" s="8" t="e">
        <f>+VLOOKUP(M2266,[1]SKU!$B$3:$E$81,4,0)</f>
        <v>#N/A</v>
      </c>
      <c r="Z2266" s="8" t="str">
        <f t="shared" si="35"/>
        <v>FLEX</v>
      </c>
      <c r="AA2266" s="8" t="e">
        <f>+VLOOKUP(I2266,[1]SKU!$H$2:$I$97,2,0)</f>
        <v>#N/A</v>
      </c>
    </row>
    <row r="2267" spans="24:27">
      <c r="X2267" s="8" t="str">
        <f>+IFERROR(VLOOKUP(N2267,[1]Hoja1!$B$2:$F$52,4,0)*P2267,"")</f>
        <v/>
      </c>
      <c r="Y2267" s="8" t="e">
        <f>+VLOOKUP(M2267,[1]SKU!$B$3:$E$81,4,0)</f>
        <v>#N/A</v>
      </c>
      <c r="Z2267" s="8" t="str">
        <f t="shared" si="35"/>
        <v>FLEX</v>
      </c>
      <c r="AA2267" s="8" t="e">
        <f>+VLOOKUP(I2267,[1]SKU!$H$2:$I$97,2,0)</f>
        <v>#N/A</v>
      </c>
    </row>
    <row r="2268" spans="24:27">
      <c r="X2268" s="8" t="str">
        <f>+IFERROR(VLOOKUP(N2268,[1]Hoja1!$B$2:$F$52,4,0)*P2268,"")</f>
        <v/>
      </c>
      <c r="Y2268" s="8" t="e">
        <f>+VLOOKUP(M2268,[1]SKU!$B$3:$E$81,4,0)</f>
        <v>#N/A</v>
      </c>
      <c r="Z2268" s="8" t="str">
        <f t="shared" si="35"/>
        <v>FLEX</v>
      </c>
      <c r="AA2268" s="8" t="e">
        <f>+VLOOKUP(I2268,[1]SKU!$H$2:$I$97,2,0)</f>
        <v>#N/A</v>
      </c>
    </row>
    <row r="2269" spans="24:27">
      <c r="X2269" s="8" t="str">
        <f>+IFERROR(VLOOKUP(N2269,[1]Hoja1!$B$2:$F$52,4,0)*P2269,"")</f>
        <v/>
      </c>
      <c r="Y2269" s="8" t="e">
        <f>+VLOOKUP(M2269,[1]SKU!$B$3:$E$81,4,0)</f>
        <v>#N/A</v>
      </c>
      <c r="Z2269" s="8" t="str">
        <f t="shared" si="35"/>
        <v>FLEX</v>
      </c>
      <c r="AA2269" s="8" t="e">
        <f>+VLOOKUP(I2269,[1]SKU!$H$2:$I$97,2,0)</f>
        <v>#N/A</v>
      </c>
    </row>
    <row r="2270" spans="24:27">
      <c r="X2270" s="8" t="str">
        <f>+IFERROR(VLOOKUP(N2270,[1]Hoja1!$B$2:$F$52,4,0)*P2270,"")</f>
        <v/>
      </c>
      <c r="Y2270" s="8" t="e">
        <f>+VLOOKUP(M2270,[1]SKU!$B$3:$E$81,4,0)</f>
        <v>#N/A</v>
      </c>
      <c r="Z2270" s="8" t="str">
        <f t="shared" si="35"/>
        <v>FLEX</v>
      </c>
      <c r="AA2270" s="8" t="e">
        <f>+VLOOKUP(I2270,[1]SKU!$H$2:$I$97,2,0)</f>
        <v>#N/A</v>
      </c>
    </row>
    <row r="2271" spans="24:27">
      <c r="X2271" s="8" t="str">
        <f>+IFERROR(VLOOKUP(N2271,[1]Hoja1!$B$2:$F$52,4,0)*P2271,"")</f>
        <v/>
      </c>
      <c r="Y2271" s="8" t="e">
        <f>+VLOOKUP(M2271,[1]SKU!$B$3:$E$81,4,0)</f>
        <v>#N/A</v>
      </c>
      <c r="Z2271" s="8" t="str">
        <f t="shared" si="35"/>
        <v>FLEX</v>
      </c>
      <c r="AA2271" s="8" t="e">
        <f>+VLOOKUP(I2271,[1]SKU!$H$2:$I$97,2,0)</f>
        <v>#N/A</v>
      </c>
    </row>
    <row r="2272" spans="24:27">
      <c r="X2272" s="8" t="str">
        <f>+IFERROR(VLOOKUP(N2272,[1]Hoja1!$B$2:$F$52,4,0)*P2272,"")</f>
        <v/>
      </c>
      <c r="Y2272" s="8" t="e">
        <f>+VLOOKUP(M2272,[1]SKU!$B$3:$E$81,4,0)</f>
        <v>#N/A</v>
      </c>
      <c r="Z2272" s="8" t="str">
        <f t="shared" si="35"/>
        <v>FLEX</v>
      </c>
      <c r="AA2272" s="8" t="e">
        <f>+VLOOKUP(I2272,[1]SKU!$H$2:$I$97,2,0)</f>
        <v>#N/A</v>
      </c>
    </row>
    <row r="2273" spans="24:27">
      <c r="X2273" s="8" t="str">
        <f>+IFERROR(VLOOKUP(N2273,[1]Hoja1!$B$2:$F$52,4,0)*P2273,"")</f>
        <v/>
      </c>
      <c r="Y2273" s="8" t="e">
        <f>+VLOOKUP(M2273,[1]SKU!$B$3:$E$81,4,0)</f>
        <v>#N/A</v>
      </c>
      <c r="Z2273" s="8" t="str">
        <f t="shared" si="35"/>
        <v>FLEX</v>
      </c>
      <c r="AA2273" s="8" t="e">
        <f>+VLOOKUP(I2273,[1]SKU!$H$2:$I$97,2,0)</f>
        <v>#N/A</v>
      </c>
    </row>
    <row r="2274" spans="24:27">
      <c r="X2274" s="8" t="str">
        <f>+IFERROR(VLOOKUP(N2274,[1]Hoja1!$B$2:$F$52,4,0)*P2274,"")</f>
        <v/>
      </c>
      <c r="Y2274" s="8" t="e">
        <f>+VLOOKUP(M2274,[1]SKU!$B$3:$E$81,4,0)</f>
        <v>#N/A</v>
      </c>
      <c r="Z2274" s="8" t="str">
        <f t="shared" si="35"/>
        <v>FLEX</v>
      </c>
      <c r="AA2274" s="8" t="e">
        <f>+VLOOKUP(I2274,[1]SKU!$H$2:$I$97,2,0)</f>
        <v>#N/A</v>
      </c>
    </row>
    <row r="2275" spans="24:27">
      <c r="X2275" s="8" t="str">
        <f>+IFERROR(VLOOKUP(N2275,[1]Hoja1!$B$2:$F$52,4,0)*P2275,"")</f>
        <v/>
      </c>
      <c r="Y2275" s="8" t="e">
        <f>+VLOOKUP(M2275,[1]SKU!$B$3:$E$81,4,0)</f>
        <v>#N/A</v>
      </c>
      <c r="Z2275" s="8" t="str">
        <f t="shared" si="35"/>
        <v>FLEX</v>
      </c>
      <c r="AA2275" s="8" t="e">
        <f>+VLOOKUP(I2275,[1]SKU!$H$2:$I$97,2,0)</f>
        <v>#N/A</v>
      </c>
    </row>
    <row r="2276" spans="24:27">
      <c r="X2276" s="8" t="str">
        <f>+IFERROR(VLOOKUP(N2276,[1]Hoja1!$B$2:$F$52,4,0)*P2276,"")</f>
        <v/>
      </c>
      <c r="Y2276" s="8" t="e">
        <f>+VLOOKUP(M2276,[1]SKU!$B$3:$E$81,4,0)</f>
        <v>#N/A</v>
      </c>
      <c r="Z2276" s="8" t="str">
        <f t="shared" si="35"/>
        <v>FLEX</v>
      </c>
      <c r="AA2276" s="8" t="e">
        <f>+VLOOKUP(I2276,[1]SKU!$H$2:$I$97,2,0)</f>
        <v>#N/A</v>
      </c>
    </row>
    <row r="2277" spans="24:27">
      <c r="X2277" s="8" t="str">
        <f>+IFERROR(VLOOKUP(N2277,[1]Hoja1!$B$2:$F$52,4,0)*P2277,"")</f>
        <v/>
      </c>
      <c r="Y2277" s="8" t="e">
        <f>+VLOOKUP(M2277,[1]SKU!$B$3:$E$81,4,0)</f>
        <v>#N/A</v>
      </c>
      <c r="Z2277" s="8" t="str">
        <f t="shared" si="35"/>
        <v>FLEX</v>
      </c>
      <c r="AA2277" s="8" t="e">
        <f>+VLOOKUP(I2277,[1]SKU!$H$2:$I$97,2,0)</f>
        <v>#N/A</v>
      </c>
    </row>
    <row r="2278" spans="24:27">
      <c r="X2278" s="8" t="str">
        <f>+IFERROR(VLOOKUP(N2278,[1]Hoja1!$B$2:$F$52,4,0)*P2278,"")</f>
        <v/>
      </c>
      <c r="Y2278" s="8" t="e">
        <f>+VLOOKUP(M2278,[1]SKU!$B$3:$E$81,4,0)</f>
        <v>#N/A</v>
      </c>
      <c r="Z2278" s="8" t="str">
        <f t="shared" si="35"/>
        <v>FLEX</v>
      </c>
      <c r="AA2278" s="8" t="e">
        <f>+VLOOKUP(I2278,[1]SKU!$H$2:$I$97,2,0)</f>
        <v>#N/A</v>
      </c>
    </row>
    <row r="2279" spans="24:27">
      <c r="X2279" s="8" t="str">
        <f>+IFERROR(VLOOKUP(N2279,[1]Hoja1!$B$2:$F$52,4,0)*P2279,"")</f>
        <v/>
      </c>
      <c r="Y2279" s="8" t="e">
        <f>+VLOOKUP(M2279,[1]SKU!$B$3:$E$81,4,0)</f>
        <v>#N/A</v>
      </c>
      <c r="Z2279" s="8" t="str">
        <f t="shared" si="35"/>
        <v>FLEX</v>
      </c>
      <c r="AA2279" s="8" t="e">
        <f>+VLOOKUP(I2279,[1]SKU!$H$2:$I$97,2,0)</f>
        <v>#N/A</v>
      </c>
    </row>
    <row r="2280" spans="24:27">
      <c r="X2280" s="8" t="str">
        <f>+IFERROR(VLOOKUP(N2280,[1]Hoja1!$B$2:$F$52,4,0)*P2280,"")</f>
        <v/>
      </c>
      <c r="Y2280" s="8" t="e">
        <f>+VLOOKUP(M2280,[1]SKU!$B$3:$E$81,4,0)</f>
        <v>#N/A</v>
      </c>
      <c r="Z2280" s="8" t="str">
        <f t="shared" si="35"/>
        <v>FLEX</v>
      </c>
      <c r="AA2280" s="8" t="e">
        <f>+VLOOKUP(I2280,[1]SKU!$H$2:$I$97,2,0)</f>
        <v>#N/A</v>
      </c>
    </row>
    <row r="2281" spans="24:27">
      <c r="X2281" s="8" t="str">
        <f>+IFERROR(VLOOKUP(N2281,[1]Hoja1!$B$2:$F$52,4,0)*P2281,"")</f>
        <v/>
      </c>
      <c r="Y2281" s="8" t="e">
        <f>+VLOOKUP(M2281,[1]SKU!$B$3:$E$81,4,0)</f>
        <v>#N/A</v>
      </c>
      <c r="Z2281" s="8" t="str">
        <f t="shared" si="35"/>
        <v>FLEX</v>
      </c>
      <c r="AA2281" s="8" t="e">
        <f>+VLOOKUP(I2281,[1]SKU!$H$2:$I$97,2,0)</f>
        <v>#N/A</v>
      </c>
    </row>
    <row r="2282" spans="24:27">
      <c r="X2282" s="8" t="str">
        <f>+IFERROR(VLOOKUP(N2282,[1]Hoja1!$B$2:$F$52,4,0)*P2282,"")</f>
        <v/>
      </c>
      <c r="Y2282" s="8" t="e">
        <f>+VLOOKUP(M2282,[1]SKU!$B$3:$E$81,4,0)</f>
        <v>#N/A</v>
      </c>
      <c r="Z2282" s="8" t="str">
        <f t="shared" si="35"/>
        <v>FLEX</v>
      </c>
      <c r="AA2282" s="8" t="e">
        <f>+VLOOKUP(I2282,[1]SKU!$H$2:$I$97,2,0)</f>
        <v>#N/A</v>
      </c>
    </row>
    <row r="2283" spans="24:27">
      <c r="X2283" s="8" t="str">
        <f>+IFERROR(VLOOKUP(N2283,[1]Hoja1!$B$2:$F$52,4,0)*P2283,"")</f>
        <v/>
      </c>
      <c r="Y2283" s="8" t="e">
        <f>+VLOOKUP(M2283,[1]SKU!$B$3:$E$81,4,0)</f>
        <v>#N/A</v>
      </c>
      <c r="Z2283" s="8" t="str">
        <f t="shared" si="35"/>
        <v>FLEX</v>
      </c>
      <c r="AA2283" s="8" t="e">
        <f>+VLOOKUP(I2283,[1]SKU!$H$2:$I$97,2,0)</f>
        <v>#N/A</v>
      </c>
    </row>
    <row r="2284" spans="24:27">
      <c r="X2284" s="8" t="str">
        <f>+IFERROR(VLOOKUP(N2284,[1]Hoja1!$B$2:$F$52,4,0)*P2284,"")</f>
        <v/>
      </c>
      <c r="Y2284" s="8" t="e">
        <f>+VLOOKUP(M2284,[1]SKU!$B$3:$E$81,4,0)</f>
        <v>#N/A</v>
      </c>
      <c r="Z2284" s="8" t="str">
        <f t="shared" si="35"/>
        <v>FLEX</v>
      </c>
      <c r="AA2284" s="8" t="e">
        <f>+VLOOKUP(I2284,[1]SKU!$H$2:$I$97,2,0)</f>
        <v>#N/A</v>
      </c>
    </row>
    <row r="2285" spans="24:27">
      <c r="X2285" s="8" t="str">
        <f>+IFERROR(VLOOKUP(N2285,[1]Hoja1!$B$2:$F$52,4,0)*P2285,"")</f>
        <v/>
      </c>
      <c r="Y2285" s="8" t="e">
        <f>+VLOOKUP(M2285,[1]SKU!$B$3:$E$81,4,0)</f>
        <v>#N/A</v>
      </c>
      <c r="Z2285" s="8" t="str">
        <f t="shared" si="35"/>
        <v>FLEX</v>
      </c>
      <c r="AA2285" s="8" t="e">
        <f>+VLOOKUP(I2285,[1]SKU!$H$2:$I$97,2,0)</f>
        <v>#N/A</v>
      </c>
    </row>
    <row r="2286" spans="24:27">
      <c r="X2286" s="8" t="str">
        <f>+IFERROR(VLOOKUP(N2286,[1]Hoja1!$B$2:$F$52,4,0)*P2286,"")</f>
        <v/>
      </c>
      <c r="Y2286" s="8" t="e">
        <f>+VLOOKUP(M2286,[1]SKU!$B$3:$E$81,4,0)</f>
        <v>#N/A</v>
      </c>
      <c r="Z2286" s="8" t="str">
        <f t="shared" si="35"/>
        <v>FLEX</v>
      </c>
      <c r="AA2286" s="8" t="e">
        <f>+VLOOKUP(I2286,[1]SKU!$H$2:$I$97,2,0)</f>
        <v>#N/A</v>
      </c>
    </row>
    <row r="2287" spans="24:27">
      <c r="X2287" s="8" t="str">
        <f>+IFERROR(VLOOKUP(N2287,[1]Hoja1!$B$2:$F$52,4,0)*P2287,"")</f>
        <v/>
      </c>
      <c r="Y2287" s="8" t="e">
        <f>+VLOOKUP(M2287,[1]SKU!$B$3:$E$81,4,0)</f>
        <v>#N/A</v>
      </c>
      <c r="Z2287" s="8" t="str">
        <f t="shared" si="35"/>
        <v>FLEX</v>
      </c>
      <c r="AA2287" s="8" t="e">
        <f>+VLOOKUP(I2287,[1]SKU!$H$2:$I$97,2,0)</f>
        <v>#N/A</v>
      </c>
    </row>
    <row r="2288" spans="24:27">
      <c r="X2288" s="8" t="str">
        <f>+IFERROR(VLOOKUP(N2288,[1]Hoja1!$B$2:$F$52,4,0)*P2288,"")</f>
        <v/>
      </c>
      <c r="Y2288" s="8" t="e">
        <f>+VLOOKUP(M2288,[1]SKU!$B$3:$E$81,4,0)</f>
        <v>#N/A</v>
      </c>
      <c r="Z2288" s="8" t="str">
        <f t="shared" si="35"/>
        <v>FLEX</v>
      </c>
      <c r="AA2288" s="8" t="e">
        <f>+VLOOKUP(I2288,[1]SKU!$H$2:$I$97,2,0)</f>
        <v>#N/A</v>
      </c>
    </row>
    <row r="2289" spans="24:27">
      <c r="X2289" s="8" t="str">
        <f>+IFERROR(VLOOKUP(N2289,[1]Hoja1!$B$2:$F$52,4,0)*P2289,"")</f>
        <v/>
      </c>
      <c r="Y2289" s="8" t="e">
        <f>+VLOOKUP(M2289,[1]SKU!$B$3:$E$81,4,0)</f>
        <v>#N/A</v>
      </c>
      <c r="Z2289" s="8" t="str">
        <f t="shared" si="35"/>
        <v>FLEX</v>
      </c>
      <c r="AA2289" s="8" t="e">
        <f>+VLOOKUP(I2289,[1]SKU!$H$2:$I$97,2,0)</f>
        <v>#N/A</v>
      </c>
    </row>
    <row r="2290" spans="24:27">
      <c r="X2290" s="8" t="str">
        <f>+IFERROR(VLOOKUP(N2290,[1]Hoja1!$B$2:$F$52,4,0)*P2290,"")</f>
        <v/>
      </c>
      <c r="Y2290" s="8" t="e">
        <f>+VLOOKUP(M2290,[1]SKU!$B$3:$E$81,4,0)</f>
        <v>#N/A</v>
      </c>
      <c r="Z2290" s="8" t="str">
        <f t="shared" si="35"/>
        <v>FLEX</v>
      </c>
      <c r="AA2290" s="8" t="e">
        <f>+VLOOKUP(I2290,[1]SKU!$H$2:$I$97,2,0)</f>
        <v>#N/A</v>
      </c>
    </row>
    <row r="2291" spans="24:27">
      <c r="X2291" s="8" t="str">
        <f>+IFERROR(VLOOKUP(N2291,[1]Hoja1!$B$2:$F$52,4,0)*P2291,"")</f>
        <v/>
      </c>
      <c r="Y2291" s="8" t="e">
        <f>+VLOOKUP(M2291,[1]SKU!$B$3:$E$81,4,0)</f>
        <v>#N/A</v>
      </c>
      <c r="Z2291" s="8" t="str">
        <f t="shared" si="35"/>
        <v>FLEX</v>
      </c>
      <c r="AA2291" s="8" t="e">
        <f>+VLOOKUP(I2291,[1]SKU!$H$2:$I$97,2,0)</f>
        <v>#N/A</v>
      </c>
    </row>
    <row r="2292" spans="24:27">
      <c r="X2292" s="8" t="str">
        <f>+IFERROR(VLOOKUP(N2292,[1]Hoja1!$B$2:$F$52,4,0)*P2292,"")</f>
        <v/>
      </c>
      <c r="Y2292" s="8" t="e">
        <f>+VLOOKUP(M2292,[1]SKU!$B$3:$E$81,4,0)</f>
        <v>#N/A</v>
      </c>
      <c r="Z2292" s="8" t="str">
        <f t="shared" si="35"/>
        <v>FLEX</v>
      </c>
      <c r="AA2292" s="8" t="e">
        <f>+VLOOKUP(I2292,[1]SKU!$H$2:$I$97,2,0)</f>
        <v>#N/A</v>
      </c>
    </row>
    <row r="2293" spans="24:27">
      <c r="X2293" s="8" t="str">
        <f>+IFERROR(VLOOKUP(N2293,[1]Hoja1!$B$2:$F$52,4,0)*P2293,"")</f>
        <v/>
      </c>
      <c r="Y2293" s="8" t="e">
        <f>+VLOOKUP(M2293,[1]SKU!$B$3:$E$81,4,0)</f>
        <v>#N/A</v>
      </c>
      <c r="Z2293" s="8" t="str">
        <f t="shared" si="35"/>
        <v>FLEX</v>
      </c>
      <c r="AA2293" s="8" t="e">
        <f>+VLOOKUP(I2293,[1]SKU!$H$2:$I$97,2,0)</f>
        <v>#N/A</v>
      </c>
    </row>
    <row r="2294" spans="24:27">
      <c r="X2294" s="8" t="str">
        <f>+IFERROR(VLOOKUP(N2294,[1]Hoja1!$B$2:$F$52,4,0)*P2294,"")</f>
        <v/>
      </c>
      <c r="Y2294" s="8" t="e">
        <f>+VLOOKUP(M2294,[1]SKU!$B$3:$E$81,4,0)</f>
        <v>#N/A</v>
      </c>
      <c r="Z2294" s="8" t="str">
        <f t="shared" si="35"/>
        <v>FLEX</v>
      </c>
      <c r="AA2294" s="8" t="e">
        <f>+VLOOKUP(I2294,[1]SKU!$H$2:$I$97,2,0)</f>
        <v>#N/A</v>
      </c>
    </row>
    <row r="2295" spans="24:27">
      <c r="X2295" s="8" t="str">
        <f>+IFERROR(VLOOKUP(N2295,[1]Hoja1!$B$2:$F$52,4,0)*P2295,"")</f>
        <v/>
      </c>
      <c r="Y2295" s="8" t="e">
        <f>+VLOOKUP(M2295,[1]SKU!$B$3:$E$81,4,0)</f>
        <v>#N/A</v>
      </c>
      <c r="Z2295" s="8" t="str">
        <f t="shared" si="35"/>
        <v>FLEX</v>
      </c>
      <c r="AA2295" s="8" t="e">
        <f>+VLOOKUP(I2295,[1]SKU!$H$2:$I$97,2,0)</f>
        <v>#N/A</v>
      </c>
    </row>
    <row r="2296" spans="24:27">
      <c r="X2296" s="8" t="str">
        <f>+IFERROR(VLOOKUP(N2296,[1]Hoja1!$B$2:$F$52,4,0)*P2296,"")</f>
        <v/>
      </c>
      <c r="Y2296" s="8" t="e">
        <f>+VLOOKUP(M2296,[1]SKU!$B$3:$E$81,4,0)</f>
        <v>#N/A</v>
      </c>
      <c r="Z2296" s="8" t="str">
        <f t="shared" si="35"/>
        <v>FLEX</v>
      </c>
      <c r="AA2296" s="8" t="e">
        <f>+VLOOKUP(I2296,[1]SKU!$H$2:$I$97,2,0)</f>
        <v>#N/A</v>
      </c>
    </row>
    <row r="2297" spans="24:27">
      <c r="X2297" s="8" t="str">
        <f>+IFERROR(VLOOKUP(N2297,[1]Hoja1!$B$2:$F$52,4,0)*P2297,"")</f>
        <v/>
      </c>
      <c r="Y2297" s="8" t="e">
        <f>+VLOOKUP(M2297,[1]SKU!$B$3:$E$81,4,0)</f>
        <v>#N/A</v>
      </c>
      <c r="Z2297" s="8" t="str">
        <f t="shared" si="35"/>
        <v>FLEX</v>
      </c>
      <c r="AA2297" s="8" t="e">
        <f>+VLOOKUP(I2297,[1]SKU!$H$2:$I$97,2,0)</f>
        <v>#N/A</v>
      </c>
    </row>
    <row r="2298" spans="24:27">
      <c r="X2298" s="8" t="str">
        <f>+IFERROR(VLOOKUP(N2298,[1]Hoja1!$B$2:$F$52,4,0)*P2298,"")</f>
        <v/>
      </c>
      <c r="Y2298" s="8" t="e">
        <f>+VLOOKUP(M2298,[1]SKU!$B$3:$E$81,4,0)</f>
        <v>#N/A</v>
      </c>
      <c r="Z2298" s="8" t="str">
        <f t="shared" si="35"/>
        <v>FLEX</v>
      </c>
      <c r="AA2298" s="8" t="e">
        <f>+VLOOKUP(I2298,[1]SKU!$H$2:$I$97,2,0)</f>
        <v>#N/A</v>
      </c>
    </row>
    <row r="2299" spans="24:27">
      <c r="X2299" s="8" t="str">
        <f>+IFERROR(VLOOKUP(N2299,[1]Hoja1!$B$2:$F$52,4,0)*P2299,"")</f>
        <v/>
      </c>
      <c r="Y2299" s="8" t="e">
        <f>+VLOOKUP(M2299,[1]SKU!$B$3:$E$81,4,0)</f>
        <v>#N/A</v>
      </c>
      <c r="Z2299" s="8" t="str">
        <f t="shared" si="35"/>
        <v>FLEX</v>
      </c>
      <c r="AA2299" s="8" t="e">
        <f>+VLOOKUP(I2299,[1]SKU!$H$2:$I$97,2,0)</f>
        <v>#N/A</v>
      </c>
    </row>
    <row r="2300" spans="24:27">
      <c r="X2300" s="8" t="str">
        <f>+IFERROR(VLOOKUP(N2300,[1]Hoja1!$B$2:$F$52,4,0)*P2300,"")</f>
        <v/>
      </c>
      <c r="Y2300" s="8" t="e">
        <f>+VLOOKUP(M2300,[1]SKU!$B$3:$E$81,4,0)</f>
        <v>#N/A</v>
      </c>
      <c r="Z2300" s="8" t="str">
        <f t="shared" si="35"/>
        <v>FLEX</v>
      </c>
      <c r="AA2300" s="8" t="e">
        <f>+VLOOKUP(I2300,[1]SKU!$H$2:$I$97,2,0)</f>
        <v>#N/A</v>
      </c>
    </row>
    <row r="2301" spans="24:27">
      <c r="X2301" s="8" t="str">
        <f>+IFERROR(VLOOKUP(N2301,[1]Hoja1!$B$2:$F$52,4,0)*P2301,"")</f>
        <v/>
      </c>
      <c r="Y2301" s="8" t="e">
        <f>+VLOOKUP(M2301,[1]SKU!$B$3:$E$81,4,0)</f>
        <v>#N/A</v>
      </c>
      <c r="Z2301" s="8" t="str">
        <f t="shared" si="35"/>
        <v>FLEX</v>
      </c>
      <c r="AA2301" s="8" t="e">
        <f>+VLOOKUP(I2301,[1]SKU!$H$2:$I$97,2,0)</f>
        <v>#N/A</v>
      </c>
    </row>
    <row r="2302" spans="24:27">
      <c r="X2302" s="8" t="str">
        <f>+IFERROR(VLOOKUP(N2302,[1]Hoja1!$B$2:$F$52,4,0)*P2302,"")</f>
        <v/>
      </c>
      <c r="Y2302" s="8" t="e">
        <f>+VLOOKUP(M2302,[1]SKU!$B$3:$E$81,4,0)</f>
        <v>#N/A</v>
      </c>
      <c r="Z2302" s="8" t="str">
        <f t="shared" si="35"/>
        <v>FLEX</v>
      </c>
      <c r="AA2302" s="8" t="e">
        <f>+VLOOKUP(I2302,[1]SKU!$H$2:$I$97,2,0)</f>
        <v>#N/A</v>
      </c>
    </row>
    <row r="2303" spans="24:27">
      <c r="X2303" s="8" t="str">
        <f>+IFERROR(VLOOKUP(N2303,[1]Hoja1!$B$2:$F$52,4,0)*P2303,"")</f>
        <v/>
      </c>
      <c r="Y2303" s="8" t="e">
        <f>+VLOOKUP(M2303,[1]SKU!$B$3:$E$81,4,0)</f>
        <v>#N/A</v>
      </c>
      <c r="Z2303" s="8" t="str">
        <f t="shared" si="35"/>
        <v>FLEX</v>
      </c>
      <c r="AA2303" s="8" t="e">
        <f>+VLOOKUP(I2303,[1]SKU!$H$2:$I$97,2,0)</f>
        <v>#N/A</v>
      </c>
    </row>
    <row r="2304" spans="24:27">
      <c r="X2304" s="8" t="str">
        <f>+IFERROR(VLOOKUP(N2304,[1]Hoja1!$B$2:$F$52,4,0)*P2304,"")</f>
        <v/>
      </c>
      <c r="Y2304" s="8" t="e">
        <f>+VLOOKUP(M2304,[1]SKU!$B$3:$E$81,4,0)</f>
        <v>#N/A</v>
      </c>
      <c r="Z2304" s="8" t="str">
        <f t="shared" si="35"/>
        <v>FLEX</v>
      </c>
      <c r="AA2304" s="8" t="e">
        <f>+VLOOKUP(I2304,[1]SKU!$H$2:$I$97,2,0)</f>
        <v>#N/A</v>
      </c>
    </row>
    <row r="2305" spans="24:27">
      <c r="X2305" s="8" t="str">
        <f>+IFERROR(VLOOKUP(N2305,[1]Hoja1!$B$2:$F$52,4,0)*P2305,"")</f>
        <v/>
      </c>
      <c r="Y2305" s="8" t="e">
        <f>+VLOOKUP(M2305,[1]SKU!$B$3:$E$81,4,0)</f>
        <v>#N/A</v>
      </c>
      <c r="Z2305" s="8" t="str">
        <f t="shared" si="35"/>
        <v>FLEX</v>
      </c>
      <c r="AA2305" s="8" t="e">
        <f>+VLOOKUP(I2305,[1]SKU!$H$2:$I$97,2,0)</f>
        <v>#N/A</v>
      </c>
    </row>
    <row r="2306" spans="24:27">
      <c r="X2306" s="8" t="str">
        <f>+IFERROR(VLOOKUP(N2306,[1]Hoja1!$B$2:$F$52,4,0)*P2306,"")</f>
        <v/>
      </c>
      <c r="Y2306" s="8" t="e">
        <f>+VLOOKUP(M2306,[1]SKU!$B$3:$E$81,4,0)</f>
        <v>#N/A</v>
      </c>
      <c r="Z2306" s="8" t="str">
        <f t="shared" si="35"/>
        <v>FLEX</v>
      </c>
      <c r="AA2306" s="8" t="e">
        <f>+VLOOKUP(I2306,[1]SKU!$H$2:$I$97,2,0)</f>
        <v>#N/A</v>
      </c>
    </row>
    <row r="2307" spans="24:27">
      <c r="X2307" s="8" t="str">
        <f>+IFERROR(VLOOKUP(N2307,[1]Hoja1!$B$2:$F$52,4,0)*P2307,"")</f>
        <v/>
      </c>
      <c r="Y2307" s="8" t="e">
        <f>+VLOOKUP(M2307,[1]SKU!$B$3:$E$81,4,0)</f>
        <v>#N/A</v>
      </c>
      <c r="Z2307" s="8" t="str">
        <f t="shared" ref="Z2307:Z2370" si="36">+IF(J2307="VB01                          ","BEES","FLEX")</f>
        <v>FLEX</v>
      </c>
      <c r="AA2307" s="8" t="e">
        <f>+VLOOKUP(I2307,[1]SKU!$H$2:$I$97,2,0)</f>
        <v>#N/A</v>
      </c>
    </row>
    <row r="2308" spans="24:27">
      <c r="X2308" s="8" t="str">
        <f>+IFERROR(VLOOKUP(N2308,[1]Hoja1!$B$2:$F$52,4,0)*P2308,"")</f>
        <v/>
      </c>
      <c r="Y2308" s="8" t="e">
        <f>+VLOOKUP(M2308,[1]SKU!$B$3:$E$81,4,0)</f>
        <v>#N/A</v>
      </c>
      <c r="Z2308" s="8" t="str">
        <f t="shared" si="36"/>
        <v>FLEX</v>
      </c>
      <c r="AA2308" s="8" t="e">
        <f>+VLOOKUP(I2308,[1]SKU!$H$2:$I$97,2,0)</f>
        <v>#N/A</v>
      </c>
    </row>
    <row r="2309" spans="24:27">
      <c r="X2309" s="8" t="str">
        <f>+IFERROR(VLOOKUP(N2309,[1]Hoja1!$B$2:$F$52,4,0)*P2309,"")</f>
        <v/>
      </c>
      <c r="Y2309" s="8" t="e">
        <f>+VLOOKUP(M2309,[1]SKU!$B$3:$E$81,4,0)</f>
        <v>#N/A</v>
      </c>
      <c r="Z2309" s="8" t="str">
        <f t="shared" si="36"/>
        <v>FLEX</v>
      </c>
      <c r="AA2309" s="8" t="e">
        <f>+VLOOKUP(I2309,[1]SKU!$H$2:$I$97,2,0)</f>
        <v>#N/A</v>
      </c>
    </row>
    <row r="2310" spans="24:27">
      <c r="X2310" s="8" t="str">
        <f>+IFERROR(VLOOKUP(N2310,[1]Hoja1!$B$2:$F$52,4,0)*P2310,"")</f>
        <v/>
      </c>
      <c r="Y2310" s="8" t="e">
        <f>+VLOOKUP(M2310,[1]SKU!$B$3:$E$81,4,0)</f>
        <v>#N/A</v>
      </c>
      <c r="Z2310" s="8" t="str">
        <f t="shared" si="36"/>
        <v>FLEX</v>
      </c>
      <c r="AA2310" s="8" t="e">
        <f>+VLOOKUP(I2310,[1]SKU!$H$2:$I$97,2,0)</f>
        <v>#N/A</v>
      </c>
    </row>
    <row r="2311" spans="24:27">
      <c r="X2311" s="8" t="str">
        <f>+IFERROR(VLOOKUP(N2311,[1]Hoja1!$B$2:$F$52,4,0)*P2311,"")</f>
        <v/>
      </c>
      <c r="Y2311" s="8" t="e">
        <f>+VLOOKUP(M2311,[1]SKU!$B$3:$E$81,4,0)</f>
        <v>#N/A</v>
      </c>
      <c r="Z2311" s="8" t="str">
        <f t="shared" si="36"/>
        <v>FLEX</v>
      </c>
      <c r="AA2311" s="8" t="e">
        <f>+VLOOKUP(I2311,[1]SKU!$H$2:$I$97,2,0)</f>
        <v>#N/A</v>
      </c>
    </row>
    <row r="2312" spans="24:27">
      <c r="X2312" s="8" t="str">
        <f>+IFERROR(VLOOKUP(N2312,[1]Hoja1!$B$2:$F$52,4,0)*P2312,"")</f>
        <v/>
      </c>
      <c r="Y2312" s="8" t="e">
        <f>+VLOOKUP(M2312,[1]SKU!$B$3:$E$81,4,0)</f>
        <v>#N/A</v>
      </c>
      <c r="Z2312" s="8" t="str">
        <f t="shared" si="36"/>
        <v>FLEX</v>
      </c>
      <c r="AA2312" s="8" t="e">
        <f>+VLOOKUP(I2312,[1]SKU!$H$2:$I$97,2,0)</f>
        <v>#N/A</v>
      </c>
    </row>
    <row r="2313" spans="24:27">
      <c r="X2313" s="8" t="str">
        <f>+IFERROR(VLOOKUP(N2313,[1]Hoja1!$B$2:$F$52,4,0)*P2313,"")</f>
        <v/>
      </c>
      <c r="Y2313" s="8" t="e">
        <f>+VLOOKUP(M2313,[1]SKU!$B$3:$E$81,4,0)</f>
        <v>#N/A</v>
      </c>
      <c r="Z2313" s="8" t="str">
        <f t="shared" si="36"/>
        <v>FLEX</v>
      </c>
      <c r="AA2313" s="8" t="e">
        <f>+VLOOKUP(I2313,[1]SKU!$H$2:$I$97,2,0)</f>
        <v>#N/A</v>
      </c>
    </row>
    <row r="2314" spans="24:27">
      <c r="X2314" s="8" t="str">
        <f>+IFERROR(VLOOKUP(N2314,[1]Hoja1!$B$2:$F$52,4,0)*P2314,"")</f>
        <v/>
      </c>
      <c r="Y2314" s="8" t="e">
        <f>+VLOOKUP(M2314,[1]SKU!$B$3:$E$81,4,0)</f>
        <v>#N/A</v>
      </c>
      <c r="Z2314" s="8" t="str">
        <f t="shared" si="36"/>
        <v>FLEX</v>
      </c>
      <c r="AA2314" s="8" t="e">
        <f>+VLOOKUP(I2314,[1]SKU!$H$2:$I$97,2,0)</f>
        <v>#N/A</v>
      </c>
    </row>
    <row r="2315" spans="24:27">
      <c r="X2315" s="8" t="str">
        <f>+IFERROR(VLOOKUP(N2315,[1]Hoja1!$B$2:$F$52,4,0)*P2315,"")</f>
        <v/>
      </c>
      <c r="Y2315" s="8" t="e">
        <f>+VLOOKUP(M2315,[1]SKU!$B$3:$E$81,4,0)</f>
        <v>#N/A</v>
      </c>
      <c r="Z2315" s="8" t="str">
        <f t="shared" si="36"/>
        <v>FLEX</v>
      </c>
      <c r="AA2315" s="8" t="e">
        <f>+VLOOKUP(I2315,[1]SKU!$H$2:$I$97,2,0)</f>
        <v>#N/A</v>
      </c>
    </row>
    <row r="2316" spans="24:27">
      <c r="X2316" s="8" t="str">
        <f>+IFERROR(VLOOKUP(N2316,[1]Hoja1!$B$2:$F$52,4,0)*P2316,"")</f>
        <v/>
      </c>
      <c r="Y2316" s="8" t="e">
        <f>+VLOOKUP(M2316,[1]SKU!$B$3:$E$81,4,0)</f>
        <v>#N/A</v>
      </c>
      <c r="Z2316" s="8" t="str">
        <f t="shared" si="36"/>
        <v>FLEX</v>
      </c>
      <c r="AA2316" s="8" t="e">
        <f>+VLOOKUP(I2316,[1]SKU!$H$2:$I$97,2,0)</f>
        <v>#N/A</v>
      </c>
    </row>
    <row r="2317" spans="24:27">
      <c r="X2317" s="8" t="str">
        <f>+IFERROR(VLOOKUP(N2317,[1]Hoja1!$B$2:$F$52,4,0)*P2317,"")</f>
        <v/>
      </c>
      <c r="Y2317" s="8" t="e">
        <f>+VLOOKUP(M2317,[1]SKU!$B$3:$E$81,4,0)</f>
        <v>#N/A</v>
      </c>
      <c r="Z2317" s="8" t="str">
        <f t="shared" si="36"/>
        <v>FLEX</v>
      </c>
      <c r="AA2317" s="8" t="e">
        <f>+VLOOKUP(I2317,[1]SKU!$H$2:$I$97,2,0)</f>
        <v>#N/A</v>
      </c>
    </row>
    <row r="2318" spans="24:27">
      <c r="X2318" s="8" t="str">
        <f>+IFERROR(VLOOKUP(N2318,[1]Hoja1!$B$2:$F$52,4,0)*P2318,"")</f>
        <v/>
      </c>
      <c r="Y2318" s="8" t="e">
        <f>+VLOOKUP(M2318,[1]SKU!$B$3:$E$81,4,0)</f>
        <v>#N/A</v>
      </c>
      <c r="Z2318" s="8" t="str">
        <f t="shared" si="36"/>
        <v>FLEX</v>
      </c>
      <c r="AA2318" s="8" t="e">
        <f>+VLOOKUP(I2318,[1]SKU!$H$2:$I$97,2,0)</f>
        <v>#N/A</v>
      </c>
    </row>
    <row r="2319" spans="24:27">
      <c r="X2319" s="8" t="str">
        <f>+IFERROR(VLOOKUP(N2319,[1]Hoja1!$B$2:$F$52,4,0)*P2319,"")</f>
        <v/>
      </c>
      <c r="Y2319" s="8" t="e">
        <f>+VLOOKUP(M2319,[1]SKU!$B$3:$E$81,4,0)</f>
        <v>#N/A</v>
      </c>
      <c r="Z2319" s="8" t="str">
        <f t="shared" si="36"/>
        <v>FLEX</v>
      </c>
      <c r="AA2319" s="8" t="e">
        <f>+VLOOKUP(I2319,[1]SKU!$H$2:$I$97,2,0)</f>
        <v>#N/A</v>
      </c>
    </row>
    <row r="2320" spans="24:27">
      <c r="X2320" s="8" t="str">
        <f>+IFERROR(VLOOKUP(N2320,[1]Hoja1!$B$2:$F$52,4,0)*P2320,"")</f>
        <v/>
      </c>
      <c r="Y2320" s="8" t="e">
        <f>+VLOOKUP(M2320,[1]SKU!$B$3:$E$81,4,0)</f>
        <v>#N/A</v>
      </c>
      <c r="Z2320" s="8" t="str">
        <f t="shared" si="36"/>
        <v>FLEX</v>
      </c>
      <c r="AA2320" s="8" t="e">
        <f>+VLOOKUP(I2320,[1]SKU!$H$2:$I$97,2,0)</f>
        <v>#N/A</v>
      </c>
    </row>
    <row r="2321" spans="24:27">
      <c r="X2321" s="8" t="str">
        <f>+IFERROR(VLOOKUP(N2321,[1]Hoja1!$B$2:$F$52,4,0)*P2321,"")</f>
        <v/>
      </c>
      <c r="Y2321" s="8" t="e">
        <f>+VLOOKUP(M2321,[1]SKU!$B$3:$E$81,4,0)</f>
        <v>#N/A</v>
      </c>
      <c r="Z2321" s="8" t="str">
        <f t="shared" si="36"/>
        <v>FLEX</v>
      </c>
      <c r="AA2321" s="8" t="e">
        <f>+VLOOKUP(I2321,[1]SKU!$H$2:$I$97,2,0)</f>
        <v>#N/A</v>
      </c>
    </row>
    <row r="2322" spans="24:27">
      <c r="X2322" s="8" t="str">
        <f>+IFERROR(VLOOKUP(N2322,[1]Hoja1!$B$2:$F$52,4,0)*P2322,"")</f>
        <v/>
      </c>
      <c r="Y2322" s="8" t="e">
        <f>+VLOOKUP(M2322,[1]SKU!$B$3:$E$81,4,0)</f>
        <v>#N/A</v>
      </c>
      <c r="Z2322" s="8" t="str">
        <f t="shared" si="36"/>
        <v>FLEX</v>
      </c>
      <c r="AA2322" s="8" t="e">
        <f>+VLOOKUP(I2322,[1]SKU!$H$2:$I$97,2,0)</f>
        <v>#N/A</v>
      </c>
    </row>
    <row r="2323" spans="24:27">
      <c r="X2323" s="8" t="str">
        <f>+IFERROR(VLOOKUP(N2323,[1]Hoja1!$B$2:$F$52,4,0)*P2323,"")</f>
        <v/>
      </c>
      <c r="Y2323" s="8" t="e">
        <f>+VLOOKUP(M2323,[1]SKU!$B$3:$E$81,4,0)</f>
        <v>#N/A</v>
      </c>
      <c r="Z2323" s="8" t="str">
        <f t="shared" si="36"/>
        <v>FLEX</v>
      </c>
      <c r="AA2323" s="8" t="e">
        <f>+VLOOKUP(I2323,[1]SKU!$H$2:$I$97,2,0)</f>
        <v>#N/A</v>
      </c>
    </row>
    <row r="2324" spans="24:27">
      <c r="X2324" s="8" t="str">
        <f>+IFERROR(VLOOKUP(N2324,[1]Hoja1!$B$2:$F$52,4,0)*P2324,"")</f>
        <v/>
      </c>
      <c r="Y2324" s="8" t="e">
        <f>+VLOOKUP(M2324,[1]SKU!$B$3:$E$81,4,0)</f>
        <v>#N/A</v>
      </c>
      <c r="Z2324" s="8" t="str">
        <f t="shared" si="36"/>
        <v>FLEX</v>
      </c>
      <c r="AA2324" s="8" t="e">
        <f>+VLOOKUP(I2324,[1]SKU!$H$2:$I$97,2,0)</f>
        <v>#N/A</v>
      </c>
    </row>
    <row r="2325" spans="24:27">
      <c r="X2325" s="8" t="str">
        <f>+IFERROR(VLOOKUP(N2325,[1]Hoja1!$B$2:$F$52,4,0)*P2325,"")</f>
        <v/>
      </c>
      <c r="Y2325" s="8" t="e">
        <f>+VLOOKUP(M2325,[1]SKU!$B$3:$E$81,4,0)</f>
        <v>#N/A</v>
      </c>
      <c r="Z2325" s="8" t="str">
        <f t="shared" si="36"/>
        <v>FLEX</v>
      </c>
      <c r="AA2325" s="8" t="e">
        <f>+VLOOKUP(I2325,[1]SKU!$H$2:$I$97,2,0)</f>
        <v>#N/A</v>
      </c>
    </row>
    <row r="2326" spans="24:27">
      <c r="X2326" s="8" t="str">
        <f>+IFERROR(VLOOKUP(N2326,[1]Hoja1!$B$2:$F$52,4,0)*P2326,"")</f>
        <v/>
      </c>
      <c r="Y2326" s="8" t="e">
        <f>+VLOOKUP(M2326,[1]SKU!$B$3:$E$81,4,0)</f>
        <v>#N/A</v>
      </c>
      <c r="Z2326" s="8" t="str">
        <f t="shared" si="36"/>
        <v>FLEX</v>
      </c>
      <c r="AA2326" s="8" t="e">
        <f>+VLOOKUP(I2326,[1]SKU!$H$2:$I$97,2,0)</f>
        <v>#N/A</v>
      </c>
    </row>
    <row r="2327" spans="24:27">
      <c r="X2327" s="8" t="str">
        <f>+IFERROR(VLOOKUP(N2327,[1]Hoja1!$B$2:$F$52,4,0)*P2327,"")</f>
        <v/>
      </c>
      <c r="Y2327" s="8" t="e">
        <f>+VLOOKUP(M2327,[1]SKU!$B$3:$E$81,4,0)</f>
        <v>#N/A</v>
      </c>
      <c r="Z2327" s="8" t="str">
        <f t="shared" si="36"/>
        <v>FLEX</v>
      </c>
      <c r="AA2327" s="8" t="e">
        <f>+VLOOKUP(I2327,[1]SKU!$H$2:$I$97,2,0)</f>
        <v>#N/A</v>
      </c>
    </row>
    <row r="2328" spans="24:27">
      <c r="X2328" s="8" t="str">
        <f>+IFERROR(VLOOKUP(N2328,[1]Hoja1!$B$2:$F$52,4,0)*P2328,"")</f>
        <v/>
      </c>
      <c r="Y2328" s="8" t="e">
        <f>+VLOOKUP(M2328,[1]SKU!$B$3:$E$81,4,0)</f>
        <v>#N/A</v>
      </c>
      <c r="Z2328" s="8" t="str">
        <f t="shared" si="36"/>
        <v>FLEX</v>
      </c>
      <c r="AA2328" s="8" t="e">
        <f>+VLOOKUP(I2328,[1]SKU!$H$2:$I$97,2,0)</f>
        <v>#N/A</v>
      </c>
    </row>
    <row r="2329" spans="24:27">
      <c r="X2329" s="8" t="str">
        <f>+IFERROR(VLOOKUP(N2329,[1]Hoja1!$B$2:$F$52,4,0)*P2329,"")</f>
        <v/>
      </c>
      <c r="Y2329" s="8" t="e">
        <f>+VLOOKUP(M2329,[1]SKU!$B$3:$E$81,4,0)</f>
        <v>#N/A</v>
      </c>
      <c r="Z2329" s="8" t="str">
        <f t="shared" si="36"/>
        <v>FLEX</v>
      </c>
      <c r="AA2329" s="8" t="e">
        <f>+VLOOKUP(I2329,[1]SKU!$H$2:$I$97,2,0)</f>
        <v>#N/A</v>
      </c>
    </row>
    <row r="2330" spans="24:27">
      <c r="X2330" s="8" t="str">
        <f>+IFERROR(VLOOKUP(N2330,[1]Hoja1!$B$2:$F$52,4,0)*P2330,"")</f>
        <v/>
      </c>
      <c r="Y2330" s="8" t="e">
        <f>+VLOOKUP(M2330,[1]SKU!$B$3:$E$81,4,0)</f>
        <v>#N/A</v>
      </c>
      <c r="Z2330" s="8" t="str">
        <f t="shared" si="36"/>
        <v>FLEX</v>
      </c>
      <c r="AA2330" s="8" t="e">
        <f>+VLOOKUP(I2330,[1]SKU!$H$2:$I$97,2,0)</f>
        <v>#N/A</v>
      </c>
    </row>
    <row r="2331" spans="24:27">
      <c r="X2331" s="8" t="str">
        <f>+IFERROR(VLOOKUP(N2331,[1]Hoja1!$B$2:$F$52,4,0)*P2331,"")</f>
        <v/>
      </c>
      <c r="Y2331" s="8" t="e">
        <f>+VLOOKUP(M2331,[1]SKU!$B$3:$E$81,4,0)</f>
        <v>#N/A</v>
      </c>
      <c r="Z2331" s="8" t="str">
        <f t="shared" si="36"/>
        <v>FLEX</v>
      </c>
      <c r="AA2331" s="8" t="e">
        <f>+VLOOKUP(I2331,[1]SKU!$H$2:$I$97,2,0)</f>
        <v>#N/A</v>
      </c>
    </row>
    <row r="2332" spans="24:27">
      <c r="X2332" s="8" t="str">
        <f>+IFERROR(VLOOKUP(N2332,[1]Hoja1!$B$2:$F$52,4,0)*P2332,"")</f>
        <v/>
      </c>
      <c r="Y2332" s="8" t="e">
        <f>+VLOOKUP(M2332,[1]SKU!$B$3:$E$81,4,0)</f>
        <v>#N/A</v>
      </c>
      <c r="Z2332" s="8" t="str">
        <f t="shared" si="36"/>
        <v>FLEX</v>
      </c>
      <c r="AA2332" s="8" t="e">
        <f>+VLOOKUP(I2332,[1]SKU!$H$2:$I$97,2,0)</f>
        <v>#N/A</v>
      </c>
    </row>
    <row r="2333" spans="24:27">
      <c r="X2333" s="8" t="str">
        <f>+IFERROR(VLOOKUP(N2333,[1]Hoja1!$B$2:$F$52,4,0)*P2333,"")</f>
        <v/>
      </c>
      <c r="Y2333" s="8" t="e">
        <f>+VLOOKUP(M2333,[1]SKU!$B$3:$E$81,4,0)</f>
        <v>#N/A</v>
      </c>
      <c r="Z2333" s="8" t="str">
        <f t="shared" si="36"/>
        <v>FLEX</v>
      </c>
      <c r="AA2333" s="8" t="e">
        <f>+VLOOKUP(I2333,[1]SKU!$H$2:$I$97,2,0)</f>
        <v>#N/A</v>
      </c>
    </row>
    <row r="2334" spans="24:27">
      <c r="X2334" s="8" t="str">
        <f>+IFERROR(VLOOKUP(N2334,[1]Hoja1!$B$2:$F$52,4,0)*P2334,"")</f>
        <v/>
      </c>
      <c r="Y2334" s="8" t="e">
        <f>+VLOOKUP(M2334,[1]SKU!$B$3:$E$81,4,0)</f>
        <v>#N/A</v>
      </c>
      <c r="Z2334" s="8" t="str">
        <f t="shared" si="36"/>
        <v>FLEX</v>
      </c>
      <c r="AA2334" s="8" t="e">
        <f>+VLOOKUP(I2334,[1]SKU!$H$2:$I$97,2,0)</f>
        <v>#N/A</v>
      </c>
    </row>
    <row r="2335" spans="24:27">
      <c r="X2335" s="8" t="str">
        <f>+IFERROR(VLOOKUP(N2335,[1]Hoja1!$B$2:$F$52,4,0)*P2335,"")</f>
        <v/>
      </c>
      <c r="Y2335" s="8" t="e">
        <f>+VLOOKUP(M2335,[1]SKU!$B$3:$E$81,4,0)</f>
        <v>#N/A</v>
      </c>
      <c r="Z2335" s="8" t="str">
        <f t="shared" si="36"/>
        <v>FLEX</v>
      </c>
      <c r="AA2335" s="8" t="e">
        <f>+VLOOKUP(I2335,[1]SKU!$H$2:$I$97,2,0)</f>
        <v>#N/A</v>
      </c>
    </row>
    <row r="2336" spans="24:27">
      <c r="X2336" s="8" t="str">
        <f>+IFERROR(VLOOKUP(N2336,[1]Hoja1!$B$2:$F$52,4,0)*P2336,"")</f>
        <v/>
      </c>
      <c r="Y2336" s="8" t="e">
        <f>+VLOOKUP(M2336,[1]SKU!$B$3:$E$81,4,0)</f>
        <v>#N/A</v>
      </c>
      <c r="Z2336" s="8" t="str">
        <f t="shared" si="36"/>
        <v>FLEX</v>
      </c>
      <c r="AA2336" s="8" t="e">
        <f>+VLOOKUP(I2336,[1]SKU!$H$2:$I$97,2,0)</f>
        <v>#N/A</v>
      </c>
    </row>
    <row r="2337" spans="24:27">
      <c r="X2337" s="8" t="str">
        <f>+IFERROR(VLOOKUP(N2337,[1]Hoja1!$B$2:$F$52,4,0)*P2337,"")</f>
        <v/>
      </c>
      <c r="Y2337" s="8" t="e">
        <f>+VLOOKUP(M2337,[1]SKU!$B$3:$E$81,4,0)</f>
        <v>#N/A</v>
      </c>
      <c r="Z2337" s="8" t="str">
        <f t="shared" si="36"/>
        <v>FLEX</v>
      </c>
      <c r="AA2337" s="8" t="e">
        <f>+VLOOKUP(I2337,[1]SKU!$H$2:$I$97,2,0)</f>
        <v>#N/A</v>
      </c>
    </row>
    <row r="2338" spans="24:27">
      <c r="X2338" s="8" t="str">
        <f>+IFERROR(VLOOKUP(N2338,[1]Hoja1!$B$2:$F$52,4,0)*P2338,"")</f>
        <v/>
      </c>
      <c r="Y2338" s="8" t="e">
        <f>+VLOOKUP(M2338,[1]SKU!$B$3:$E$81,4,0)</f>
        <v>#N/A</v>
      </c>
      <c r="Z2338" s="8" t="str">
        <f t="shared" si="36"/>
        <v>FLEX</v>
      </c>
      <c r="AA2338" s="8" t="e">
        <f>+VLOOKUP(I2338,[1]SKU!$H$2:$I$97,2,0)</f>
        <v>#N/A</v>
      </c>
    </row>
    <row r="2339" spans="24:27">
      <c r="X2339" s="8" t="str">
        <f>+IFERROR(VLOOKUP(N2339,[1]Hoja1!$B$2:$F$52,4,0)*P2339,"")</f>
        <v/>
      </c>
      <c r="Y2339" s="8" t="e">
        <f>+VLOOKUP(M2339,[1]SKU!$B$3:$E$81,4,0)</f>
        <v>#N/A</v>
      </c>
      <c r="Z2339" s="8" t="str">
        <f t="shared" si="36"/>
        <v>FLEX</v>
      </c>
      <c r="AA2339" s="8" t="e">
        <f>+VLOOKUP(I2339,[1]SKU!$H$2:$I$97,2,0)</f>
        <v>#N/A</v>
      </c>
    </row>
    <row r="2340" spans="24:27">
      <c r="X2340" s="8" t="str">
        <f>+IFERROR(VLOOKUP(N2340,[1]Hoja1!$B$2:$F$52,4,0)*P2340,"")</f>
        <v/>
      </c>
      <c r="Y2340" s="8" t="e">
        <f>+VLOOKUP(M2340,[1]SKU!$B$3:$E$81,4,0)</f>
        <v>#N/A</v>
      </c>
      <c r="Z2340" s="8" t="str">
        <f t="shared" si="36"/>
        <v>FLEX</v>
      </c>
      <c r="AA2340" s="8" t="e">
        <f>+VLOOKUP(I2340,[1]SKU!$H$2:$I$97,2,0)</f>
        <v>#N/A</v>
      </c>
    </row>
    <row r="2341" spans="24:27">
      <c r="X2341" s="8" t="str">
        <f>+IFERROR(VLOOKUP(N2341,[1]Hoja1!$B$2:$F$52,4,0)*P2341,"")</f>
        <v/>
      </c>
      <c r="Y2341" s="8" t="e">
        <f>+VLOOKUP(M2341,[1]SKU!$B$3:$E$81,4,0)</f>
        <v>#N/A</v>
      </c>
      <c r="Z2341" s="8" t="str">
        <f t="shared" si="36"/>
        <v>FLEX</v>
      </c>
      <c r="AA2341" s="8" t="e">
        <f>+VLOOKUP(I2341,[1]SKU!$H$2:$I$97,2,0)</f>
        <v>#N/A</v>
      </c>
    </row>
    <row r="2342" spans="24:27">
      <c r="X2342" s="8" t="str">
        <f>+IFERROR(VLOOKUP(N2342,[1]Hoja1!$B$2:$F$52,4,0)*P2342,"")</f>
        <v/>
      </c>
      <c r="Y2342" s="8" t="e">
        <f>+VLOOKUP(M2342,[1]SKU!$B$3:$E$81,4,0)</f>
        <v>#N/A</v>
      </c>
      <c r="Z2342" s="8" t="str">
        <f t="shared" si="36"/>
        <v>FLEX</v>
      </c>
      <c r="AA2342" s="8" t="e">
        <f>+VLOOKUP(I2342,[1]SKU!$H$2:$I$97,2,0)</f>
        <v>#N/A</v>
      </c>
    </row>
    <row r="2343" spans="24:27">
      <c r="X2343" s="8" t="str">
        <f>+IFERROR(VLOOKUP(N2343,[1]Hoja1!$B$2:$F$52,4,0)*P2343,"")</f>
        <v/>
      </c>
      <c r="Y2343" s="8" t="e">
        <f>+VLOOKUP(M2343,[1]SKU!$B$3:$E$81,4,0)</f>
        <v>#N/A</v>
      </c>
      <c r="Z2343" s="8" t="str">
        <f t="shared" si="36"/>
        <v>FLEX</v>
      </c>
      <c r="AA2343" s="8" t="e">
        <f>+VLOOKUP(I2343,[1]SKU!$H$2:$I$97,2,0)</f>
        <v>#N/A</v>
      </c>
    </row>
    <row r="2344" spans="24:27">
      <c r="X2344" s="8" t="str">
        <f>+IFERROR(VLOOKUP(N2344,[1]Hoja1!$B$2:$F$52,4,0)*P2344,"")</f>
        <v/>
      </c>
      <c r="Y2344" s="8" t="e">
        <f>+VLOOKUP(M2344,[1]SKU!$B$3:$E$81,4,0)</f>
        <v>#N/A</v>
      </c>
      <c r="Z2344" s="8" t="str">
        <f t="shared" si="36"/>
        <v>FLEX</v>
      </c>
      <c r="AA2344" s="8" t="e">
        <f>+VLOOKUP(I2344,[1]SKU!$H$2:$I$97,2,0)</f>
        <v>#N/A</v>
      </c>
    </row>
    <row r="2345" spans="24:27">
      <c r="X2345" s="8" t="str">
        <f>+IFERROR(VLOOKUP(N2345,[1]Hoja1!$B$2:$F$52,4,0)*P2345,"")</f>
        <v/>
      </c>
      <c r="Y2345" s="8" t="e">
        <f>+VLOOKUP(M2345,[1]SKU!$B$3:$E$81,4,0)</f>
        <v>#N/A</v>
      </c>
      <c r="Z2345" s="8" t="str">
        <f t="shared" si="36"/>
        <v>FLEX</v>
      </c>
      <c r="AA2345" s="8" t="e">
        <f>+VLOOKUP(I2345,[1]SKU!$H$2:$I$97,2,0)</f>
        <v>#N/A</v>
      </c>
    </row>
    <row r="2346" spans="24:27">
      <c r="X2346" s="8" t="str">
        <f>+IFERROR(VLOOKUP(N2346,[1]Hoja1!$B$2:$F$52,4,0)*P2346,"")</f>
        <v/>
      </c>
      <c r="Y2346" s="8" t="e">
        <f>+VLOOKUP(M2346,[1]SKU!$B$3:$E$81,4,0)</f>
        <v>#N/A</v>
      </c>
      <c r="Z2346" s="8" t="str">
        <f t="shared" si="36"/>
        <v>FLEX</v>
      </c>
      <c r="AA2346" s="8" t="e">
        <f>+VLOOKUP(I2346,[1]SKU!$H$2:$I$97,2,0)</f>
        <v>#N/A</v>
      </c>
    </row>
    <row r="2347" spans="24:27">
      <c r="X2347" s="8" t="str">
        <f>+IFERROR(VLOOKUP(N2347,[1]Hoja1!$B$2:$F$52,4,0)*P2347,"")</f>
        <v/>
      </c>
      <c r="Y2347" s="8" t="e">
        <f>+VLOOKUP(M2347,[1]SKU!$B$3:$E$81,4,0)</f>
        <v>#N/A</v>
      </c>
      <c r="Z2347" s="8" t="str">
        <f t="shared" si="36"/>
        <v>FLEX</v>
      </c>
      <c r="AA2347" s="8" t="e">
        <f>+VLOOKUP(I2347,[1]SKU!$H$2:$I$97,2,0)</f>
        <v>#N/A</v>
      </c>
    </row>
    <row r="2348" spans="24:27">
      <c r="X2348" s="8" t="str">
        <f>+IFERROR(VLOOKUP(N2348,[1]Hoja1!$B$2:$F$52,4,0)*P2348,"")</f>
        <v/>
      </c>
      <c r="Y2348" s="8" t="e">
        <f>+VLOOKUP(M2348,[1]SKU!$B$3:$E$81,4,0)</f>
        <v>#N/A</v>
      </c>
      <c r="Z2348" s="8" t="str">
        <f t="shared" si="36"/>
        <v>FLEX</v>
      </c>
      <c r="AA2348" s="8" t="e">
        <f>+VLOOKUP(I2348,[1]SKU!$H$2:$I$97,2,0)</f>
        <v>#N/A</v>
      </c>
    </row>
    <row r="2349" spans="24:27">
      <c r="X2349" s="8" t="str">
        <f>+IFERROR(VLOOKUP(N2349,[1]Hoja1!$B$2:$F$52,4,0)*P2349,"")</f>
        <v/>
      </c>
      <c r="Y2349" s="8" t="e">
        <f>+VLOOKUP(M2349,[1]SKU!$B$3:$E$81,4,0)</f>
        <v>#N/A</v>
      </c>
      <c r="Z2349" s="8" t="str">
        <f t="shared" si="36"/>
        <v>FLEX</v>
      </c>
      <c r="AA2349" s="8" t="e">
        <f>+VLOOKUP(I2349,[1]SKU!$H$2:$I$97,2,0)</f>
        <v>#N/A</v>
      </c>
    </row>
    <row r="2350" spans="24:27">
      <c r="X2350" s="8" t="str">
        <f>+IFERROR(VLOOKUP(N2350,[1]Hoja1!$B$2:$F$52,4,0)*P2350,"")</f>
        <v/>
      </c>
      <c r="Y2350" s="8" t="e">
        <f>+VLOOKUP(M2350,[1]SKU!$B$3:$E$81,4,0)</f>
        <v>#N/A</v>
      </c>
      <c r="Z2350" s="8" t="str">
        <f t="shared" si="36"/>
        <v>FLEX</v>
      </c>
      <c r="AA2350" s="8" t="e">
        <f>+VLOOKUP(I2350,[1]SKU!$H$2:$I$97,2,0)</f>
        <v>#N/A</v>
      </c>
    </row>
    <row r="2351" spans="24:27">
      <c r="X2351" s="8" t="str">
        <f>+IFERROR(VLOOKUP(N2351,[1]Hoja1!$B$2:$F$52,4,0)*P2351,"")</f>
        <v/>
      </c>
      <c r="Y2351" s="8" t="e">
        <f>+VLOOKUP(M2351,[1]SKU!$B$3:$E$81,4,0)</f>
        <v>#N/A</v>
      </c>
      <c r="Z2351" s="8" t="str">
        <f t="shared" si="36"/>
        <v>FLEX</v>
      </c>
      <c r="AA2351" s="8" t="e">
        <f>+VLOOKUP(I2351,[1]SKU!$H$2:$I$97,2,0)</f>
        <v>#N/A</v>
      </c>
    </row>
    <row r="2352" spans="24:27">
      <c r="X2352" s="8" t="str">
        <f>+IFERROR(VLOOKUP(N2352,[1]Hoja1!$B$2:$F$52,4,0)*P2352,"")</f>
        <v/>
      </c>
      <c r="Y2352" s="8" t="e">
        <f>+VLOOKUP(M2352,[1]SKU!$B$3:$E$81,4,0)</f>
        <v>#N/A</v>
      </c>
      <c r="Z2352" s="8" t="str">
        <f t="shared" si="36"/>
        <v>FLEX</v>
      </c>
      <c r="AA2352" s="8" t="e">
        <f>+VLOOKUP(I2352,[1]SKU!$H$2:$I$97,2,0)</f>
        <v>#N/A</v>
      </c>
    </row>
    <row r="2353" spans="24:27">
      <c r="X2353" s="8" t="str">
        <f>+IFERROR(VLOOKUP(N2353,[1]Hoja1!$B$2:$F$52,4,0)*P2353,"")</f>
        <v/>
      </c>
      <c r="Y2353" s="8" t="e">
        <f>+VLOOKUP(M2353,[1]SKU!$B$3:$E$81,4,0)</f>
        <v>#N/A</v>
      </c>
      <c r="Z2353" s="8" t="str">
        <f t="shared" si="36"/>
        <v>FLEX</v>
      </c>
      <c r="AA2353" s="8" t="e">
        <f>+VLOOKUP(I2353,[1]SKU!$H$2:$I$97,2,0)</f>
        <v>#N/A</v>
      </c>
    </row>
    <row r="2354" spans="24:27">
      <c r="X2354" s="8" t="str">
        <f>+IFERROR(VLOOKUP(N2354,[1]Hoja1!$B$2:$F$52,4,0)*P2354,"")</f>
        <v/>
      </c>
      <c r="Y2354" s="8" t="e">
        <f>+VLOOKUP(M2354,[1]SKU!$B$3:$E$81,4,0)</f>
        <v>#N/A</v>
      </c>
      <c r="Z2354" s="8" t="str">
        <f t="shared" si="36"/>
        <v>FLEX</v>
      </c>
      <c r="AA2354" s="8" t="e">
        <f>+VLOOKUP(I2354,[1]SKU!$H$2:$I$97,2,0)</f>
        <v>#N/A</v>
      </c>
    </row>
    <row r="2355" spans="24:27">
      <c r="X2355" s="8" t="str">
        <f>+IFERROR(VLOOKUP(N2355,[1]Hoja1!$B$2:$F$52,4,0)*P2355,"")</f>
        <v/>
      </c>
      <c r="Y2355" s="8" t="e">
        <f>+VLOOKUP(M2355,[1]SKU!$B$3:$E$81,4,0)</f>
        <v>#N/A</v>
      </c>
      <c r="Z2355" s="8" t="str">
        <f t="shared" si="36"/>
        <v>FLEX</v>
      </c>
      <c r="AA2355" s="8" t="e">
        <f>+VLOOKUP(I2355,[1]SKU!$H$2:$I$97,2,0)</f>
        <v>#N/A</v>
      </c>
    </row>
    <row r="2356" spans="24:27">
      <c r="X2356" s="8" t="str">
        <f>+IFERROR(VLOOKUP(N2356,[1]Hoja1!$B$2:$F$52,4,0)*P2356,"")</f>
        <v/>
      </c>
      <c r="Y2356" s="8" t="e">
        <f>+VLOOKUP(M2356,[1]SKU!$B$3:$E$81,4,0)</f>
        <v>#N/A</v>
      </c>
      <c r="Z2356" s="8" t="str">
        <f t="shared" si="36"/>
        <v>FLEX</v>
      </c>
      <c r="AA2356" s="8" t="e">
        <f>+VLOOKUP(I2356,[1]SKU!$H$2:$I$97,2,0)</f>
        <v>#N/A</v>
      </c>
    </row>
    <row r="2357" spans="24:27">
      <c r="X2357" s="8" t="str">
        <f>+IFERROR(VLOOKUP(N2357,[1]Hoja1!$B$2:$F$52,4,0)*P2357,"")</f>
        <v/>
      </c>
      <c r="Y2357" s="8" t="e">
        <f>+VLOOKUP(M2357,[1]SKU!$B$3:$E$81,4,0)</f>
        <v>#N/A</v>
      </c>
      <c r="Z2357" s="8" t="str">
        <f t="shared" si="36"/>
        <v>FLEX</v>
      </c>
      <c r="AA2357" s="8" t="e">
        <f>+VLOOKUP(I2357,[1]SKU!$H$2:$I$97,2,0)</f>
        <v>#N/A</v>
      </c>
    </row>
    <row r="2358" spans="24:27">
      <c r="X2358" s="8" t="str">
        <f>+IFERROR(VLOOKUP(N2358,[1]Hoja1!$B$2:$F$52,4,0)*P2358,"")</f>
        <v/>
      </c>
      <c r="Y2358" s="8" t="e">
        <f>+VLOOKUP(M2358,[1]SKU!$B$3:$E$81,4,0)</f>
        <v>#N/A</v>
      </c>
      <c r="Z2358" s="8" t="str">
        <f t="shared" si="36"/>
        <v>FLEX</v>
      </c>
      <c r="AA2358" s="8" t="e">
        <f>+VLOOKUP(I2358,[1]SKU!$H$2:$I$97,2,0)</f>
        <v>#N/A</v>
      </c>
    </row>
    <row r="2359" spans="24:27">
      <c r="X2359" s="8" t="str">
        <f>+IFERROR(VLOOKUP(N2359,[1]Hoja1!$B$2:$F$52,4,0)*P2359,"")</f>
        <v/>
      </c>
      <c r="Y2359" s="8" t="e">
        <f>+VLOOKUP(M2359,[1]SKU!$B$3:$E$81,4,0)</f>
        <v>#N/A</v>
      </c>
      <c r="Z2359" s="8" t="str">
        <f t="shared" si="36"/>
        <v>FLEX</v>
      </c>
      <c r="AA2359" s="8" t="e">
        <f>+VLOOKUP(I2359,[1]SKU!$H$2:$I$97,2,0)</f>
        <v>#N/A</v>
      </c>
    </row>
    <row r="2360" spans="24:27">
      <c r="X2360" s="8" t="str">
        <f>+IFERROR(VLOOKUP(N2360,[1]Hoja1!$B$2:$F$52,4,0)*P2360,"")</f>
        <v/>
      </c>
      <c r="Y2360" s="8" t="e">
        <f>+VLOOKUP(M2360,[1]SKU!$B$3:$E$81,4,0)</f>
        <v>#N/A</v>
      </c>
      <c r="Z2360" s="8" t="str">
        <f t="shared" si="36"/>
        <v>FLEX</v>
      </c>
      <c r="AA2360" s="8" t="e">
        <f>+VLOOKUP(I2360,[1]SKU!$H$2:$I$97,2,0)</f>
        <v>#N/A</v>
      </c>
    </row>
    <row r="2361" spans="24:27">
      <c r="X2361" s="8" t="str">
        <f>+IFERROR(VLOOKUP(N2361,[1]Hoja1!$B$2:$F$52,4,0)*P2361,"")</f>
        <v/>
      </c>
      <c r="Y2361" s="8" t="e">
        <f>+VLOOKUP(M2361,[1]SKU!$B$3:$E$81,4,0)</f>
        <v>#N/A</v>
      </c>
      <c r="Z2361" s="8" t="str">
        <f t="shared" si="36"/>
        <v>FLEX</v>
      </c>
      <c r="AA2361" s="8" t="e">
        <f>+VLOOKUP(I2361,[1]SKU!$H$2:$I$97,2,0)</f>
        <v>#N/A</v>
      </c>
    </row>
    <row r="2362" spans="24:27">
      <c r="X2362" s="8" t="str">
        <f>+IFERROR(VLOOKUP(N2362,[1]Hoja1!$B$2:$F$52,4,0)*P2362,"")</f>
        <v/>
      </c>
      <c r="Y2362" s="8" t="e">
        <f>+VLOOKUP(M2362,[1]SKU!$B$3:$E$81,4,0)</f>
        <v>#N/A</v>
      </c>
      <c r="Z2362" s="8" t="str">
        <f t="shared" si="36"/>
        <v>FLEX</v>
      </c>
      <c r="AA2362" s="8" t="e">
        <f>+VLOOKUP(I2362,[1]SKU!$H$2:$I$97,2,0)</f>
        <v>#N/A</v>
      </c>
    </row>
    <row r="2363" spans="24:27">
      <c r="X2363" s="8" t="str">
        <f>+IFERROR(VLOOKUP(N2363,[1]Hoja1!$B$2:$F$52,4,0)*P2363,"")</f>
        <v/>
      </c>
      <c r="Y2363" s="8" t="e">
        <f>+VLOOKUP(M2363,[1]SKU!$B$3:$E$81,4,0)</f>
        <v>#N/A</v>
      </c>
      <c r="Z2363" s="8" t="str">
        <f t="shared" si="36"/>
        <v>FLEX</v>
      </c>
      <c r="AA2363" s="8" t="e">
        <f>+VLOOKUP(I2363,[1]SKU!$H$2:$I$97,2,0)</f>
        <v>#N/A</v>
      </c>
    </row>
    <row r="2364" spans="24:27">
      <c r="X2364" s="8" t="str">
        <f>+IFERROR(VLOOKUP(N2364,[1]Hoja1!$B$2:$F$52,4,0)*P2364,"")</f>
        <v/>
      </c>
      <c r="Y2364" s="8" t="e">
        <f>+VLOOKUP(M2364,[1]SKU!$B$3:$E$81,4,0)</f>
        <v>#N/A</v>
      </c>
      <c r="Z2364" s="8" t="str">
        <f t="shared" si="36"/>
        <v>FLEX</v>
      </c>
      <c r="AA2364" s="8" t="e">
        <f>+VLOOKUP(I2364,[1]SKU!$H$2:$I$97,2,0)</f>
        <v>#N/A</v>
      </c>
    </row>
    <row r="2365" spans="24:27">
      <c r="X2365" s="8" t="str">
        <f>+IFERROR(VLOOKUP(N2365,[1]Hoja1!$B$2:$F$52,4,0)*P2365,"")</f>
        <v/>
      </c>
      <c r="Y2365" s="8" t="e">
        <f>+VLOOKUP(M2365,[1]SKU!$B$3:$E$81,4,0)</f>
        <v>#N/A</v>
      </c>
      <c r="Z2365" s="8" t="str">
        <f t="shared" si="36"/>
        <v>FLEX</v>
      </c>
      <c r="AA2365" s="8" t="e">
        <f>+VLOOKUP(I2365,[1]SKU!$H$2:$I$97,2,0)</f>
        <v>#N/A</v>
      </c>
    </row>
    <row r="2366" spans="24:27">
      <c r="X2366" s="8" t="str">
        <f>+IFERROR(VLOOKUP(N2366,[1]Hoja1!$B$2:$F$52,4,0)*P2366,"")</f>
        <v/>
      </c>
      <c r="Y2366" s="8" t="e">
        <f>+VLOOKUP(M2366,[1]SKU!$B$3:$E$81,4,0)</f>
        <v>#N/A</v>
      </c>
      <c r="Z2366" s="8" t="str">
        <f t="shared" si="36"/>
        <v>FLEX</v>
      </c>
      <c r="AA2366" s="8" t="e">
        <f>+VLOOKUP(I2366,[1]SKU!$H$2:$I$97,2,0)</f>
        <v>#N/A</v>
      </c>
    </row>
    <row r="2367" spans="24:27">
      <c r="X2367" s="8" t="str">
        <f>+IFERROR(VLOOKUP(N2367,[1]Hoja1!$B$2:$F$52,4,0)*P2367,"")</f>
        <v/>
      </c>
      <c r="Y2367" s="8" t="e">
        <f>+VLOOKUP(M2367,[1]SKU!$B$3:$E$81,4,0)</f>
        <v>#N/A</v>
      </c>
      <c r="Z2367" s="8" t="str">
        <f t="shared" si="36"/>
        <v>FLEX</v>
      </c>
      <c r="AA2367" s="8" t="e">
        <f>+VLOOKUP(I2367,[1]SKU!$H$2:$I$97,2,0)</f>
        <v>#N/A</v>
      </c>
    </row>
    <row r="2368" spans="24:27">
      <c r="X2368" s="8" t="str">
        <f>+IFERROR(VLOOKUP(N2368,[1]Hoja1!$B$2:$F$52,4,0)*P2368,"")</f>
        <v/>
      </c>
      <c r="Y2368" s="8" t="e">
        <f>+VLOOKUP(M2368,[1]SKU!$B$3:$E$81,4,0)</f>
        <v>#N/A</v>
      </c>
      <c r="Z2368" s="8" t="str">
        <f t="shared" si="36"/>
        <v>FLEX</v>
      </c>
      <c r="AA2368" s="8" t="e">
        <f>+VLOOKUP(I2368,[1]SKU!$H$2:$I$97,2,0)</f>
        <v>#N/A</v>
      </c>
    </row>
    <row r="2369" spans="24:27">
      <c r="X2369" s="8" t="str">
        <f>+IFERROR(VLOOKUP(N2369,[1]Hoja1!$B$2:$F$52,4,0)*P2369,"")</f>
        <v/>
      </c>
      <c r="Y2369" s="8" t="e">
        <f>+VLOOKUP(M2369,[1]SKU!$B$3:$E$81,4,0)</f>
        <v>#N/A</v>
      </c>
      <c r="Z2369" s="8" t="str">
        <f t="shared" si="36"/>
        <v>FLEX</v>
      </c>
      <c r="AA2369" s="8" t="e">
        <f>+VLOOKUP(I2369,[1]SKU!$H$2:$I$97,2,0)</f>
        <v>#N/A</v>
      </c>
    </row>
    <row r="2370" spans="24:27">
      <c r="X2370" s="8" t="str">
        <f>+IFERROR(VLOOKUP(N2370,[1]Hoja1!$B$2:$F$52,4,0)*P2370,"")</f>
        <v/>
      </c>
      <c r="Y2370" s="8" t="e">
        <f>+VLOOKUP(M2370,[1]SKU!$B$3:$E$81,4,0)</f>
        <v>#N/A</v>
      </c>
      <c r="Z2370" s="8" t="str">
        <f t="shared" si="36"/>
        <v>FLEX</v>
      </c>
      <c r="AA2370" s="8" t="e">
        <f>+VLOOKUP(I2370,[1]SKU!$H$2:$I$97,2,0)</f>
        <v>#N/A</v>
      </c>
    </row>
    <row r="2371" spans="24:27">
      <c r="X2371" s="8" t="str">
        <f>+IFERROR(VLOOKUP(N2371,[1]Hoja1!$B$2:$F$52,4,0)*P2371,"")</f>
        <v/>
      </c>
      <c r="Y2371" s="8" t="e">
        <f>+VLOOKUP(M2371,[1]SKU!$B$3:$E$81,4,0)</f>
        <v>#N/A</v>
      </c>
      <c r="Z2371" s="8" t="str">
        <f t="shared" ref="Z2371:Z2434" si="37">+IF(J2371="VB01                          ","BEES","FLEX")</f>
        <v>FLEX</v>
      </c>
      <c r="AA2371" s="8" t="e">
        <f>+VLOOKUP(I2371,[1]SKU!$H$2:$I$97,2,0)</f>
        <v>#N/A</v>
      </c>
    </row>
    <row r="2372" spans="24:27">
      <c r="X2372" s="8" t="str">
        <f>+IFERROR(VLOOKUP(N2372,[1]Hoja1!$B$2:$F$52,4,0)*P2372,"")</f>
        <v/>
      </c>
      <c r="Y2372" s="8" t="e">
        <f>+VLOOKUP(M2372,[1]SKU!$B$3:$E$81,4,0)</f>
        <v>#N/A</v>
      </c>
      <c r="Z2372" s="8" t="str">
        <f t="shared" si="37"/>
        <v>FLEX</v>
      </c>
      <c r="AA2372" s="8" t="e">
        <f>+VLOOKUP(I2372,[1]SKU!$H$2:$I$97,2,0)</f>
        <v>#N/A</v>
      </c>
    </row>
    <row r="2373" spans="24:27">
      <c r="X2373" s="8" t="str">
        <f>+IFERROR(VLOOKUP(N2373,[1]Hoja1!$B$2:$F$52,4,0)*P2373,"")</f>
        <v/>
      </c>
      <c r="Y2373" s="8" t="e">
        <f>+VLOOKUP(M2373,[1]SKU!$B$3:$E$81,4,0)</f>
        <v>#N/A</v>
      </c>
      <c r="Z2373" s="8" t="str">
        <f t="shared" si="37"/>
        <v>FLEX</v>
      </c>
      <c r="AA2373" s="8" t="e">
        <f>+VLOOKUP(I2373,[1]SKU!$H$2:$I$97,2,0)</f>
        <v>#N/A</v>
      </c>
    </row>
    <row r="2374" spans="24:27">
      <c r="X2374" s="8" t="str">
        <f>+IFERROR(VLOOKUP(N2374,[1]Hoja1!$B$2:$F$52,4,0)*P2374,"")</f>
        <v/>
      </c>
      <c r="Y2374" s="8" t="e">
        <f>+VLOOKUP(M2374,[1]SKU!$B$3:$E$81,4,0)</f>
        <v>#N/A</v>
      </c>
      <c r="Z2374" s="8" t="str">
        <f t="shared" si="37"/>
        <v>FLEX</v>
      </c>
      <c r="AA2374" s="8" t="e">
        <f>+VLOOKUP(I2374,[1]SKU!$H$2:$I$97,2,0)</f>
        <v>#N/A</v>
      </c>
    </row>
    <row r="2375" spans="24:27">
      <c r="X2375" s="8" t="str">
        <f>+IFERROR(VLOOKUP(N2375,[1]Hoja1!$B$2:$F$52,4,0)*P2375,"")</f>
        <v/>
      </c>
      <c r="Y2375" s="8" t="e">
        <f>+VLOOKUP(M2375,[1]SKU!$B$3:$E$81,4,0)</f>
        <v>#N/A</v>
      </c>
      <c r="Z2375" s="8" t="str">
        <f t="shared" si="37"/>
        <v>FLEX</v>
      </c>
      <c r="AA2375" s="8" t="e">
        <f>+VLOOKUP(I2375,[1]SKU!$H$2:$I$97,2,0)</f>
        <v>#N/A</v>
      </c>
    </row>
    <row r="2376" spans="24:27">
      <c r="X2376" s="8" t="str">
        <f>+IFERROR(VLOOKUP(N2376,[1]Hoja1!$B$2:$F$52,4,0)*P2376,"")</f>
        <v/>
      </c>
      <c r="Y2376" s="8" t="e">
        <f>+VLOOKUP(M2376,[1]SKU!$B$3:$E$81,4,0)</f>
        <v>#N/A</v>
      </c>
      <c r="Z2376" s="8" t="str">
        <f t="shared" si="37"/>
        <v>FLEX</v>
      </c>
      <c r="AA2376" s="8" t="e">
        <f>+VLOOKUP(I2376,[1]SKU!$H$2:$I$97,2,0)</f>
        <v>#N/A</v>
      </c>
    </row>
    <row r="2377" spans="24:27">
      <c r="X2377" s="8" t="str">
        <f>+IFERROR(VLOOKUP(N2377,[1]Hoja1!$B$2:$F$52,4,0)*P2377,"")</f>
        <v/>
      </c>
      <c r="Y2377" s="8" t="e">
        <f>+VLOOKUP(M2377,[1]SKU!$B$3:$E$81,4,0)</f>
        <v>#N/A</v>
      </c>
      <c r="Z2377" s="8" t="str">
        <f t="shared" si="37"/>
        <v>FLEX</v>
      </c>
      <c r="AA2377" s="8" t="e">
        <f>+VLOOKUP(I2377,[1]SKU!$H$2:$I$97,2,0)</f>
        <v>#N/A</v>
      </c>
    </row>
    <row r="2378" spans="24:27">
      <c r="X2378" s="8" t="str">
        <f>+IFERROR(VLOOKUP(N2378,[1]Hoja1!$B$2:$F$52,4,0)*P2378,"")</f>
        <v/>
      </c>
      <c r="Y2378" s="8" t="e">
        <f>+VLOOKUP(M2378,[1]SKU!$B$3:$E$81,4,0)</f>
        <v>#N/A</v>
      </c>
      <c r="Z2378" s="8" t="str">
        <f t="shared" si="37"/>
        <v>FLEX</v>
      </c>
      <c r="AA2378" s="8" t="e">
        <f>+VLOOKUP(I2378,[1]SKU!$H$2:$I$97,2,0)</f>
        <v>#N/A</v>
      </c>
    </row>
    <row r="2379" spans="24:27">
      <c r="X2379" s="8" t="str">
        <f>+IFERROR(VLOOKUP(N2379,[1]Hoja1!$B$2:$F$52,4,0)*P2379,"")</f>
        <v/>
      </c>
      <c r="Y2379" s="8" t="e">
        <f>+VLOOKUP(M2379,[1]SKU!$B$3:$E$81,4,0)</f>
        <v>#N/A</v>
      </c>
      <c r="Z2379" s="8" t="str">
        <f t="shared" si="37"/>
        <v>FLEX</v>
      </c>
      <c r="AA2379" s="8" t="e">
        <f>+VLOOKUP(I2379,[1]SKU!$H$2:$I$97,2,0)</f>
        <v>#N/A</v>
      </c>
    </row>
    <row r="2380" spans="24:27">
      <c r="X2380" s="8" t="str">
        <f>+IFERROR(VLOOKUP(N2380,[1]Hoja1!$B$2:$F$52,4,0)*P2380,"")</f>
        <v/>
      </c>
      <c r="Y2380" s="8" t="e">
        <f>+VLOOKUP(M2380,[1]SKU!$B$3:$E$81,4,0)</f>
        <v>#N/A</v>
      </c>
      <c r="Z2380" s="8" t="str">
        <f t="shared" si="37"/>
        <v>FLEX</v>
      </c>
      <c r="AA2380" s="8" t="e">
        <f>+VLOOKUP(I2380,[1]SKU!$H$2:$I$97,2,0)</f>
        <v>#N/A</v>
      </c>
    </row>
    <row r="2381" spans="24:27">
      <c r="X2381" s="8" t="str">
        <f>+IFERROR(VLOOKUP(N2381,[1]Hoja1!$B$2:$F$52,4,0)*P2381,"")</f>
        <v/>
      </c>
      <c r="Y2381" s="8" t="e">
        <f>+VLOOKUP(M2381,[1]SKU!$B$3:$E$81,4,0)</f>
        <v>#N/A</v>
      </c>
      <c r="Z2381" s="8" t="str">
        <f t="shared" si="37"/>
        <v>FLEX</v>
      </c>
      <c r="AA2381" s="8" t="e">
        <f>+VLOOKUP(I2381,[1]SKU!$H$2:$I$97,2,0)</f>
        <v>#N/A</v>
      </c>
    </row>
    <row r="2382" spans="24:27">
      <c r="X2382" s="8" t="str">
        <f>+IFERROR(VLOOKUP(N2382,[1]Hoja1!$B$2:$F$52,4,0)*P2382,"")</f>
        <v/>
      </c>
      <c r="Y2382" s="8" t="e">
        <f>+VLOOKUP(M2382,[1]SKU!$B$3:$E$81,4,0)</f>
        <v>#N/A</v>
      </c>
      <c r="Z2382" s="8" t="str">
        <f t="shared" si="37"/>
        <v>FLEX</v>
      </c>
      <c r="AA2382" s="8" t="e">
        <f>+VLOOKUP(I2382,[1]SKU!$H$2:$I$97,2,0)</f>
        <v>#N/A</v>
      </c>
    </row>
    <row r="2383" spans="24:27">
      <c r="X2383" s="8" t="str">
        <f>+IFERROR(VLOOKUP(N2383,[1]Hoja1!$B$2:$F$52,4,0)*P2383,"")</f>
        <v/>
      </c>
      <c r="Y2383" s="8" t="e">
        <f>+VLOOKUP(M2383,[1]SKU!$B$3:$E$81,4,0)</f>
        <v>#N/A</v>
      </c>
      <c r="Z2383" s="8" t="str">
        <f t="shared" si="37"/>
        <v>FLEX</v>
      </c>
      <c r="AA2383" s="8" t="e">
        <f>+VLOOKUP(I2383,[1]SKU!$H$2:$I$97,2,0)</f>
        <v>#N/A</v>
      </c>
    </row>
    <row r="2384" spans="24:27">
      <c r="X2384" s="8" t="str">
        <f>+IFERROR(VLOOKUP(N2384,[1]Hoja1!$B$2:$F$52,4,0)*P2384,"")</f>
        <v/>
      </c>
      <c r="Y2384" s="8" t="e">
        <f>+VLOOKUP(M2384,[1]SKU!$B$3:$E$81,4,0)</f>
        <v>#N/A</v>
      </c>
      <c r="Z2384" s="8" t="str">
        <f t="shared" si="37"/>
        <v>FLEX</v>
      </c>
      <c r="AA2384" s="8" t="e">
        <f>+VLOOKUP(I2384,[1]SKU!$H$2:$I$97,2,0)</f>
        <v>#N/A</v>
      </c>
    </row>
    <row r="2385" spans="24:27">
      <c r="X2385" s="8" t="str">
        <f>+IFERROR(VLOOKUP(N2385,[1]Hoja1!$B$2:$F$52,4,0)*P2385,"")</f>
        <v/>
      </c>
      <c r="Y2385" s="8" t="e">
        <f>+VLOOKUP(M2385,[1]SKU!$B$3:$E$81,4,0)</f>
        <v>#N/A</v>
      </c>
      <c r="Z2385" s="8" t="str">
        <f t="shared" si="37"/>
        <v>FLEX</v>
      </c>
      <c r="AA2385" s="8" t="e">
        <f>+VLOOKUP(I2385,[1]SKU!$H$2:$I$97,2,0)</f>
        <v>#N/A</v>
      </c>
    </row>
    <row r="2386" spans="24:27">
      <c r="X2386" s="8" t="str">
        <f>+IFERROR(VLOOKUP(N2386,[1]Hoja1!$B$2:$F$52,4,0)*P2386,"")</f>
        <v/>
      </c>
      <c r="Y2386" s="8" t="e">
        <f>+VLOOKUP(M2386,[1]SKU!$B$3:$E$81,4,0)</f>
        <v>#N/A</v>
      </c>
      <c r="Z2386" s="8" t="str">
        <f t="shared" si="37"/>
        <v>FLEX</v>
      </c>
      <c r="AA2386" s="8" t="e">
        <f>+VLOOKUP(I2386,[1]SKU!$H$2:$I$97,2,0)</f>
        <v>#N/A</v>
      </c>
    </row>
    <row r="2387" spans="24:27">
      <c r="X2387" s="8" t="str">
        <f>+IFERROR(VLOOKUP(N2387,[1]Hoja1!$B$2:$F$52,4,0)*P2387,"")</f>
        <v/>
      </c>
      <c r="Y2387" s="8" t="e">
        <f>+VLOOKUP(M2387,[1]SKU!$B$3:$E$81,4,0)</f>
        <v>#N/A</v>
      </c>
      <c r="Z2387" s="8" t="str">
        <f t="shared" si="37"/>
        <v>FLEX</v>
      </c>
      <c r="AA2387" s="8" t="e">
        <f>+VLOOKUP(I2387,[1]SKU!$H$2:$I$97,2,0)</f>
        <v>#N/A</v>
      </c>
    </row>
    <row r="2388" spans="24:27">
      <c r="X2388" s="8" t="str">
        <f>+IFERROR(VLOOKUP(N2388,[1]Hoja1!$B$2:$F$52,4,0)*P2388,"")</f>
        <v/>
      </c>
      <c r="Y2388" s="8" t="e">
        <f>+VLOOKUP(M2388,[1]SKU!$B$3:$E$81,4,0)</f>
        <v>#N/A</v>
      </c>
      <c r="Z2388" s="8" t="str">
        <f t="shared" si="37"/>
        <v>FLEX</v>
      </c>
      <c r="AA2388" s="8" t="e">
        <f>+VLOOKUP(I2388,[1]SKU!$H$2:$I$97,2,0)</f>
        <v>#N/A</v>
      </c>
    </row>
    <row r="2389" spans="24:27">
      <c r="X2389" s="8" t="str">
        <f>+IFERROR(VLOOKUP(N2389,[1]Hoja1!$B$2:$F$52,4,0)*P2389,"")</f>
        <v/>
      </c>
      <c r="Y2389" s="8" t="e">
        <f>+VLOOKUP(M2389,[1]SKU!$B$3:$E$81,4,0)</f>
        <v>#N/A</v>
      </c>
      <c r="Z2389" s="8" t="str">
        <f t="shared" si="37"/>
        <v>FLEX</v>
      </c>
      <c r="AA2389" s="8" t="e">
        <f>+VLOOKUP(I2389,[1]SKU!$H$2:$I$97,2,0)</f>
        <v>#N/A</v>
      </c>
    </row>
    <row r="2390" spans="24:27">
      <c r="X2390" s="8" t="str">
        <f>+IFERROR(VLOOKUP(N2390,[1]Hoja1!$B$2:$F$52,4,0)*P2390,"")</f>
        <v/>
      </c>
      <c r="Y2390" s="8" t="e">
        <f>+VLOOKUP(M2390,[1]SKU!$B$3:$E$81,4,0)</f>
        <v>#N/A</v>
      </c>
      <c r="Z2390" s="8" t="str">
        <f t="shared" si="37"/>
        <v>FLEX</v>
      </c>
      <c r="AA2390" s="8" t="e">
        <f>+VLOOKUP(I2390,[1]SKU!$H$2:$I$97,2,0)</f>
        <v>#N/A</v>
      </c>
    </row>
    <row r="2391" spans="24:27">
      <c r="X2391" s="8" t="str">
        <f>+IFERROR(VLOOKUP(N2391,[1]Hoja1!$B$2:$F$52,4,0)*P2391,"")</f>
        <v/>
      </c>
      <c r="Y2391" s="8" t="e">
        <f>+VLOOKUP(M2391,[1]SKU!$B$3:$E$81,4,0)</f>
        <v>#N/A</v>
      </c>
      <c r="Z2391" s="8" t="str">
        <f t="shared" si="37"/>
        <v>FLEX</v>
      </c>
      <c r="AA2391" s="8" t="e">
        <f>+VLOOKUP(I2391,[1]SKU!$H$2:$I$97,2,0)</f>
        <v>#N/A</v>
      </c>
    </row>
    <row r="2392" spans="24:27">
      <c r="X2392" s="8" t="str">
        <f>+IFERROR(VLOOKUP(N2392,[1]Hoja1!$B$2:$F$52,4,0)*P2392,"")</f>
        <v/>
      </c>
      <c r="Y2392" s="8" t="e">
        <f>+VLOOKUP(M2392,[1]SKU!$B$3:$E$81,4,0)</f>
        <v>#N/A</v>
      </c>
      <c r="Z2392" s="8" t="str">
        <f t="shared" si="37"/>
        <v>FLEX</v>
      </c>
      <c r="AA2392" s="8" t="e">
        <f>+VLOOKUP(I2392,[1]SKU!$H$2:$I$97,2,0)</f>
        <v>#N/A</v>
      </c>
    </row>
    <row r="2393" spans="24:27">
      <c r="X2393" s="8" t="str">
        <f>+IFERROR(VLOOKUP(N2393,[1]Hoja1!$B$2:$F$52,4,0)*P2393,"")</f>
        <v/>
      </c>
      <c r="Y2393" s="8" t="e">
        <f>+VLOOKUP(M2393,[1]SKU!$B$3:$E$81,4,0)</f>
        <v>#N/A</v>
      </c>
      <c r="Z2393" s="8" t="str">
        <f t="shared" si="37"/>
        <v>FLEX</v>
      </c>
      <c r="AA2393" s="8" t="e">
        <f>+VLOOKUP(I2393,[1]SKU!$H$2:$I$97,2,0)</f>
        <v>#N/A</v>
      </c>
    </row>
    <row r="2394" spans="24:27">
      <c r="X2394" s="8" t="str">
        <f>+IFERROR(VLOOKUP(N2394,[1]Hoja1!$B$2:$F$52,4,0)*P2394,"")</f>
        <v/>
      </c>
      <c r="Y2394" s="8" t="e">
        <f>+VLOOKUP(M2394,[1]SKU!$B$3:$E$81,4,0)</f>
        <v>#N/A</v>
      </c>
      <c r="Z2394" s="8" t="str">
        <f t="shared" si="37"/>
        <v>FLEX</v>
      </c>
      <c r="AA2394" s="8" t="e">
        <f>+VLOOKUP(I2394,[1]SKU!$H$2:$I$97,2,0)</f>
        <v>#N/A</v>
      </c>
    </row>
    <row r="2395" spans="24:27">
      <c r="X2395" s="8" t="str">
        <f>+IFERROR(VLOOKUP(N2395,[1]Hoja1!$B$2:$F$52,4,0)*P2395,"")</f>
        <v/>
      </c>
      <c r="Y2395" s="8" t="e">
        <f>+VLOOKUP(M2395,[1]SKU!$B$3:$E$81,4,0)</f>
        <v>#N/A</v>
      </c>
      <c r="Z2395" s="8" t="str">
        <f t="shared" si="37"/>
        <v>FLEX</v>
      </c>
      <c r="AA2395" s="8" t="e">
        <f>+VLOOKUP(I2395,[1]SKU!$H$2:$I$97,2,0)</f>
        <v>#N/A</v>
      </c>
    </row>
    <row r="2396" spans="24:27">
      <c r="X2396" s="8" t="str">
        <f>+IFERROR(VLOOKUP(N2396,[1]Hoja1!$B$2:$F$52,4,0)*P2396,"")</f>
        <v/>
      </c>
      <c r="Y2396" s="8" t="e">
        <f>+VLOOKUP(M2396,[1]SKU!$B$3:$E$81,4,0)</f>
        <v>#N/A</v>
      </c>
      <c r="Z2396" s="8" t="str">
        <f t="shared" si="37"/>
        <v>FLEX</v>
      </c>
      <c r="AA2396" s="8" t="e">
        <f>+VLOOKUP(I2396,[1]SKU!$H$2:$I$97,2,0)</f>
        <v>#N/A</v>
      </c>
    </row>
    <row r="2397" spans="24:27">
      <c r="X2397" s="8" t="str">
        <f>+IFERROR(VLOOKUP(N2397,[1]Hoja1!$B$2:$F$52,4,0)*P2397,"")</f>
        <v/>
      </c>
      <c r="Y2397" s="8" t="e">
        <f>+VLOOKUP(M2397,[1]SKU!$B$3:$E$81,4,0)</f>
        <v>#N/A</v>
      </c>
      <c r="Z2397" s="8" t="str">
        <f t="shared" si="37"/>
        <v>FLEX</v>
      </c>
      <c r="AA2397" s="8" t="e">
        <f>+VLOOKUP(I2397,[1]SKU!$H$2:$I$97,2,0)</f>
        <v>#N/A</v>
      </c>
    </row>
    <row r="2398" spans="24:27">
      <c r="X2398" s="8" t="str">
        <f>+IFERROR(VLOOKUP(N2398,[1]Hoja1!$B$2:$F$52,4,0)*P2398,"")</f>
        <v/>
      </c>
      <c r="Y2398" s="8" t="e">
        <f>+VLOOKUP(M2398,[1]SKU!$B$3:$E$81,4,0)</f>
        <v>#N/A</v>
      </c>
      <c r="Z2398" s="8" t="str">
        <f t="shared" si="37"/>
        <v>FLEX</v>
      </c>
      <c r="AA2398" s="8" t="e">
        <f>+VLOOKUP(I2398,[1]SKU!$H$2:$I$97,2,0)</f>
        <v>#N/A</v>
      </c>
    </row>
    <row r="2399" spans="24:27">
      <c r="X2399" s="8" t="str">
        <f>+IFERROR(VLOOKUP(N2399,[1]Hoja1!$B$2:$F$52,4,0)*P2399,"")</f>
        <v/>
      </c>
      <c r="Y2399" s="8" t="e">
        <f>+VLOOKUP(M2399,[1]SKU!$B$3:$E$81,4,0)</f>
        <v>#N/A</v>
      </c>
      <c r="Z2399" s="8" t="str">
        <f t="shared" si="37"/>
        <v>FLEX</v>
      </c>
      <c r="AA2399" s="8" t="e">
        <f>+VLOOKUP(I2399,[1]SKU!$H$2:$I$97,2,0)</f>
        <v>#N/A</v>
      </c>
    </row>
    <row r="2400" spans="24:27">
      <c r="X2400" s="8" t="str">
        <f>+IFERROR(VLOOKUP(N2400,[1]Hoja1!$B$2:$F$52,4,0)*P2400,"")</f>
        <v/>
      </c>
      <c r="Y2400" s="8" t="e">
        <f>+VLOOKUP(M2400,[1]SKU!$B$3:$E$81,4,0)</f>
        <v>#N/A</v>
      </c>
      <c r="Z2400" s="8" t="str">
        <f t="shared" si="37"/>
        <v>FLEX</v>
      </c>
      <c r="AA2400" s="8" t="e">
        <f>+VLOOKUP(I2400,[1]SKU!$H$2:$I$97,2,0)</f>
        <v>#N/A</v>
      </c>
    </row>
    <row r="2401" spans="24:27">
      <c r="X2401" s="8" t="str">
        <f>+IFERROR(VLOOKUP(N2401,[1]Hoja1!$B$2:$F$52,4,0)*P2401,"")</f>
        <v/>
      </c>
      <c r="Y2401" s="8" t="e">
        <f>+VLOOKUP(M2401,[1]SKU!$B$3:$E$81,4,0)</f>
        <v>#N/A</v>
      </c>
      <c r="Z2401" s="8" t="str">
        <f t="shared" si="37"/>
        <v>FLEX</v>
      </c>
      <c r="AA2401" s="8" t="e">
        <f>+VLOOKUP(I2401,[1]SKU!$H$2:$I$97,2,0)</f>
        <v>#N/A</v>
      </c>
    </row>
    <row r="2402" spans="24:27">
      <c r="X2402" s="8" t="str">
        <f>+IFERROR(VLOOKUP(N2402,[1]Hoja1!$B$2:$F$52,4,0)*P2402,"")</f>
        <v/>
      </c>
      <c r="Y2402" s="8" t="e">
        <f>+VLOOKUP(M2402,[1]SKU!$B$3:$E$81,4,0)</f>
        <v>#N/A</v>
      </c>
      <c r="Z2402" s="8" t="str">
        <f t="shared" si="37"/>
        <v>FLEX</v>
      </c>
      <c r="AA2402" s="8" t="e">
        <f>+VLOOKUP(I2402,[1]SKU!$H$2:$I$97,2,0)</f>
        <v>#N/A</v>
      </c>
    </row>
    <row r="2403" spans="24:27">
      <c r="X2403" s="8" t="str">
        <f>+IFERROR(VLOOKUP(N2403,[1]Hoja1!$B$2:$F$52,4,0)*P2403,"")</f>
        <v/>
      </c>
      <c r="Y2403" s="8" t="e">
        <f>+VLOOKUP(M2403,[1]SKU!$B$3:$E$81,4,0)</f>
        <v>#N/A</v>
      </c>
      <c r="Z2403" s="8" t="str">
        <f t="shared" si="37"/>
        <v>FLEX</v>
      </c>
      <c r="AA2403" s="8" t="e">
        <f>+VLOOKUP(I2403,[1]SKU!$H$2:$I$97,2,0)</f>
        <v>#N/A</v>
      </c>
    </row>
    <row r="2404" spans="24:27">
      <c r="X2404" s="8" t="str">
        <f>+IFERROR(VLOOKUP(N2404,[1]Hoja1!$B$2:$F$52,4,0)*P2404,"")</f>
        <v/>
      </c>
      <c r="Y2404" s="8" t="e">
        <f>+VLOOKUP(M2404,[1]SKU!$B$3:$E$81,4,0)</f>
        <v>#N/A</v>
      </c>
      <c r="Z2404" s="8" t="str">
        <f t="shared" si="37"/>
        <v>FLEX</v>
      </c>
      <c r="AA2404" s="8" t="e">
        <f>+VLOOKUP(I2404,[1]SKU!$H$2:$I$97,2,0)</f>
        <v>#N/A</v>
      </c>
    </row>
    <row r="2405" spans="24:27">
      <c r="X2405" s="8" t="str">
        <f>+IFERROR(VLOOKUP(N2405,[1]Hoja1!$B$2:$F$52,4,0)*P2405,"")</f>
        <v/>
      </c>
      <c r="Y2405" s="8" t="e">
        <f>+VLOOKUP(M2405,[1]SKU!$B$3:$E$81,4,0)</f>
        <v>#N/A</v>
      </c>
      <c r="Z2405" s="8" t="str">
        <f t="shared" si="37"/>
        <v>FLEX</v>
      </c>
      <c r="AA2405" s="8" t="e">
        <f>+VLOOKUP(I2405,[1]SKU!$H$2:$I$97,2,0)</f>
        <v>#N/A</v>
      </c>
    </row>
    <row r="2406" spans="24:27">
      <c r="X2406" s="8" t="str">
        <f>+IFERROR(VLOOKUP(N2406,[1]Hoja1!$B$2:$F$52,4,0)*P2406,"")</f>
        <v/>
      </c>
      <c r="Y2406" s="8" t="e">
        <f>+VLOOKUP(M2406,[1]SKU!$B$3:$E$81,4,0)</f>
        <v>#N/A</v>
      </c>
      <c r="Z2406" s="8" t="str">
        <f t="shared" si="37"/>
        <v>FLEX</v>
      </c>
      <c r="AA2406" s="8" t="e">
        <f>+VLOOKUP(I2406,[1]SKU!$H$2:$I$97,2,0)</f>
        <v>#N/A</v>
      </c>
    </row>
    <row r="2407" spans="24:27">
      <c r="X2407" s="8" t="str">
        <f>+IFERROR(VLOOKUP(N2407,[1]Hoja1!$B$2:$F$52,4,0)*P2407,"")</f>
        <v/>
      </c>
      <c r="Y2407" s="8" t="e">
        <f>+VLOOKUP(M2407,[1]SKU!$B$3:$E$81,4,0)</f>
        <v>#N/A</v>
      </c>
      <c r="Z2407" s="8" t="str">
        <f t="shared" si="37"/>
        <v>FLEX</v>
      </c>
      <c r="AA2407" s="8" t="e">
        <f>+VLOOKUP(I2407,[1]SKU!$H$2:$I$97,2,0)</f>
        <v>#N/A</v>
      </c>
    </row>
    <row r="2408" spans="24:27">
      <c r="X2408" s="8" t="str">
        <f>+IFERROR(VLOOKUP(N2408,[1]Hoja1!$B$2:$F$52,4,0)*P2408,"")</f>
        <v/>
      </c>
      <c r="Y2408" s="8" t="e">
        <f>+VLOOKUP(M2408,[1]SKU!$B$3:$E$81,4,0)</f>
        <v>#N/A</v>
      </c>
      <c r="Z2408" s="8" t="str">
        <f t="shared" si="37"/>
        <v>FLEX</v>
      </c>
      <c r="AA2408" s="8" t="e">
        <f>+VLOOKUP(I2408,[1]SKU!$H$2:$I$97,2,0)</f>
        <v>#N/A</v>
      </c>
    </row>
    <row r="2409" spans="24:27">
      <c r="X2409" s="8" t="str">
        <f>+IFERROR(VLOOKUP(N2409,[1]Hoja1!$B$2:$F$52,4,0)*P2409,"")</f>
        <v/>
      </c>
      <c r="Y2409" s="8" t="e">
        <f>+VLOOKUP(M2409,[1]SKU!$B$3:$E$81,4,0)</f>
        <v>#N/A</v>
      </c>
      <c r="Z2409" s="8" t="str">
        <f t="shared" si="37"/>
        <v>FLEX</v>
      </c>
      <c r="AA2409" s="8" t="e">
        <f>+VLOOKUP(I2409,[1]SKU!$H$2:$I$97,2,0)</f>
        <v>#N/A</v>
      </c>
    </row>
    <row r="2410" spans="24:27">
      <c r="X2410" s="8" t="str">
        <f>+IFERROR(VLOOKUP(N2410,[1]Hoja1!$B$2:$F$52,4,0)*P2410,"")</f>
        <v/>
      </c>
      <c r="Y2410" s="8" t="e">
        <f>+VLOOKUP(M2410,[1]SKU!$B$3:$E$81,4,0)</f>
        <v>#N/A</v>
      </c>
      <c r="Z2410" s="8" t="str">
        <f t="shared" si="37"/>
        <v>FLEX</v>
      </c>
      <c r="AA2410" s="8" t="e">
        <f>+VLOOKUP(I2410,[1]SKU!$H$2:$I$97,2,0)</f>
        <v>#N/A</v>
      </c>
    </row>
    <row r="2411" spans="24:27">
      <c r="X2411" s="8" t="str">
        <f>+IFERROR(VLOOKUP(N2411,[1]Hoja1!$B$2:$F$52,4,0)*P2411,"")</f>
        <v/>
      </c>
      <c r="Y2411" s="8" t="e">
        <f>+VLOOKUP(M2411,[1]SKU!$B$3:$E$81,4,0)</f>
        <v>#N/A</v>
      </c>
      <c r="Z2411" s="8" t="str">
        <f t="shared" si="37"/>
        <v>FLEX</v>
      </c>
      <c r="AA2411" s="8" t="e">
        <f>+VLOOKUP(I2411,[1]SKU!$H$2:$I$97,2,0)</f>
        <v>#N/A</v>
      </c>
    </row>
    <row r="2412" spans="24:27">
      <c r="X2412" s="8" t="str">
        <f>+IFERROR(VLOOKUP(N2412,[1]Hoja1!$B$2:$F$52,4,0)*P2412,"")</f>
        <v/>
      </c>
      <c r="Y2412" s="8" t="e">
        <f>+VLOOKUP(M2412,[1]SKU!$B$3:$E$81,4,0)</f>
        <v>#N/A</v>
      </c>
      <c r="Z2412" s="8" t="str">
        <f t="shared" si="37"/>
        <v>FLEX</v>
      </c>
      <c r="AA2412" s="8" t="e">
        <f>+VLOOKUP(I2412,[1]SKU!$H$2:$I$97,2,0)</f>
        <v>#N/A</v>
      </c>
    </row>
    <row r="2413" spans="24:27">
      <c r="X2413" s="8" t="str">
        <f>+IFERROR(VLOOKUP(N2413,[1]Hoja1!$B$2:$F$52,4,0)*P2413,"")</f>
        <v/>
      </c>
      <c r="Y2413" s="8" t="e">
        <f>+VLOOKUP(M2413,[1]SKU!$B$3:$E$81,4,0)</f>
        <v>#N/A</v>
      </c>
      <c r="Z2413" s="8" t="str">
        <f t="shared" si="37"/>
        <v>FLEX</v>
      </c>
      <c r="AA2413" s="8" t="e">
        <f>+VLOOKUP(I2413,[1]SKU!$H$2:$I$97,2,0)</f>
        <v>#N/A</v>
      </c>
    </row>
    <row r="2414" spans="24:27">
      <c r="X2414" s="8" t="str">
        <f>+IFERROR(VLOOKUP(N2414,[1]Hoja1!$B$2:$F$52,4,0)*P2414,"")</f>
        <v/>
      </c>
      <c r="Y2414" s="8" t="e">
        <f>+VLOOKUP(M2414,[1]SKU!$B$3:$E$81,4,0)</f>
        <v>#N/A</v>
      </c>
      <c r="Z2414" s="8" t="str">
        <f t="shared" si="37"/>
        <v>FLEX</v>
      </c>
      <c r="AA2414" s="8" t="e">
        <f>+VLOOKUP(I2414,[1]SKU!$H$2:$I$97,2,0)</f>
        <v>#N/A</v>
      </c>
    </row>
    <row r="2415" spans="24:27">
      <c r="X2415" s="8" t="str">
        <f>+IFERROR(VLOOKUP(N2415,[1]Hoja1!$B$2:$F$52,4,0)*P2415,"")</f>
        <v/>
      </c>
      <c r="Y2415" s="8" t="e">
        <f>+VLOOKUP(M2415,[1]SKU!$B$3:$E$81,4,0)</f>
        <v>#N/A</v>
      </c>
      <c r="Z2415" s="8" t="str">
        <f t="shared" si="37"/>
        <v>FLEX</v>
      </c>
      <c r="AA2415" s="8" t="e">
        <f>+VLOOKUP(I2415,[1]SKU!$H$2:$I$97,2,0)</f>
        <v>#N/A</v>
      </c>
    </row>
    <row r="2416" spans="24:27">
      <c r="X2416" s="8" t="str">
        <f>+IFERROR(VLOOKUP(N2416,[1]Hoja1!$B$2:$F$52,4,0)*P2416,"")</f>
        <v/>
      </c>
      <c r="Y2416" s="8" t="e">
        <f>+VLOOKUP(M2416,[1]SKU!$B$3:$E$81,4,0)</f>
        <v>#N/A</v>
      </c>
      <c r="Z2416" s="8" t="str">
        <f t="shared" si="37"/>
        <v>FLEX</v>
      </c>
      <c r="AA2416" s="8" t="e">
        <f>+VLOOKUP(I2416,[1]SKU!$H$2:$I$97,2,0)</f>
        <v>#N/A</v>
      </c>
    </row>
    <row r="2417" spans="24:27">
      <c r="X2417" s="8" t="str">
        <f>+IFERROR(VLOOKUP(N2417,[1]Hoja1!$B$2:$F$52,4,0)*P2417,"")</f>
        <v/>
      </c>
      <c r="Y2417" s="8" t="e">
        <f>+VLOOKUP(M2417,[1]SKU!$B$3:$E$81,4,0)</f>
        <v>#N/A</v>
      </c>
      <c r="Z2417" s="8" t="str">
        <f t="shared" si="37"/>
        <v>FLEX</v>
      </c>
      <c r="AA2417" s="8" t="e">
        <f>+VLOOKUP(I2417,[1]SKU!$H$2:$I$97,2,0)</f>
        <v>#N/A</v>
      </c>
    </row>
    <row r="2418" spans="24:27">
      <c r="X2418" s="8" t="str">
        <f>+IFERROR(VLOOKUP(N2418,[1]Hoja1!$B$2:$F$52,4,0)*P2418,"")</f>
        <v/>
      </c>
      <c r="Y2418" s="8" t="e">
        <f>+VLOOKUP(M2418,[1]SKU!$B$3:$E$81,4,0)</f>
        <v>#N/A</v>
      </c>
      <c r="Z2418" s="8" t="str">
        <f t="shared" si="37"/>
        <v>FLEX</v>
      </c>
      <c r="AA2418" s="8" t="e">
        <f>+VLOOKUP(I2418,[1]SKU!$H$2:$I$97,2,0)</f>
        <v>#N/A</v>
      </c>
    </row>
    <row r="2419" spans="24:27">
      <c r="X2419" s="8" t="str">
        <f>+IFERROR(VLOOKUP(N2419,[1]Hoja1!$B$2:$F$52,4,0)*P2419,"")</f>
        <v/>
      </c>
      <c r="Y2419" s="8" t="e">
        <f>+VLOOKUP(M2419,[1]SKU!$B$3:$E$81,4,0)</f>
        <v>#N/A</v>
      </c>
      <c r="Z2419" s="8" t="str">
        <f t="shared" si="37"/>
        <v>FLEX</v>
      </c>
      <c r="AA2419" s="8" t="e">
        <f>+VLOOKUP(I2419,[1]SKU!$H$2:$I$97,2,0)</f>
        <v>#N/A</v>
      </c>
    </row>
    <row r="2420" spans="24:27">
      <c r="X2420" s="8" t="str">
        <f>+IFERROR(VLOOKUP(N2420,[1]Hoja1!$B$2:$F$52,4,0)*P2420,"")</f>
        <v/>
      </c>
      <c r="Y2420" s="8" t="e">
        <f>+VLOOKUP(M2420,[1]SKU!$B$3:$E$81,4,0)</f>
        <v>#N/A</v>
      </c>
      <c r="Z2420" s="8" t="str">
        <f t="shared" si="37"/>
        <v>FLEX</v>
      </c>
      <c r="AA2420" s="8" t="e">
        <f>+VLOOKUP(I2420,[1]SKU!$H$2:$I$97,2,0)</f>
        <v>#N/A</v>
      </c>
    </row>
    <row r="2421" spans="24:27">
      <c r="X2421" s="8" t="str">
        <f>+IFERROR(VLOOKUP(N2421,[1]Hoja1!$B$2:$F$52,4,0)*P2421,"")</f>
        <v/>
      </c>
      <c r="Y2421" s="8" t="e">
        <f>+VLOOKUP(M2421,[1]SKU!$B$3:$E$81,4,0)</f>
        <v>#N/A</v>
      </c>
      <c r="Z2421" s="8" t="str">
        <f t="shared" si="37"/>
        <v>FLEX</v>
      </c>
      <c r="AA2421" s="8" t="e">
        <f>+VLOOKUP(I2421,[1]SKU!$H$2:$I$97,2,0)</f>
        <v>#N/A</v>
      </c>
    </row>
    <row r="2422" spans="24:27">
      <c r="X2422" s="8" t="str">
        <f>+IFERROR(VLOOKUP(N2422,[1]Hoja1!$B$2:$F$52,4,0)*P2422,"")</f>
        <v/>
      </c>
      <c r="Y2422" s="8" t="e">
        <f>+VLOOKUP(M2422,[1]SKU!$B$3:$E$81,4,0)</f>
        <v>#N/A</v>
      </c>
      <c r="Z2422" s="8" t="str">
        <f t="shared" si="37"/>
        <v>FLEX</v>
      </c>
      <c r="AA2422" s="8" t="e">
        <f>+VLOOKUP(I2422,[1]SKU!$H$2:$I$97,2,0)</f>
        <v>#N/A</v>
      </c>
    </row>
    <row r="2423" spans="24:27">
      <c r="X2423" s="8" t="str">
        <f>+IFERROR(VLOOKUP(N2423,[1]Hoja1!$B$2:$F$52,4,0)*P2423,"")</f>
        <v/>
      </c>
      <c r="Y2423" s="8" t="e">
        <f>+VLOOKUP(M2423,[1]SKU!$B$3:$E$81,4,0)</f>
        <v>#N/A</v>
      </c>
      <c r="Z2423" s="8" t="str">
        <f t="shared" si="37"/>
        <v>FLEX</v>
      </c>
      <c r="AA2423" s="8" t="e">
        <f>+VLOOKUP(I2423,[1]SKU!$H$2:$I$97,2,0)</f>
        <v>#N/A</v>
      </c>
    </row>
    <row r="2424" spans="24:27">
      <c r="X2424" s="8" t="str">
        <f>+IFERROR(VLOOKUP(N2424,[1]Hoja1!$B$2:$F$52,4,0)*P2424,"")</f>
        <v/>
      </c>
      <c r="Y2424" s="8" t="e">
        <f>+VLOOKUP(M2424,[1]SKU!$B$3:$E$81,4,0)</f>
        <v>#N/A</v>
      </c>
      <c r="Z2424" s="8" t="str">
        <f t="shared" si="37"/>
        <v>FLEX</v>
      </c>
      <c r="AA2424" s="8" t="e">
        <f>+VLOOKUP(I2424,[1]SKU!$H$2:$I$97,2,0)</f>
        <v>#N/A</v>
      </c>
    </row>
    <row r="2425" spans="24:27">
      <c r="X2425" s="8" t="str">
        <f>+IFERROR(VLOOKUP(N2425,[1]Hoja1!$B$2:$F$52,4,0)*P2425,"")</f>
        <v/>
      </c>
      <c r="Y2425" s="8" t="e">
        <f>+VLOOKUP(M2425,[1]SKU!$B$3:$E$81,4,0)</f>
        <v>#N/A</v>
      </c>
      <c r="Z2425" s="8" t="str">
        <f t="shared" si="37"/>
        <v>FLEX</v>
      </c>
      <c r="AA2425" s="8" t="e">
        <f>+VLOOKUP(I2425,[1]SKU!$H$2:$I$97,2,0)</f>
        <v>#N/A</v>
      </c>
    </row>
    <row r="2426" spans="24:27">
      <c r="X2426" s="8" t="str">
        <f>+IFERROR(VLOOKUP(N2426,[1]Hoja1!$B$2:$F$52,4,0)*P2426,"")</f>
        <v/>
      </c>
      <c r="Y2426" s="8" t="e">
        <f>+VLOOKUP(M2426,[1]SKU!$B$3:$E$81,4,0)</f>
        <v>#N/A</v>
      </c>
      <c r="Z2426" s="8" t="str">
        <f t="shared" si="37"/>
        <v>FLEX</v>
      </c>
      <c r="AA2426" s="8" t="e">
        <f>+VLOOKUP(I2426,[1]SKU!$H$2:$I$97,2,0)</f>
        <v>#N/A</v>
      </c>
    </row>
    <row r="2427" spans="24:27">
      <c r="X2427" s="8" t="str">
        <f>+IFERROR(VLOOKUP(N2427,[1]Hoja1!$B$2:$F$52,4,0)*P2427,"")</f>
        <v/>
      </c>
      <c r="Y2427" s="8" t="e">
        <f>+VLOOKUP(M2427,[1]SKU!$B$3:$E$81,4,0)</f>
        <v>#N/A</v>
      </c>
      <c r="Z2427" s="8" t="str">
        <f t="shared" si="37"/>
        <v>FLEX</v>
      </c>
      <c r="AA2427" s="8" t="e">
        <f>+VLOOKUP(I2427,[1]SKU!$H$2:$I$97,2,0)</f>
        <v>#N/A</v>
      </c>
    </row>
    <row r="2428" spans="24:27">
      <c r="X2428" s="8" t="str">
        <f>+IFERROR(VLOOKUP(N2428,[1]Hoja1!$B$2:$F$52,4,0)*P2428,"")</f>
        <v/>
      </c>
      <c r="Y2428" s="8" t="e">
        <f>+VLOOKUP(M2428,[1]SKU!$B$3:$E$81,4,0)</f>
        <v>#N/A</v>
      </c>
      <c r="Z2428" s="8" t="str">
        <f t="shared" si="37"/>
        <v>FLEX</v>
      </c>
      <c r="AA2428" s="8" t="e">
        <f>+VLOOKUP(I2428,[1]SKU!$H$2:$I$97,2,0)</f>
        <v>#N/A</v>
      </c>
    </row>
    <row r="2429" spans="24:27">
      <c r="X2429" s="8" t="str">
        <f>+IFERROR(VLOOKUP(N2429,[1]Hoja1!$B$2:$F$52,4,0)*P2429,"")</f>
        <v/>
      </c>
      <c r="Y2429" s="8" t="e">
        <f>+VLOOKUP(M2429,[1]SKU!$B$3:$E$81,4,0)</f>
        <v>#N/A</v>
      </c>
      <c r="Z2429" s="8" t="str">
        <f t="shared" si="37"/>
        <v>FLEX</v>
      </c>
      <c r="AA2429" s="8" t="e">
        <f>+VLOOKUP(I2429,[1]SKU!$H$2:$I$97,2,0)</f>
        <v>#N/A</v>
      </c>
    </row>
    <row r="2430" spans="24:27">
      <c r="X2430" s="8" t="str">
        <f>+IFERROR(VLOOKUP(N2430,[1]Hoja1!$B$2:$F$52,4,0)*P2430,"")</f>
        <v/>
      </c>
      <c r="Y2430" s="8" t="e">
        <f>+VLOOKUP(M2430,[1]SKU!$B$3:$E$81,4,0)</f>
        <v>#N/A</v>
      </c>
      <c r="Z2430" s="8" t="str">
        <f t="shared" si="37"/>
        <v>FLEX</v>
      </c>
      <c r="AA2430" s="8" t="e">
        <f>+VLOOKUP(I2430,[1]SKU!$H$2:$I$97,2,0)</f>
        <v>#N/A</v>
      </c>
    </row>
    <row r="2431" spans="24:27">
      <c r="X2431" s="8" t="str">
        <f>+IFERROR(VLOOKUP(N2431,[1]Hoja1!$B$2:$F$52,4,0)*P2431,"")</f>
        <v/>
      </c>
      <c r="Y2431" s="8" t="e">
        <f>+VLOOKUP(M2431,[1]SKU!$B$3:$E$81,4,0)</f>
        <v>#N/A</v>
      </c>
      <c r="Z2431" s="8" t="str">
        <f t="shared" si="37"/>
        <v>FLEX</v>
      </c>
      <c r="AA2431" s="8" t="e">
        <f>+VLOOKUP(I2431,[1]SKU!$H$2:$I$97,2,0)</f>
        <v>#N/A</v>
      </c>
    </row>
    <row r="2432" spans="24:27">
      <c r="X2432" s="8" t="str">
        <f>+IFERROR(VLOOKUP(N2432,[1]Hoja1!$B$2:$F$52,4,0)*P2432,"")</f>
        <v/>
      </c>
      <c r="Y2432" s="8" t="e">
        <f>+VLOOKUP(M2432,[1]SKU!$B$3:$E$81,4,0)</f>
        <v>#N/A</v>
      </c>
      <c r="Z2432" s="8" t="str">
        <f t="shared" si="37"/>
        <v>FLEX</v>
      </c>
      <c r="AA2432" s="8" t="e">
        <f>+VLOOKUP(I2432,[1]SKU!$H$2:$I$97,2,0)</f>
        <v>#N/A</v>
      </c>
    </row>
    <row r="2433" spans="24:27">
      <c r="X2433" s="8" t="str">
        <f>+IFERROR(VLOOKUP(N2433,[1]Hoja1!$B$2:$F$52,4,0)*P2433,"")</f>
        <v/>
      </c>
      <c r="Y2433" s="8" t="e">
        <f>+VLOOKUP(M2433,[1]SKU!$B$3:$E$81,4,0)</f>
        <v>#N/A</v>
      </c>
      <c r="Z2433" s="8" t="str">
        <f t="shared" si="37"/>
        <v>FLEX</v>
      </c>
      <c r="AA2433" s="8" t="e">
        <f>+VLOOKUP(I2433,[1]SKU!$H$2:$I$97,2,0)</f>
        <v>#N/A</v>
      </c>
    </row>
    <row r="2434" spans="24:27">
      <c r="X2434" s="8" t="str">
        <f>+IFERROR(VLOOKUP(N2434,[1]Hoja1!$B$2:$F$52,4,0)*P2434,"")</f>
        <v/>
      </c>
      <c r="Y2434" s="8" t="e">
        <f>+VLOOKUP(M2434,[1]SKU!$B$3:$E$81,4,0)</f>
        <v>#N/A</v>
      </c>
      <c r="Z2434" s="8" t="str">
        <f t="shared" si="37"/>
        <v>FLEX</v>
      </c>
      <c r="AA2434" s="8" t="e">
        <f>+VLOOKUP(I2434,[1]SKU!$H$2:$I$97,2,0)</f>
        <v>#N/A</v>
      </c>
    </row>
    <row r="2435" spans="24:27">
      <c r="X2435" s="8" t="str">
        <f>+IFERROR(VLOOKUP(N2435,[1]Hoja1!$B$2:$F$52,4,0)*P2435,"")</f>
        <v/>
      </c>
      <c r="Y2435" s="8" t="e">
        <f>+VLOOKUP(M2435,[1]SKU!$B$3:$E$81,4,0)</f>
        <v>#N/A</v>
      </c>
      <c r="Z2435" s="8" t="str">
        <f t="shared" ref="Z2435:Z2498" si="38">+IF(J2435="VB01                          ","BEES","FLEX")</f>
        <v>FLEX</v>
      </c>
      <c r="AA2435" s="8" t="e">
        <f>+VLOOKUP(I2435,[1]SKU!$H$2:$I$97,2,0)</f>
        <v>#N/A</v>
      </c>
    </row>
    <row r="2436" spans="24:27">
      <c r="X2436" s="8" t="str">
        <f>+IFERROR(VLOOKUP(N2436,[1]Hoja1!$B$2:$F$52,4,0)*P2436,"")</f>
        <v/>
      </c>
      <c r="Y2436" s="8" t="e">
        <f>+VLOOKUP(M2436,[1]SKU!$B$3:$E$81,4,0)</f>
        <v>#N/A</v>
      </c>
      <c r="Z2436" s="8" t="str">
        <f t="shared" si="38"/>
        <v>FLEX</v>
      </c>
      <c r="AA2436" s="8" t="e">
        <f>+VLOOKUP(I2436,[1]SKU!$H$2:$I$97,2,0)</f>
        <v>#N/A</v>
      </c>
    </row>
    <row r="2437" spans="24:27">
      <c r="X2437" s="8" t="str">
        <f>+IFERROR(VLOOKUP(N2437,[1]Hoja1!$B$2:$F$52,4,0)*P2437,"")</f>
        <v/>
      </c>
      <c r="Y2437" s="8" t="e">
        <f>+VLOOKUP(M2437,[1]SKU!$B$3:$E$81,4,0)</f>
        <v>#N/A</v>
      </c>
      <c r="Z2437" s="8" t="str">
        <f t="shared" si="38"/>
        <v>FLEX</v>
      </c>
      <c r="AA2437" s="8" t="e">
        <f>+VLOOKUP(I2437,[1]SKU!$H$2:$I$97,2,0)</f>
        <v>#N/A</v>
      </c>
    </row>
    <row r="2438" spans="24:27">
      <c r="X2438" s="8" t="str">
        <f>+IFERROR(VLOOKUP(N2438,[1]Hoja1!$B$2:$F$52,4,0)*P2438,"")</f>
        <v/>
      </c>
      <c r="Y2438" s="8" t="e">
        <f>+VLOOKUP(M2438,[1]SKU!$B$3:$E$81,4,0)</f>
        <v>#N/A</v>
      </c>
      <c r="Z2438" s="8" t="str">
        <f t="shared" si="38"/>
        <v>FLEX</v>
      </c>
      <c r="AA2438" s="8" t="e">
        <f>+VLOOKUP(I2438,[1]SKU!$H$2:$I$97,2,0)</f>
        <v>#N/A</v>
      </c>
    </row>
    <row r="2439" spans="24:27">
      <c r="X2439" s="8" t="str">
        <f>+IFERROR(VLOOKUP(N2439,[1]Hoja1!$B$2:$F$52,4,0)*P2439,"")</f>
        <v/>
      </c>
      <c r="Y2439" s="8" t="e">
        <f>+VLOOKUP(M2439,[1]SKU!$B$3:$E$81,4,0)</f>
        <v>#N/A</v>
      </c>
      <c r="Z2439" s="8" t="str">
        <f t="shared" si="38"/>
        <v>FLEX</v>
      </c>
      <c r="AA2439" s="8" t="e">
        <f>+VLOOKUP(I2439,[1]SKU!$H$2:$I$97,2,0)</f>
        <v>#N/A</v>
      </c>
    </row>
    <row r="2440" spans="24:27">
      <c r="X2440" s="8" t="str">
        <f>+IFERROR(VLOOKUP(N2440,[1]Hoja1!$B$2:$F$52,4,0)*P2440,"")</f>
        <v/>
      </c>
      <c r="Y2440" s="8" t="e">
        <f>+VLOOKUP(M2440,[1]SKU!$B$3:$E$81,4,0)</f>
        <v>#N/A</v>
      </c>
      <c r="Z2440" s="8" t="str">
        <f t="shared" si="38"/>
        <v>FLEX</v>
      </c>
      <c r="AA2440" s="8" t="e">
        <f>+VLOOKUP(I2440,[1]SKU!$H$2:$I$97,2,0)</f>
        <v>#N/A</v>
      </c>
    </row>
    <row r="2441" spans="24:27">
      <c r="X2441" s="8" t="str">
        <f>+IFERROR(VLOOKUP(N2441,[1]Hoja1!$B$2:$F$52,4,0)*P2441,"")</f>
        <v/>
      </c>
      <c r="Y2441" s="8" t="e">
        <f>+VLOOKUP(M2441,[1]SKU!$B$3:$E$81,4,0)</f>
        <v>#N/A</v>
      </c>
      <c r="Z2441" s="8" t="str">
        <f t="shared" si="38"/>
        <v>FLEX</v>
      </c>
      <c r="AA2441" s="8" t="e">
        <f>+VLOOKUP(I2441,[1]SKU!$H$2:$I$97,2,0)</f>
        <v>#N/A</v>
      </c>
    </row>
    <row r="2442" spans="24:27">
      <c r="X2442" s="8" t="str">
        <f>+IFERROR(VLOOKUP(N2442,[1]Hoja1!$B$2:$F$52,4,0)*P2442,"")</f>
        <v/>
      </c>
      <c r="Y2442" s="8" t="e">
        <f>+VLOOKUP(M2442,[1]SKU!$B$3:$E$81,4,0)</f>
        <v>#N/A</v>
      </c>
      <c r="Z2442" s="8" t="str">
        <f t="shared" si="38"/>
        <v>FLEX</v>
      </c>
      <c r="AA2442" s="8" t="e">
        <f>+VLOOKUP(I2442,[1]SKU!$H$2:$I$97,2,0)</f>
        <v>#N/A</v>
      </c>
    </row>
    <row r="2443" spans="24:27">
      <c r="X2443" s="8" t="str">
        <f>+IFERROR(VLOOKUP(N2443,[1]Hoja1!$B$2:$F$52,4,0)*P2443,"")</f>
        <v/>
      </c>
      <c r="Y2443" s="8" t="e">
        <f>+VLOOKUP(M2443,[1]SKU!$B$3:$E$81,4,0)</f>
        <v>#N/A</v>
      </c>
      <c r="Z2443" s="8" t="str">
        <f t="shared" si="38"/>
        <v>FLEX</v>
      </c>
      <c r="AA2443" s="8" t="e">
        <f>+VLOOKUP(I2443,[1]SKU!$H$2:$I$97,2,0)</f>
        <v>#N/A</v>
      </c>
    </row>
    <row r="2444" spans="24:27">
      <c r="X2444" s="8" t="str">
        <f>+IFERROR(VLOOKUP(N2444,[1]Hoja1!$B$2:$F$52,4,0)*P2444,"")</f>
        <v/>
      </c>
      <c r="Y2444" s="8" t="e">
        <f>+VLOOKUP(M2444,[1]SKU!$B$3:$E$81,4,0)</f>
        <v>#N/A</v>
      </c>
      <c r="Z2444" s="8" t="str">
        <f t="shared" si="38"/>
        <v>FLEX</v>
      </c>
      <c r="AA2444" s="8" t="e">
        <f>+VLOOKUP(I2444,[1]SKU!$H$2:$I$97,2,0)</f>
        <v>#N/A</v>
      </c>
    </row>
    <row r="2445" spans="24:27">
      <c r="X2445" s="8" t="str">
        <f>+IFERROR(VLOOKUP(N2445,[1]Hoja1!$B$2:$F$52,4,0)*P2445,"")</f>
        <v/>
      </c>
      <c r="Y2445" s="8" t="e">
        <f>+VLOOKUP(M2445,[1]SKU!$B$3:$E$81,4,0)</f>
        <v>#N/A</v>
      </c>
      <c r="Z2445" s="8" t="str">
        <f t="shared" si="38"/>
        <v>FLEX</v>
      </c>
      <c r="AA2445" s="8" t="e">
        <f>+VLOOKUP(I2445,[1]SKU!$H$2:$I$97,2,0)</f>
        <v>#N/A</v>
      </c>
    </row>
    <row r="2446" spans="24:27">
      <c r="X2446" s="8" t="str">
        <f>+IFERROR(VLOOKUP(N2446,[1]Hoja1!$B$2:$F$52,4,0)*P2446,"")</f>
        <v/>
      </c>
      <c r="Y2446" s="8" t="e">
        <f>+VLOOKUP(M2446,[1]SKU!$B$3:$E$81,4,0)</f>
        <v>#N/A</v>
      </c>
      <c r="Z2446" s="8" t="str">
        <f t="shared" si="38"/>
        <v>FLEX</v>
      </c>
      <c r="AA2446" s="8" t="e">
        <f>+VLOOKUP(I2446,[1]SKU!$H$2:$I$97,2,0)</f>
        <v>#N/A</v>
      </c>
    </row>
    <row r="2447" spans="24:27">
      <c r="X2447" s="8" t="str">
        <f>+IFERROR(VLOOKUP(N2447,[1]Hoja1!$B$2:$F$52,4,0)*P2447,"")</f>
        <v/>
      </c>
      <c r="Y2447" s="8" t="e">
        <f>+VLOOKUP(M2447,[1]SKU!$B$3:$E$81,4,0)</f>
        <v>#N/A</v>
      </c>
      <c r="Z2447" s="8" t="str">
        <f t="shared" si="38"/>
        <v>FLEX</v>
      </c>
      <c r="AA2447" s="8" t="e">
        <f>+VLOOKUP(I2447,[1]SKU!$H$2:$I$97,2,0)</f>
        <v>#N/A</v>
      </c>
    </row>
    <row r="2448" spans="24:27">
      <c r="X2448" s="8" t="str">
        <f>+IFERROR(VLOOKUP(N2448,[1]Hoja1!$B$2:$F$52,4,0)*P2448,"")</f>
        <v/>
      </c>
      <c r="Y2448" s="8" t="e">
        <f>+VLOOKUP(M2448,[1]SKU!$B$3:$E$81,4,0)</f>
        <v>#N/A</v>
      </c>
      <c r="Z2448" s="8" t="str">
        <f t="shared" si="38"/>
        <v>FLEX</v>
      </c>
      <c r="AA2448" s="8" t="e">
        <f>+VLOOKUP(I2448,[1]SKU!$H$2:$I$97,2,0)</f>
        <v>#N/A</v>
      </c>
    </row>
    <row r="2449" spans="24:27">
      <c r="X2449" s="8" t="str">
        <f>+IFERROR(VLOOKUP(N2449,[1]Hoja1!$B$2:$F$52,4,0)*P2449,"")</f>
        <v/>
      </c>
      <c r="Y2449" s="8" t="e">
        <f>+VLOOKUP(M2449,[1]SKU!$B$3:$E$81,4,0)</f>
        <v>#N/A</v>
      </c>
      <c r="Z2449" s="8" t="str">
        <f t="shared" si="38"/>
        <v>FLEX</v>
      </c>
      <c r="AA2449" s="8" t="e">
        <f>+VLOOKUP(I2449,[1]SKU!$H$2:$I$97,2,0)</f>
        <v>#N/A</v>
      </c>
    </row>
    <row r="2450" spans="24:27">
      <c r="X2450" s="8" t="str">
        <f>+IFERROR(VLOOKUP(N2450,[1]Hoja1!$B$2:$F$52,4,0)*P2450,"")</f>
        <v/>
      </c>
      <c r="Y2450" s="8" t="e">
        <f>+VLOOKUP(M2450,[1]SKU!$B$3:$E$81,4,0)</f>
        <v>#N/A</v>
      </c>
      <c r="Z2450" s="8" t="str">
        <f t="shared" si="38"/>
        <v>FLEX</v>
      </c>
      <c r="AA2450" s="8" t="e">
        <f>+VLOOKUP(I2450,[1]SKU!$H$2:$I$97,2,0)</f>
        <v>#N/A</v>
      </c>
    </row>
    <row r="2451" spans="24:27">
      <c r="X2451" s="8" t="str">
        <f>+IFERROR(VLOOKUP(N2451,[1]Hoja1!$B$2:$F$52,4,0)*P2451,"")</f>
        <v/>
      </c>
      <c r="Y2451" s="8" t="e">
        <f>+VLOOKUP(M2451,[1]SKU!$B$3:$E$81,4,0)</f>
        <v>#N/A</v>
      </c>
      <c r="Z2451" s="8" t="str">
        <f t="shared" si="38"/>
        <v>FLEX</v>
      </c>
      <c r="AA2451" s="8" t="e">
        <f>+VLOOKUP(I2451,[1]SKU!$H$2:$I$97,2,0)</f>
        <v>#N/A</v>
      </c>
    </row>
    <row r="2452" spans="24:27">
      <c r="X2452" s="8" t="str">
        <f>+IFERROR(VLOOKUP(N2452,[1]Hoja1!$B$2:$F$52,4,0)*P2452,"")</f>
        <v/>
      </c>
      <c r="Y2452" s="8" t="e">
        <f>+VLOOKUP(M2452,[1]SKU!$B$3:$E$81,4,0)</f>
        <v>#N/A</v>
      </c>
      <c r="Z2452" s="8" t="str">
        <f t="shared" si="38"/>
        <v>FLEX</v>
      </c>
      <c r="AA2452" s="8" t="e">
        <f>+VLOOKUP(I2452,[1]SKU!$H$2:$I$97,2,0)</f>
        <v>#N/A</v>
      </c>
    </row>
    <row r="2453" spans="24:27">
      <c r="X2453" s="8" t="str">
        <f>+IFERROR(VLOOKUP(N2453,[1]Hoja1!$B$2:$F$52,4,0)*P2453,"")</f>
        <v/>
      </c>
      <c r="Y2453" s="8" t="e">
        <f>+VLOOKUP(M2453,[1]SKU!$B$3:$E$81,4,0)</f>
        <v>#N/A</v>
      </c>
      <c r="Z2453" s="8" t="str">
        <f t="shared" si="38"/>
        <v>FLEX</v>
      </c>
      <c r="AA2453" s="8" t="e">
        <f>+VLOOKUP(I2453,[1]SKU!$H$2:$I$97,2,0)</f>
        <v>#N/A</v>
      </c>
    </row>
    <row r="2454" spans="24:27">
      <c r="X2454" s="8" t="str">
        <f>+IFERROR(VLOOKUP(N2454,[1]Hoja1!$B$2:$F$52,4,0)*P2454,"")</f>
        <v/>
      </c>
      <c r="Y2454" s="8" t="e">
        <f>+VLOOKUP(M2454,[1]SKU!$B$3:$E$81,4,0)</f>
        <v>#N/A</v>
      </c>
      <c r="Z2454" s="8" t="str">
        <f t="shared" si="38"/>
        <v>FLEX</v>
      </c>
      <c r="AA2454" s="8" t="e">
        <f>+VLOOKUP(I2454,[1]SKU!$H$2:$I$97,2,0)</f>
        <v>#N/A</v>
      </c>
    </row>
    <row r="2455" spans="24:27">
      <c r="X2455" s="8" t="str">
        <f>+IFERROR(VLOOKUP(N2455,[1]Hoja1!$B$2:$F$52,4,0)*P2455,"")</f>
        <v/>
      </c>
      <c r="Y2455" s="8" t="e">
        <f>+VLOOKUP(M2455,[1]SKU!$B$3:$E$81,4,0)</f>
        <v>#N/A</v>
      </c>
      <c r="Z2455" s="8" t="str">
        <f t="shared" si="38"/>
        <v>FLEX</v>
      </c>
      <c r="AA2455" s="8" t="e">
        <f>+VLOOKUP(I2455,[1]SKU!$H$2:$I$97,2,0)</f>
        <v>#N/A</v>
      </c>
    </row>
    <row r="2456" spans="24:27">
      <c r="X2456" s="8" t="str">
        <f>+IFERROR(VLOOKUP(N2456,[1]Hoja1!$B$2:$F$52,4,0)*P2456,"")</f>
        <v/>
      </c>
      <c r="Y2456" s="8" t="e">
        <f>+VLOOKUP(M2456,[1]SKU!$B$3:$E$81,4,0)</f>
        <v>#N/A</v>
      </c>
      <c r="Z2456" s="8" t="str">
        <f t="shared" si="38"/>
        <v>FLEX</v>
      </c>
      <c r="AA2456" s="8" t="e">
        <f>+VLOOKUP(I2456,[1]SKU!$H$2:$I$97,2,0)</f>
        <v>#N/A</v>
      </c>
    </row>
    <row r="2457" spans="24:27">
      <c r="X2457" s="8" t="str">
        <f>+IFERROR(VLOOKUP(N2457,[1]Hoja1!$B$2:$F$52,4,0)*P2457,"")</f>
        <v/>
      </c>
      <c r="Y2457" s="8" t="e">
        <f>+VLOOKUP(M2457,[1]SKU!$B$3:$E$81,4,0)</f>
        <v>#N/A</v>
      </c>
      <c r="Z2457" s="8" t="str">
        <f t="shared" si="38"/>
        <v>FLEX</v>
      </c>
      <c r="AA2457" s="8" t="e">
        <f>+VLOOKUP(I2457,[1]SKU!$H$2:$I$97,2,0)</f>
        <v>#N/A</v>
      </c>
    </row>
    <row r="2458" spans="24:27">
      <c r="X2458" s="8" t="str">
        <f>+IFERROR(VLOOKUP(N2458,[1]Hoja1!$B$2:$F$52,4,0)*P2458,"")</f>
        <v/>
      </c>
      <c r="Y2458" s="8" t="e">
        <f>+VLOOKUP(M2458,[1]SKU!$B$3:$E$81,4,0)</f>
        <v>#N/A</v>
      </c>
      <c r="Z2458" s="8" t="str">
        <f t="shared" si="38"/>
        <v>FLEX</v>
      </c>
      <c r="AA2458" s="8" t="e">
        <f>+VLOOKUP(I2458,[1]SKU!$H$2:$I$97,2,0)</f>
        <v>#N/A</v>
      </c>
    </row>
    <row r="2459" spans="24:27">
      <c r="X2459" s="8" t="str">
        <f>+IFERROR(VLOOKUP(N2459,[1]Hoja1!$B$2:$F$52,4,0)*P2459,"")</f>
        <v/>
      </c>
      <c r="Y2459" s="8" t="e">
        <f>+VLOOKUP(M2459,[1]SKU!$B$3:$E$81,4,0)</f>
        <v>#N/A</v>
      </c>
      <c r="Z2459" s="8" t="str">
        <f t="shared" si="38"/>
        <v>FLEX</v>
      </c>
      <c r="AA2459" s="8" t="e">
        <f>+VLOOKUP(I2459,[1]SKU!$H$2:$I$97,2,0)</f>
        <v>#N/A</v>
      </c>
    </row>
    <row r="2460" spans="24:27">
      <c r="X2460" s="8" t="str">
        <f>+IFERROR(VLOOKUP(N2460,[1]Hoja1!$B$2:$F$52,4,0)*P2460,"")</f>
        <v/>
      </c>
      <c r="Y2460" s="8" t="e">
        <f>+VLOOKUP(M2460,[1]SKU!$B$3:$E$81,4,0)</f>
        <v>#N/A</v>
      </c>
      <c r="Z2460" s="8" t="str">
        <f t="shared" si="38"/>
        <v>FLEX</v>
      </c>
      <c r="AA2460" s="8" t="e">
        <f>+VLOOKUP(I2460,[1]SKU!$H$2:$I$97,2,0)</f>
        <v>#N/A</v>
      </c>
    </row>
    <row r="2461" spans="24:27">
      <c r="X2461" s="8" t="str">
        <f>+IFERROR(VLOOKUP(N2461,[1]Hoja1!$B$2:$F$52,4,0)*P2461,"")</f>
        <v/>
      </c>
      <c r="Y2461" s="8" t="e">
        <f>+VLOOKUP(M2461,[1]SKU!$B$3:$E$81,4,0)</f>
        <v>#N/A</v>
      </c>
      <c r="Z2461" s="8" t="str">
        <f t="shared" si="38"/>
        <v>FLEX</v>
      </c>
      <c r="AA2461" s="8" t="e">
        <f>+VLOOKUP(I2461,[1]SKU!$H$2:$I$97,2,0)</f>
        <v>#N/A</v>
      </c>
    </row>
    <row r="2462" spans="24:27">
      <c r="X2462" s="8" t="str">
        <f>+IFERROR(VLOOKUP(N2462,[1]Hoja1!$B$2:$F$52,4,0)*P2462,"")</f>
        <v/>
      </c>
      <c r="Y2462" s="8" t="e">
        <f>+VLOOKUP(M2462,[1]SKU!$B$3:$E$81,4,0)</f>
        <v>#N/A</v>
      </c>
      <c r="Z2462" s="8" t="str">
        <f t="shared" si="38"/>
        <v>FLEX</v>
      </c>
      <c r="AA2462" s="8" t="e">
        <f>+VLOOKUP(I2462,[1]SKU!$H$2:$I$97,2,0)</f>
        <v>#N/A</v>
      </c>
    </row>
    <row r="2463" spans="24:27">
      <c r="X2463" s="8" t="str">
        <f>+IFERROR(VLOOKUP(N2463,[1]Hoja1!$B$2:$F$52,4,0)*P2463,"")</f>
        <v/>
      </c>
      <c r="Y2463" s="8" t="e">
        <f>+VLOOKUP(M2463,[1]SKU!$B$3:$E$81,4,0)</f>
        <v>#N/A</v>
      </c>
      <c r="Z2463" s="8" t="str">
        <f t="shared" si="38"/>
        <v>FLEX</v>
      </c>
      <c r="AA2463" s="8" t="e">
        <f>+VLOOKUP(I2463,[1]SKU!$H$2:$I$97,2,0)</f>
        <v>#N/A</v>
      </c>
    </row>
    <row r="2464" spans="24:27">
      <c r="X2464" s="8" t="str">
        <f>+IFERROR(VLOOKUP(N2464,[1]Hoja1!$B$2:$F$52,4,0)*P2464,"")</f>
        <v/>
      </c>
      <c r="Y2464" s="8" t="e">
        <f>+VLOOKUP(M2464,[1]SKU!$B$3:$E$81,4,0)</f>
        <v>#N/A</v>
      </c>
      <c r="Z2464" s="8" t="str">
        <f t="shared" si="38"/>
        <v>FLEX</v>
      </c>
      <c r="AA2464" s="8" t="e">
        <f>+VLOOKUP(I2464,[1]SKU!$H$2:$I$97,2,0)</f>
        <v>#N/A</v>
      </c>
    </row>
    <row r="2465" spans="24:27">
      <c r="X2465" s="8" t="str">
        <f>+IFERROR(VLOOKUP(N2465,[1]Hoja1!$B$2:$F$52,4,0)*P2465,"")</f>
        <v/>
      </c>
      <c r="Y2465" s="8" t="e">
        <f>+VLOOKUP(M2465,[1]SKU!$B$3:$E$81,4,0)</f>
        <v>#N/A</v>
      </c>
      <c r="Z2465" s="8" t="str">
        <f t="shared" si="38"/>
        <v>FLEX</v>
      </c>
      <c r="AA2465" s="8" t="e">
        <f>+VLOOKUP(I2465,[1]SKU!$H$2:$I$97,2,0)</f>
        <v>#N/A</v>
      </c>
    </row>
    <row r="2466" spans="24:27">
      <c r="X2466" s="8" t="str">
        <f>+IFERROR(VLOOKUP(N2466,[1]Hoja1!$B$2:$F$52,4,0)*P2466,"")</f>
        <v/>
      </c>
      <c r="Y2466" s="8" t="e">
        <f>+VLOOKUP(M2466,[1]SKU!$B$3:$E$81,4,0)</f>
        <v>#N/A</v>
      </c>
      <c r="Z2466" s="8" t="str">
        <f t="shared" si="38"/>
        <v>FLEX</v>
      </c>
      <c r="AA2466" s="8" t="e">
        <f>+VLOOKUP(I2466,[1]SKU!$H$2:$I$97,2,0)</f>
        <v>#N/A</v>
      </c>
    </row>
    <row r="2467" spans="24:27">
      <c r="X2467" s="8" t="str">
        <f>+IFERROR(VLOOKUP(N2467,[1]Hoja1!$B$2:$F$52,4,0)*P2467,"")</f>
        <v/>
      </c>
      <c r="Y2467" s="8" t="e">
        <f>+VLOOKUP(M2467,[1]SKU!$B$3:$E$81,4,0)</f>
        <v>#N/A</v>
      </c>
      <c r="Z2467" s="8" t="str">
        <f t="shared" si="38"/>
        <v>FLEX</v>
      </c>
      <c r="AA2467" s="8" t="e">
        <f>+VLOOKUP(I2467,[1]SKU!$H$2:$I$97,2,0)</f>
        <v>#N/A</v>
      </c>
    </row>
    <row r="2468" spans="24:27">
      <c r="X2468" s="8" t="str">
        <f>+IFERROR(VLOOKUP(N2468,[1]Hoja1!$B$2:$F$52,4,0)*P2468,"")</f>
        <v/>
      </c>
      <c r="Y2468" s="8" t="e">
        <f>+VLOOKUP(M2468,[1]SKU!$B$3:$E$81,4,0)</f>
        <v>#N/A</v>
      </c>
      <c r="Z2468" s="8" t="str">
        <f t="shared" si="38"/>
        <v>FLEX</v>
      </c>
      <c r="AA2468" s="8" t="e">
        <f>+VLOOKUP(I2468,[1]SKU!$H$2:$I$97,2,0)</f>
        <v>#N/A</v>
      </c>
    </row>
    <row r="2469" spans="24:27">
      <c r="X2469" s="8" t="str">
        <f>+IFERROR(VLOOKUP(N2469,[1]Hoja1!$B$2:$F$52,4,0)*P2469,"")</f>
        <v/>
      </c>
      <c r="Y2469" s="8" t="e">
        <f>+VLOOKUP(M2469,[1]SKU!$B$3:$E$81,4,0)</f>
        <v>#N/A</v>
      </c>
      <c r="Z2469" s="8" t="str">
        <f t="shared" si="38"/>
        <v>FLEX</v>
      </c>
      <c r="AA2469" s="8" t="e">
        <f>+VLOOKUP(I2469,[1]SKU!$H$2:$I$97,2,0)</f>
        <v>#N/A</v>
      </c>
    </row>
    <row r="2470" spans="24:27">
      <c r="X2470" s="8" t="str">
        <f>+IFERROR(VLOOKUP(N2470,[1]Hoja1!$B$2:$F$52,4,0)*P2470,"")</f>
        <v/>
      </c>
      <c r="Y2470" s="8" t="e">
        <f>+VLOOKUP(M2470,[1]SKU!$B$3:$E$81,4,0)</f>
        <v>#N/A</v>
      </c>
      <c r="Z2470" s="8" t="str">
        <f t="shared" si="38"/>
        <v>FLEX</v>
      </c>
      <c r="AA2470" s="8" t="e">
        <f>+VLOOKUP(I2470,[1]SKU!$H$2:$I$97,2,0)</f>
        <v>#N/A</v>
      </c>
    </row>
    <row r="2471" spans="24:27">
      <c r="X2471" s="8" t="str">
        <f>+IFERROR(VLOOKUP(N2471,[1]Hoja1!$B$2:$F$52,4,0)*P2471,"")</f>
        <v/>
      </c>
      <c r="Y2471" s="8" t="e">
        <f>+VLOOKUP(M2471,[1]SKU!$B$3:$E$81,4,0)</f>
        <v>#N/A</v>
      </c>
      <c r="Z2471" s="8" t="str">
        <f t="shared" si="38"/>
        <v>FLEX</v>
      </c>
      <c r="AA2471" s="8" t="e">
        <f>+VLOOKUP(I2471,[1]SKU!$H$2:$I$97,2,0)</f>
        <v>#N/A</v>
      </c>
    </row>
    <row r="2472" spans="24:27">
      <c r="X2472" s="8" t="str">
        <f>+IFERROR(VLOOKUP(N2472,[1]Hoja1!$B$2:$F$52,4,0)*P2472,"")</f>
        <v/>
      </c>
      <c r="Y2472" s="8" t="e">
        <f>+VLOOKUP(M2472,[1]SKU!$B$3:$E$81,4,0)</f>
        <v>#N/A</v>
      </c>
      <c r="Z2472" s="8" t="str">
        <f t="shared" si="38"/>
        <v>FLEX</v>
      </c>
      <c r="AA2472" s="8" t="e">
        <f>+VLOOKUP(I2472,[1]SKU!$H$2:$I$97,2,0)</f>
        <v>#N/A</v>
      </c>
    </row>
    <row r="2473" spans="24:27">
      <c r="X2473" s="8" t="str">
        <f>+IFERROR(VLOOKUP(N2473,[1]Hoja1!$B$2:$F$52,4,0)*P2473,"")</f>
        <v/>
      </c>
      <c r="Y2473" s="8" t="e">
        <f>+VLOOKUP(M2473,[1]SKU!$B$3:$E$81,4,0)</f>
        <v>#N/A</v>
      </c>
      <c r="Z2473" s="8" t="str">
        <f t="shared" si="38"/>
        <v>FLEX</v>
      </c>
      <c r="AA2473" s="8" t="e">
        <f>+VLOOKUP(I2473,[1]SKU!$H$2:$I$97,2,0)</f>
        <v>#N/A</v>
      </c>
    </row>
    <row r="2474" spans="24:27">
      <c r="X2474" s="8" t="str">
        <f>+IFERROR(VLOOKUP(N2474,[1]Hoja1!$B$2:$F$52,4,0)*P2474,"")</f>
        <v/>
      </c>
      <c r="Y2474" s="8" t="e">
        <f>+VLOOKUP(M2474,[1]SKU!$B$3:$E$81,4,0)</f>
        <v>#N/A</v>
      </c>
      <c r="Z2474" s="8" t="str">
        <f t="shared" si="38"/>
        <v>FLEX</v>
      </c>
      <c r="AA2474" s="8" t="e">
        <f>+VLOOKUP(I2474,[1]SKU!$H$2:$I$97,2,0)</f>
        <v>#N/A</v>
      </c>
    </row>
    <row r="2475" spans="24:27">
      <c r="X2475" s="8" t="str">
        <f>+IFERROR(VLOOKUP(N2475,[1]Hoja1!$B$2:$F$52,4,0)*P2475,"")</f>
        <v/>
      </c>
      <c r="Y2475" s="8" t="e">
        <f>+VLOOKUP(M2475,[1]SKU!$B$3:$E$81,4,0)</f>
        <v>#N/A</v>
      </c>
      <c r="Z2475" s="8" t="str">
        <f t="shared" si="38"/>
        <v>FLEX</v>
      </c>
      <c r="AA2475" s="8" t="e">
        <f>+VLOOKUP(I2475,[1]SKU!$H$2:$I$97,2,0)</f>
        <v>#N/A</v>
      </c>
    </row>
    <row r="2476" spans="24:27">
      <c r="X2476" s="8" t="str">
        <f>+IFERROR(VLOOKUP(N2476,[1]Hoja1!$B$2:$F$52,4,0)*P2476,"")</f>
        <v/>
      </c>
      <c r="Y2476" s="8" t="e">
        <f>+VLOOKUP(M2476,[1]SKU!$B$3:$E$81,4,0)</f>
        <v>#N/A</v>
      </c>
      <c r="Z2476" s="8" t="str">
        <f t="shared" si="38"/>
        <v>FLEX</v>
      </c>
      <c r="AA2476" s="8" t="e">
        <f>+VLOOKUP(I2476,[1]SKU!$H$2:$I$97,2,0)</f>
        <v>#N/A</v>
      </c>
    </row>
    <row r="2477" spans="24:27">
      <c r="X2477" s="8" t="str">
        <f>+IFERROR(VLOOKUP(N2477,[1]Hoja1!$B$2:$F$52,4,0)*P2477,"")</f>
        <v/>
      </c>
      <c r="Y2477" s="8" t="e">
        <f>+VLOOKUP(M2477,[1]SKU!$B$3:$E$81,4,0)</f>
        <v>#N/A</v>
      </c>
      <c r="Z2477" s="8" t="str">
        <f t="shared" si="38"/>
        <v>FLEX</v>
      </c>
      <c r="AA2477" s="8" t="e">
        <f>+VLOOKUP(I2477,[1]SKU!$H$2:$I$97,2,0)</f>
        <v>#N/A</v>
      </c>
    </row>
    <row r="2478" spans="24:27">
      <c r="X2478" s="8" t="str">
        <f>+IFERROR(VLOOKUP(N2478,[1]Hoja1!$B$2:$F$52,4,0)*P2478,"")</f>
        <v/>
      </c>
      <c r="Y2478" s="8" t="e">
        <f>+VLOOKUP(M2478,[1]SKU!$B$3:$E$81,4,0)</f>
        <v>#N/A</v>
      </c>
      <c r="Z2478" s="8" t="str">
        <f t="shared" si="38"/>
        <v>FLEX</v>
      </c>
      <c r="AA2478" s="8" t="e">
        <f>+VLOOKUP(I2478,[1]SKU!$H$2:$I$97,2,0)</f>
        <v>#N/A</v>
      </c>
    </row>
    <row r="2479" spans="24:27">
      <c r="X2479" s="8" t="str">
        <f>+IFERROR(VLOOKUP(N2479,[1]Hoja1!$B$2:$F$52,4,0)*P2479,"")</f>
        <v/>
      </c>
      <c r="Y2479" s="8" t="e">
        <f>+VLOOKUP(M2479,[1]SKU!$B$3:$E$81,4,0)</f>
        <v>#N/A</v>
      </c>
      <c r="Z2479" s="8" t="str">
        <f t="shared" si="38"/>
        <v>FLEX</v>
      </c>
      <c r="AA2479" s="8" t="e">
        <f>+VLOOKUP(I2479,[1]SKU!$H$2:$I$97,2,0)</f>
        <v>#N/A</v>
      </c>
    </row>
    <row r="2480" spans="24:27">
      <c r="X2480" s="8" t="str">
        <f>+IFERROR(VLOOKUP(N2480,[1]Hoja1!$B$2:$F$52,4,0)*P2480,"")</f>
        <v/>
      </c>
      <c r="Y2480" s="8" t="e">
        <f>+VLOOKUP(M2480,[1]SKU!$B$3:$E$81,4,0)</f>
        <v>#N/A</v>
      </c>
      <c r="Z2480" s="8" t="str">
        <f t="shared" si="38"/>
        <v>FLEX</v>
      </c>
      <c r="AA2480" s="8" t="e">
        <f>+VLOOKUP(I2480,[1]SKU!$H$2:$I$97,2,0)</f>
        <v>#N/A</v>
      </c>
    </row>
    <row r="2481" spans="24:27">
      <c r="X2481" s="8" t="str">
        <f>+IFERROR(VLOOKUP(N2481,[1]Hoja1!$B$2:$F$52,4,0)*P2481,"")</f>
        <v/>
      </c>
      <c r="Y2481" s="8" t="e">
        <f>+VLOOKUP(M2481,[1]SKU!$B$3:$E$81,4,0)</f>
        <v>#N/A</v>
      </c>
      <c r="Z2481" s="8" t="str">
        <f t="shared" si="38"/>
        <v>FLEX</v>
      </c>
      <c r="AA2481" s="8" t="e">
        <f>+VLOOKUP(I2481,[1]SKU!$H$2:$I$97,2,0)</f>
        <v>#N/A</v>
      </c>
    </row>
    <row r="2482" spans="24:27">
      <c r="X2482" s="8" t="str">
        <f>+IFERROR(VLOOKUP(N2482,[1]Hoja1!$B$2:$F$52,4,0)*P2482,"")</f>
        <v/>
      </c>
      <c r="Y2482" s="8" t="e">
        <f>+VLOOKUP(M2482,[1]SKU!$B$3:$E$81,4,0)</f>
        <v>#N/A</v>
      </c>
      <c r="Z2482" s="8" t="str">
        <f t="shared" si="38"/>
        <v>FLEX</v>
      </c>
      <c r="AA2482" s="8" t="e">
        <f>+VLOOKUP(I2482,[1]SKU!$H$2:$I$97,2,0)</f>
        <v>#N/A</v>
      </c>
    </row>
    <row r="2483" spans="24:27">
      <c r="X2483" s="8" t="str">
        <f>+IFERROR(VLOOKUP(N2483,[1]Hoja1!$B$2:$F$52,4,0)*P2483,"")</f>
        <v/>
      </c>
      <c r="Y2483" s="8" t="e">
        <f>+VLOOKUP(M2483,[1]SKU!$B$3:$E$81,4,0)</f>
        <v>#N/A</v>
      </c>
      <c r="Z2483" s="8" t="str">
        <f t="shared" si="38"/>
        <v>FLEX</v>
      </c>
      <c r="AA2483" s="8" t="e">
        <f>+VLOOKUP(I2483,[1]SKU!$H$2:$I$97,2,0)</f>
        <v>#N/A</v>
      </c>
    </row>
    <row r="2484" spans="24:27">
      <c r="X2484" s="8" t="str">
        <f>+IFERROR(VLOOKUP(N2484,[1]Hoja1!$B$2:$F$52,4,0)*P2484,"")</f>
        <v/>
      </c>
      <c r="Y2484" s="8" t="e">
        <f>+VLOOKUP(M2484,[1]SKU!$B$3:$E$81,4,0)</f>
        <v>#N/A</v>
      </c>
      <c r="Z2484" s="8" t="str">
        <f t="shared" si="38"/>
        <v>FLEX</v>
      </c>
      <c r="AA2484" s="8" t="e">
        <f>+VLOOKUP(I2484,[1]SKU!$H$2:$I$97,2,0)</f>
        <v>#N/A</v>
      </c>
    </row>
    <row r="2485" spans="24:27">
      <c r="X2485" s="8" t="str">
        <f>+IFERROR(VLOOKUP(N2485,[1]Hoja1!$B$2:$F$52,4,0)*P2485,"")</f>
        <v/>
      </c>
      <c r="Y2485" s="8" t="e">
        <f>+VLOOKUP(M2485,[1]SKU!$B$3:$E$81,4,0)</f>
        <v>#N/A</v>
      </c>
      <c r="Z2485" s="8" t="str">
        <f t="shared" si="38"/>
        <v>FLEX</v>
      </c>
      <c r="AA2485" s="8" t="e">
        <f>+VLOOKUP(I2485,[1]SKU!$H$2:$I$97,2,0)</f>
        <v>#N/A</v>
      </c>
    </row>
    <row r="2486" spans="24:27">
      <c r="X2486" s="8" t="str">
        <f>+IFERROR(VLOOKUP(N2486,[1]Hoja1!$B$2:$F$52,4,0)*P2486,"")</f>
        <v/>
      </c>
      <c r="Y2486" s="8" t="e">
        <f>+VLOOKUP(M2486,[1]SKU!$B$3:$E$81,4,0)</f>
        <v>#N/A</v>
      </c>
      <c r="Z2486" s="8" t="str">
        <f t="shared" si="38"/>
        <v>FLEX</v>
      </c>
      <c r="AA2486" s="8" t="e">
        <f>+VLOOKUP(I2486,[1]SKU!$H$2:$I$97,2,0)</f>
        <v>#N/A</v>
      </c>
    </row>
    <row r="2487" spans="24:27">
      <c r="X2487" s="8" t="str">
        <f>+IFERROR(VLOOKUP(N2487,[1]Hoja1!$B$2:$F$52,4,0)*P2487,"")</f>
        <v/>
      </c>
      <c r="Y2487" s="8" t="e">
        <f>+VLOOKUP(M2487,[1]SKU!$B$3:$E$81,4,0)</f>
        <v>#N/A</v>
      </c>
      <c r="Z2487" s="8" t="str">
        <f t="shared" si="38"/>
        <v>FLEX</v>
      </c>
      <c r="AA2487" s="8" t="e">
        <f>+VLOOKUP(I2487,[1]SKU!$H$2:$I$97,2,0)</f>
        <v>#N/A</v>
      </c>
    </row>
    <row r="2488" spans="24:27">
      <c r="X2488" s="8" t="str">
        <f>+IFERROR(VLOOKUP(N2488,[1]Hoja1!$B$2:$F$52,4,0)*P2488,"")</f>
        <v/>
      </c>
      <c r="Y2488" s="8" t="e">
        <f>+VLOOKUP(M2488,[1]SKU!$B$3:$E$81,4,0)</f>
        <v>#N/A</v>
      </c>
      <c r="Z2488" s="8" t="str">
        <f t="shared" si="38"/>
        <v>FLEX</v>
      </c>
      <c r="AA2488" s="8" t="e">
        <f>+VLOOKUP(I2488,[1]SKU!$H$2:$I$97,2,0)</f>
        <v>#N/A</v>
      </c>
    </row>
    <row r="2489" spans="24:27">
      <c r="X2489" s="8" t="str">
        <f>+IFERROR(VLOOKUP(N2489,[1]Hoja1!$B$2:$F$52,4,0)*P2489,"")</f>
        <v/>
      </c>
      <c r="Y2489" s="8" t="e">
        <f>+VLOOKUP(M2489,[1]SKU!$B$3:$E$81,4,0)</f>
        <v>#N/A</v>
      </c>
      <c r="Z2489" s="8" t="str">
        <f t="shared" si="38"/>
        <v>FLEX</v>
      </c>
      <c r="AA2489" s="8" t="e">
        <f>+VLOOKUP(I2489,[1]SKU!$H$2:$I$97,2,0)</f>
        <v>#N/A</v>
      </c>
    </row>
    <row r="2490" spans="24:27">
      <c r="X2490" s="8" t="str">
        <f>+IFERROR(VLOOKUP(N2490,[1]Hoja1!$B$2:$F$52,4,0)*P2490,"")</f>
        <v/>
      </c>
      <c r="Y2490" s="8" t="e">
        <f>+VLOOKUP(M2490,[1]SKU!$B$3:$E$81,4,0)</f>
        <v>#N/A</v>
      </c>
      <c r="Z2490" s="8" t="str">
        <f t="shared" si="38"/>
        <v>FLEX</v>
      </c>
      <c r="AA2490" s="8" t="e">
        <f>+VLOOKUP(I2490,[1]SKU!$H$2:$I$97,2,0)</f>
        <v>#N/A</v>
      </c>
    </row>
    <row r="2491" spans="24:27">
      <c r="X2491" s="8" t="str">
        <f>+IFERROR(VLOOKUP(N2491,[1]Hoja1!$B$2:$F$52,4,0)*P2491,"")</f>
        <v/>
      </c>
      <c r="Y2491" s="8" t="e">
        <f>+VLOOKUP(M2491,[1]SKU!$B$3:$E$81,4,0)</f>
        <v>#N/A</v>
      </c>
      <c r="Z2491" s="8" t="str">
        <f t="shared" si="38"/>
        <v>FLEX</v>
      </c>
      <c r="AA2491" s="8" t="e">
        <f>+VLOOKUP(I2491,[1]SKU!$H$2:$I$97,2,0)</f>
        <v>#N/A</v>
      </c>
    </row>
    <row r="2492" spans="24:27">
      <c r="X2492" s="8" t="str">
        <f>+IFERROR(VLOOKUP(N2492,[1]Hoja1!$B$2:$F$52,4,0)*P2492,"")</f>
        <v/>
      </c>
      <c r="Y2492" s="8" t="e">
        <f>+VLOOKUP(M2492,[1]SKU!$B$3:$E$81,4,0)</f>
        <v>#N/A</v>
      </c>
      <c r="Z2492" s="8" t="str">
        <f t="shared" si="38"/>
        <v>FLEX</v>
      </c>
      <c r="AA2492" s="8" t="e">
        <f>+VLOOKUP(I2492,[1]SKU!$H$2:$I$97,2,0)</f>
        <v>#N/A</v>
      </c>
    </row>
    <row r="2493" spans="24:27">
      <c r="X2493" s="8" t="str">
        <f>+IFERROR(VLOOKUP(N2493,[1]Hoja1!$B$2:$F$52,4,0)*P2493,"")</f>
        <v/>
      </c>
      <c r="Y2493" s="8" t="e">
        <f>+VLOOKUP(M2493,[1]SKU!$B$3:$E$81,4,0)</f>
        <v>#N/A</v>
      </c>
      <c r="Z2493" s="8" t="str">
        <f t="shared" si="38"/>
        <v>FLEX</v>
      </c>
      <c r="AA2493" s="8" t="e">
        <f>+VLOOKUP(I2493,[1]SKU!$H$2:$I$97,2,0)</f>
        <v>#N/A</v>
      </c>
    </row>
    <row r="2494" spans="24:27">
      <c r="X2494" s="8" t="str">
        <f>+IFERROR(VLOOKUP(N2494,[1]Hoja1!$B$2:$F$52,4,0)*P2494,"")</f>
        <v/>
      </c>
      <c r="Y2494" s="8" t="e">
        <f>+VLOOKUP(M2494,[1]SKU!$B$3:$E$81,4,0)</f>
        <v>#N/A</v>
      </c>
      <c r="Z2494" s="8" t="str">
        <f t="shared" si="38"/>
        <v>FLEX</v>
      </c>
      <c r="AA2494" s="8" t="e">
        <f>+VLOOKUP(I2494,[1]SKU!$H$2:$I$97,2,0)</f>
        <v>#N/A</v>
      </c>
    </row>
    <row r="2495" spans="24:27">
      <c r="X2495" s="8" t="str">
        <f>+IFERROR(VLOOKUP(N2495,[1]Hoja1!$B$2:$F$52,4,0)*P2495,"")</f>
        <v/>
      </c>
      <c r="Y2495" s="8" t="e">
        <f>+VLOOKUP(M2495,[1]SKU!$B$3:$E$81,4,0)</f>
        <v>#N/A</v>
      </c>
      <c r="Z2495" s="8" t="str">
        <f t="shared" si="38"/>
        <v>FLEX</v>
      </c>
      <c r="AA2495" s="8" t="e">
        <f>+VLOOKUP(I2495,[1]SKU!$H$2:$I$97,2,0)</f>
        <v>#N/A</v>
      </c>
    </row>
    <row r="2496" spans="24:27">
      <c r="X2496" s="8" t="str">
        <f>+IFERROR(VLOOKUP(N2496,[1]Hoja1!$B$2:$F$52,4,0)*P2496,"")</f>
        <v/>
      </c>
      <c r="Y2496" s="8" t="e">
        <f>+VLOOKUP(M2496,[1]SKU!$B$3:$E$81,4,0)</f>
        <v>#N/A</v>
      </c>
      <c r="Z2496" s="8" t="str">
        <f t="shared" si="38"/>
        <v>FLEX</v>
      </c>
      <c r="AA2496" s="8" t="e">
        <f>+VLOOKUP(I2496,[1]SKU!$H$2:$I$97,2,0)</f>
        <v>#N/A</v>
      </c>
    </row>
    <row r="2497" spans="24:27">
      <c r="X2497" s="8" t="str">
        <f>+IFERROR(VLOOKUP(N2497,[1]Hoja1!$B$2:$F$52,4,0)*P2497,"")</f>
        <v/>
      </c>
      <c r="Y2497" s="8" t="e">
        <f>+VLOOKUP(M2497,[1]SKU!$B$3:$E$81,4,0)</f>
        <v>#N/A</v>
      </c>
      <c r="Z2497" s="8" t="str">
        <f t="shared" si="38"/>
        <v>FLEX</v>
      </c>
      <c r="AA2497" s="8" t="e">
        <f>+VLOOKUP(I2497,[1]SKU!$H$2:$I$97,2,0)</f>
        <v>#N/A</v>
      </c>
    </row>
    <row r="2498" spans="24:27">
      <c r="X2498" s="8" t="str">
        <f>+IFERROR(VLOOKUP(N2498,[1]Hoja1!$B$2:$F$52,4,0)*P2498,"")</f>
        <v/>
      </c>
      <c r="Y2498" s="8" t="e">
        <f>+VLOOKUP(M2498,[1]SKU!$B$3:$E$81,4,0)</f>
        <v>#N/A</v>
      </c>
      <c r="Z2498" s="8" t="str">
        <f t="shared" si="38"/>
        <v>FLEX</v>
      </c>
      <c r="AA2498" s="8" t="e">
        <f>+VLOOKUP(I2498,[1]SKU!$H$2:$I$97,2,0)</f>
        <v>#N/A</v>
      </c>
    </row>
    <row r="2499" spans="24:27">
      <c r="X2499" s="8" t="str">
        <f>+IFERROR(VLOOKUP(N2499,[1]Hoja1!$B$2:$F$52,4,0)*P2499,"")</f>
        <v/>
      </c>
      <c r="Y2499" s="8" t="e">
        <f>+VLOOKUP(M2499,[1]SKU!$B$3:$E$81,4,0)</f>
        <v>#N/A</v>
      </c>
      <c r="Z2499" s="8" t="str">
        <f t="shared" ref="Z2499:Z2562" si="39">+IF(J2499="VB01                          ","BEES","FLEX")</f>
        <v>FLEX</v>
      </c>
      <c r="AA2499" s="8" t="e">
        <f>+VLOOKUP(I2499,[1]SKU!$H$2:$I$97,2,0)</f>
        <v>#N/A</v>
      </c>
    </row>
    <row r="2500" spans="24:27">
      <c r="X2500" s="8" t="str">
        <f>+IFERROR(VLOOKUP(N2500,[1]Hoja1!$B$2:$F$52,4,0)*P2500,"")</f>
        <v/>
      </c>
      <c r="Y2500" s="8" t="e">
        <f>+VLOOKUP(M2500,[1]SKU!$B$3:$E$81,4,0)</f>
        <v>#N/A</v>
      </c>
      <c r="Z2500" s="8" t="str">
        <f t="shared" si="39"/>
        <v>FLEX</v>
      </c>
      <c r="AA2500" s="8" t="e">
        <f>+VLOOKUP(I2500,[1]SKU!$H$2:$I$97,2,0)</f>
        <v>#N/A</v>
      </c>
    </row>
    <row r="2501" spans="24:27">
      <c r="X2501" s="8" t="str">
        <f>+IFERROR(VLOOKUP(N2501,[1]Hoja1!$B$2:$F$52,4,0)*P2501,"")</f>
        <v/>
      </c>
      <c r="Y2501" s="8" t="e">
        <f>+VLOOKUP(M2501,[1]SKU!$B$3:$E$81,4,0)</f>
        <v>#N/A</v>
      </c>
      <c r="Z2501" s="8" t="str">
        <f t="shared" si="39"/>
        <v>FLEX</v>
      </c>
      <c r="AA2501" s="8" t="e">
        <f>+VLOOKUP(I2501,[1]SKU!$H$2:$I$97,2,0)</f>
        <v>#N/A</v>
      </c>
    </row>
    <row r="2502" spans="24:27">
      <c r="X2502" s="8" t="str">
        <f>+IFERROR(VLOOKUP(N2502,[1]Hoja1!$B$2:$F$52,4,0)*P2502,"")</f>
        <v/>
      </c>
      <c r="Y2502" s="8" t="e">
        <f>+VLOOKUP(M2502,[1]SKU!$B$3:$E$81,4,0)</f>
        <v>#N/A</v>
      </c>
      <c r="Z2502" s="8" t="str">
        <f t="shared" si="39"/>
        <v>FLEX</v>
      </c>
      <c r="AA2502" s="8" t="e">
        <f>+VLOOKUP(I2502,[1]SKU!$H$2:$I$97,2,0)</f>
        <v>#N/A</v>
      </c>
    </row>
    <row r="2503" spans="24:27">
      <c r="X2503" s="8" t="str">
        <f>+IFERROR(VLOOKUP(N2503,[1]Hoja1!$B$2:$F$52,4,0)*P2503,"")</f>
        <v/>
      </c>
      <c r="Y2503" s="8" t="e">
        <f>+VLOOKUP(M2503,[1]SKU!$B$3:$E$81,4,0)</f>
        <v>#N/A</v>
      </c>
      <c r="Z2503" s="8" t="str">
        <f t="shared" si="39"/>
        <v>FLEX</v>
      </c>
      <c r="AA2503" s="8" t="e">
        <f>+VLOOKUP(I2503,[1]SKU!$H$2:$I$97,2,0)</f>
        <v>#N/A</v>
      </c>
    </row>
    <row r="2504" spans="24:27">
      <c r="X2504" s="8" t="str">
        <f>+IFERROR(VLOOKUP(N2504,[1]Hoja1!$B$2:$F$52,4,0)*P2504,"")</f>
        <v/>
      </c>
      <c r="Y2504" s="8" t="e">
        <f>+VLOOKUP(M2504,[1]SKU!$B$3:$E$81,4,0)</f>
        <v>#N/A</v>
      </c>
      <c r="Z2504" s="8" t="str">
        <f t="shared" si="39"/>
        <v>FLEX</v>
      </c>
      <c r="AA2504" s="8" t="e">
        <f>+VLOOKUP(I2504,[1]SKU!$H$2:$I$97,2,0)</f>
        <v>#N/A</v>
      </c>
    </row>
    <row r="2505" spans="24:27">
      <c r="X2505" s="8" t="str">
        <f>+IFERROR(VLOOKUP(N2505,[1]Hoja1!$B$2:$F$52,4,0)*P2505,"")</f>
        <v/>
      </c>
      <c r="Y2505" s="8" t="e">
        <f>+VLOOKUP(M2505,[1]SKU!$B$3:$E$81,4,0)</f>
        <v>#N/A</v>
      </c>
      <c r="Z2505" s="8" t="str">
        <f t="shared" si="39"/>
        <v>FLEX</v>
      </c>
      <c r="AA2505" s="8" t="e">
        <f>+VLOOKUP(I2505,[1]SKU!$H$2:$I$97,2,0)</f>
        <v>#N/A</v>
      </c>
    </row>
    <row r="2506" spans="24:27">
      <c r="X2506" s="8" t="str">
        <f>+IFERROR(VLOOKUP(N2506,[1]Hoja1!$B$2:$F$52,4,0)*P2506,"")</f>
        <v/>
      </c>
      <c r="Y2506" s="8" t="e">
        <f>+VLOOKUP(M2506,[1]SKU!$B$3:$E$81,4,0)</f>
        <v>#N/A</v>
      </c>
      <c r="Z2506" s="8" t="str">
        <f t="shared" si="39"/>
        <v>FLEX</v>
      </c>
      <c r="AA2506" s="8" t="e">
        <f>+VLOOKUP(I2506,[1]SKU!$H$2:$I$97,2,0)</f>
        <v>#N/A</v>
      </c>
    </row>
    <row r="2507" spans="24:27">
      <c r="X2507" s="8" t="str">
        <f>+IFERROR(VLOOKUP(N2507,[1]Hoja1!$B$2:$F$52,4,0)*P2507,"")</f>
        <v/>
      </c>
      <c r="Y2507" s="8" t="e">
        <f>+VLOOKUP(M2507,[1]SKU!$B$3:$E$81,4,0)</f>
        <v>#N/A</v>
      </c>
      <c r="Z2507" s="8" t="str">
        <f t="shared" si="39"/>
        <v>FLEX</v>
      </c>
      <c r="AA2507" s="8" t="e">
        <f>+VLOOKUP(I2507,[1]SKU!$H$2:$I$97,2,0)</f>
        <v>#N/A</v>
      </c>
    </row>
    <row r="2508" spans="24:27">
      <c r="X2508" s="8" t="str">
        <f>+IFERROR(VLOOKUP(N2508,[1]Hoja1!$B$2:$F$52,4,0)*P2508,"")</f>
        <v/>
      </c>
      <c r="Y2508" s="8" t="e">
        <f>+VLOOKUP(M2508,[1]SKU!$B$3:$E$81,4,0)</f>
        <v>#N/A</v>
      </c>
      <c r="Z2508" s="8" t="str">
        <f t="shared" si="39"/>
        <v>FLEX</v>
      </c>
      <c r="AA2508" s="8" t="e">
        <f>+VLOOKUP(I2508,[1]SKU!$H$2:$I$97,2,0)</f>
        <v>#N/A</v>
      </c>
    </row>
    <row r="2509" spans="24:27">
      <c r="X2509" s="8" t="str">
        <f>+IFERROR(VLOOKUP(N2509,[1]Hoja1!$B$2:$F$52,4,0)*P2509,"")</f>
        <v/>
      </c>
      <c r="Y2509" s="8" t="e">
        <f>+VLOOKUP(M2509,[1]SKU!$B$3:$E$81,4,0)</f>
        <v>#N/A</v>
      </c>
      <c r="Z2509" s="8" t="str">
        <f t="shared" si="39"/>
        <v>FLEX</v>
      </c>
      <c r="AA2509" s="8" t="e">
        <f>+VLOOKUP(I2509,[1]SKU!$H$2:$I$97,2,0)</f>
        <v>#N/A</v>
      </c>
    </row>
    <row r="2510" spans="24:27">
      <c r="X2510" s="8" t="str">
        <f>+IFERROR(VLOOKUP(N2510,[1]Hoja1!$B$2:$F$52,4,0)*P2510,"")</f>
        <v/>
      </c>
      <c r="Y2510" s="8" t="e">
        <f>+VLOOKUP(M2510,[1]SKU!$B$3:$E$81,4,0)</f>
        <v>#N/A</v>
      </c>
      <c r="Z2510" s="8" t="str">
        <f t="shared" si="39"/>
        <v>FLEX</v>
      </c>
      <c r="AA2510" s="8" t="e">
        <f>+VLOOKUP(I2510,[1]SKU!$H$2:$I$97,2,0)</f>
        <v>#N/A</v>
      </c>
    </row>
    <row r="2511" spans="24:27">
      <c r="X2511" s="8" t="str">
        <f>+IFERROR(VLOOKUP(N2511,[1]Hoja1!$B$2:$F$52,4,0)*P2511,"")</f>
        <v/>
      </c>
      <c r="Y2511" s="8" t="e">
        <f>+VLOOKUP(M2511,[1]SKU!$B$3:$E$81,4,0)</f>
        <v>#N/A</v>
      </c>
      <c r="Z2511" s="8" t="str">
        <f t="shared" si="39"/>
        <v>FLEX</v>
      </c>
      <c r="AA2511" s="8" t="e">
        <f>+VLOOKUP(I2511,[1]SKU!$H$2:$I$97,2,0)</f>
        <v>#N/A</v>
      </c>
    </row>
    <row r="2512" spans="24:27">
      <c r="X2512" s="8" t="str">
        <f>+IFERROR(VLOOKUP(N2512,[1]Hoja1!$B$2:$F$52,4,0)*P2512,"")</f>
        <v/>
      </c>
      <c r="Y2512" s="8" t="e">
        <f>+VLOOKUP(M2512,[1]SKU!$B$3:$E$81,4,0)</f>
        <v>#N/A</v>
      </c>
      <c r="Z2512" s="8" t="str">
        <f t="shared" si="39"/>
        <v>FLEX</v>
      </c>
      <c r="AA2512" s="8" t="e">
        <f>+VLOOKUP(I2512,[1]SKU!$H$2:$I$97,2,0)</f>
        <v>#N/A</v>
      </c>
    </row>
    <row r="2513" spans="24:27">
      <c r="X2513" s="8" t="str">
        <f>+IFERROR(VLOOKUP(N2513,[1]Hoja1!$B$2:$F$52,4,0)*P2513,"")</f>
        <v/>
      </c>
      <c r="Y2513" s="8" t="e">
        <f>+VLOOKUP(M2513,[1]SKU!$B$3:$E$81,4,0)</f>
        <v>#N/A</v>
      </c>
      <c r="Z2513" s="8" t="str">
        <f t="shared" si="39"/>
        <v>FLEX</v>
      </c>
      <c r="AA2513" s="8" t="e">
        <f>+VLOOKUP(I2513,[1]SKU!$H$2:$I$97,2,0)</f>
        <v>#N/A</v>
      </c>
    </row>
    <row r="2514" spans="24:27">
      <c r="X2514" s="8" t="str">
        <f>+IFERROR(VLOOKUP(N2514,[1]Hoja1!$B$2:$F$52,4,0)*P2514,"")</f>
        <v/>
      </c>
      <c r="Y2514" s="8" t="e">
        <f>+VLOOKUP(M2514,[1]SKU!$B$3:$E$81,4,0)</f>
        <v>#N/A</v>
      </c>
      <c r="Z2514" s="8" t="str">
        <f t="shared" si="39"/>
        <v>FLEX</v>
      </c>
      <c r="AA2514" s="8" t="e">
        <f>+VLOOKUP(I2514,[1]SKU!$H$2:$I$97,2,0)</f>
        <v>#N/A</v>
      </c>
    </row>
    <row r="2515" spans="24:27">
      <c r="X2515" s="8" t="str">
        <f>+IFERROR(VLOOKUP(N2515,[1]Hoja1!$B$2:$F$52,4,0)*P2515,"")</f>
        <v/>
      </c>
      <c r="Y2515" s="8" t="e">
        <f>+VLOOKUP(M2515,[1]SKU!$B$3:$E$81,4,0)</f>
        <v>#N/A</v>
      </c>
      <c r="Z2515" s="8" t="str">
        <f t="shared" si="39"/>
        <v>FLEX</v>
      </c>
      <c r="AA2515" s="8" t="e">
        <f>+VLOOKUP(I2515,[1]SKU!$H$2:$I$97,2,0)</f>
        <v>#N/A</v>
      </c>
    </row>
    <row r="2516" spans="24:27">
      <c r="X2516" s="8" t="str">
        <f>+IFERROR(VLOOKUP(N2516,[1]Hoja1!$B$2:$F$52,4,0)*P2516,"")</f>
        <v/>
      </c>
      <c r="Y2516" s="8" t="e">
        <f>+VLOOKUP(M2516,[1]SKU!$B$3:$E$81,4,0)</f>
        <v>#N/A</v>
      </c>
      <c r="Z2516" s="8" t="str">
        <f t="shared" si="39"/>
        <v>FLEX</v>
      </c>
      <c r="AA2516" s="8" t="e">
        <f>+VLOOKUP(I2516,[1]SKU!$H$2:$I$97,2,0)</f>
        <v>#N/A</v>
      </c>
    </row>
    <row r="2517" spans="24:27">
      <c r="X2517" s="8" t="str">
        <f>+IFERROR(VLOOKUP(N2517,[1]Hoja1!$B$2:$F$52,4,0)*P2517,"")</f>
        <v/>
      </c>
      <c r="Y2517" s="8" t="e">
        <f>+VLOOKUP(M2517,[1]SKU!$B$3:$E$81,4,0)</f>
        <v>#N/A</v>
      </c>
      <c r="Z2517" s="8" t="str">
        <f t="shared" si="39"/>
        <v>FLEX</v>
      </c>
      <c r="AA2517" s="8" t="e">
        <f>+VLOOKUP(I2517,[1]SKU!$H$2:$I$97,2,0)</f>
        <v>#N/A</v>
      </c>
    </row>
    <row r="2518" spans="24:27">
      <c r="X2518" s="8" t="str">
        <f>+IFERROR(VLOOKUP(N2518,[1]Hoja1!$B$2:$F$52,4,0)*P2518,"")</f>
        <v/>
      </c>
      <c r="Y2518" s="8" t="e">
        <f>+VLOOKUP(M2518,[1]SKU!$B$3:$E$81,4,0)</f>
        <v>#N/A</v>
      </c>
      <c r="Z2518" s="8" t="str">
        <f t="shared" si="39"/>
        <v>FLEX</v>
      </c>
      <c r="AA2518" s="8" t="e">
        <f>+VLOOKUP(I2518,[1]SKU!$H$2:$I$97,2,0)</f>
        <v>#N/A</v>
      </c>
    </row>
    <row r="2519" spans="24:27">
      <c r="X2519" s="8" t="str">
        <f>+IFERROR(VLOOKUP(N2519,[1]Hoja1!$B$2:$F$52,4,0)*P2519,"")</f>
        <v/>
      </c>
      <c r="Y2519" s="8" t="e">
        <f>+VLOOKUP(M2519,[1]SKU!$B$3:$E$81,4,0)</f>
        <v>#N/A</v>
      </c>
      <c r="Z2519" s="8" t="str">
        <f t="shared" si="39"/>
        <v>FLEX</v>
      </c>
      <c r="AA2519" s="8" t="e">
        <f>+VLOOKUP(I2519,[1]SKU!$H$2:$I$97,2,0)</f>
        <v>#N/A</v>
      </c>
    </row>
    <row r="2520" spans="24:27">
      <c r="X2520" s="8" t="str">
        <f>+IFERROR(VLOOKUP(N2520,[1]Hoja1!$B$2:$F$52,4,0)*P2520,"")</f>
        <v/>
      </c>
      <c r="Y2520" s="8" t="e">
        <f>+VLOOKUP(M2520,[1]SKU!$B$3:$E$81,4,0)</f>
        <v>#N/A</v>
      </c>
      <c r="Z2520" s="8" t="str">
        <f t="shared" si="39"/>
        <v>FLEX</v>
      </c>
      <c r="AA2520" s="8" t="e">
        <f>+VLOOKUP(I2520,[1]SKU!$H$2:$I$97,2,0)</f>
        <v>#N/A</v>
      </c>
    </row>
    <row r="2521" spans="24:27">
      <c r="X2521" s="8" t="str">
        <f>+IFERROR(VLOOKUP(N2521,[1]Hoja1!$B$2:$F$52,4,0)*P2521,"")</f>
        <v/>
      </c>
      <c r="Y2521" s="8" t="e">
        <f>+VLOOKUP(M2521,[1]SKU!$B$3:$E$81,4,0)</f>
        <v>#N/A</v>
      </c>
      <c r="Z2521" s="8" t="str">
        <f t="shared" si="39"/>
        <v>FLEX</v>
      </c>
      <c r="AA2521" s="8" t="e">
        <f>+VLOOKUP(I2521,[1]SKU!$H$2:$I$97,2,0)</f>
        <v>#N/A</v>
      </c>
    </row>
    <row r="2522" spans="24:27">
      <c r="X2522" s="8" t="str">
        <f>+IFERROR(VLOOKUP(N2522,[1]Hoja1!$B$2:$F$52,4,0)*P2522,"")</f>
        <v/>
      </c>
      <c r="Y2522" s="8" t="e">
        <f>+VLOOKUP(M2522,[1]SKU!$B$3:$E$81,4,0)</f>
        <v>#N/A</v>
      </c>
      <c r="Z2522" s="8" t="str">
        <f t="shared" si="39"/>
        <v>FLEX</v>
      </c>
      <c r="AA2522" s="8" t="e">
        <f>+VLOOKUP(I2522,[1]SKU!$H$2:$I$97,2,0)</f>
        <v>#N/A</v>
      </c>
    </row>
    <row r="2523" spans="24:27">
      <c r="X2523" s="8" t="str">
        <f>+IFERROR(VLOOKUP(N2523,[1]Hoja1!$B$2:$F$52,4,0)*P2523,"")</f>
        <v/>
      </c>
      <c r="Y2523" s="8" t="e">
        <f>+VLOOKUP(M2523,[1]SKU!$B$3:$E$81,4,0)</f>
        <v>#N/A</v>
      </c>
      <c r="Z2523" s="8" t="str">
        <f t="shared" si="39"/>
        <v>FLEX</v>
      </c>
      <c r="AA2523" s="8" t="e">
        <f>+VLOOKUP(I2523,[1]SKU!$H$2:$I$97,2,0)</f>
        <v>#N/A</v>
      </c>
    </row>
    <row r="2524" spans="24:27">
      <c r="X2524" s="8" t="str">
        <f>+IFERROR(VLOOKUP(N2524,[1]Hoja1!$B$2:$F$52,4,0)*P2524,"")</f>
        <v/>
      </c>
      <c r="Y2524" s="8" t="e">
        <f>+VLOOKUP(M2524,[1]SKU!$B$3:$E$81,4,0)</f>
        <v>#N/A</v>
      </c>
      <c r="Z2524" s="8" t="str">
        <f t="shared" si="39"/>
        <v>FLEX</v>
      </c>
      <c r="AA2524" s="8" t="e">
        <f>+VLOOKUP(I2524,[1]SKU!$H$2:$I$97,2,0)</f>
        <v>#N/A</v>
      </c>
    </row>
    <row r="2525" spans="24:27">
      <c r="X2525" s="8" t="str">
        <f>+IFERROR(VLOOKUP(N2525,[1]Hoja1!$B$2:$F$52,4,0)*P2525,"")</f>
        <v/>
      </c>
      <c r="Y2525" s="8" t="e">
        <f>+VLOOKUP(M2525,[1]SKU!$B$3:$E$81,4,0)</f>
        <v>#N/A</v>
      </c>
      <c r="Z2525" s="8" t="str">
        <f t="shared" si="39"/>
        <v>FLEX</v>
      </c>
      <c r="AA2525" s="8" t="e">
        <f>+VLOOKUP(I2525,[1]SKU!$H$2:$I$97,2,0)</f>
        <v>#N/A</v>
      </c>
    </row>
    <row r="2526" spans="24:27">
      <c r="X2526" s="8" t="str">
        <f>+IFERROR(VLOOKUP(N2526,[1]Hoja1!$B$2:$F$52,4,0)*P2526,"")</f>
        <v/>
      </c>
      <c r="Y2526" s="8" t="e">
        <f>+VLOOKUP(M2526,[1]SKU!$B$3:$E$81,4,0)</f>
        <v>#N/A</v>
      </c>
      <c r="Z2526" s="8" t="str">
        <f t="shared" si="39"/>
        <v>FLEX</v>
      </c>
      <c r="AA2526" s="8" t="e">
        <f>+VLOOKUP(I2526,[1]SKU!$H$2:$I$97,2,0)</f>
        <v>#N/A</v>
      </c>
    </row>
    <row r="2527" spans="24:27">
      <c r="X2527" s="8" t="str">
        <f>+IFERROR(VLOOKUP(N2527,[1]Hoja1!$B$2:$F$52,4,0)*P2527,"")</f>
        <v/>
      </c>
      <c r="Y2527" s="8" t="e">
        <f>+VLOOKUP(M2527,[1]SKU!$B$3:$E$81,4,0)</f>
        <v>#N/A</v>
      </c>
      <c r="Z2527" s="8" t="str">
        <f t="shared" si="39"/>
        <v>FLEX</v>
      </c>
      <c r="AA2527" s="8" t="e">
        <f>+VLOOKUP(I2527,[1]SKU!$H$2:$I$97,2,0)</f>
        <v>#N/A</v>
      </c>
    </row>
    <row r="2528" spans="24:27">
      <c r="X2528" s="8" t="str">
        <f>+IFERROR(VLOOKUP(N2528,[1]Hoja1!$B$2:$F$52,4,0)*P2528,"")</f>
        <v/>
      </c>
      <c r="Y2528" s="8" t="e">
        <f>+VLOOKUP(M2528,[1]SKU!$B$3:$E$81,4,0)</f>
        <v>#N/A</v>
      </c>
      <c r="Z2528" s="8" t="str">
        <f t="shared" si="39"/>
        <v>FLEX</v>
      </c>
      <c r="AA2528" s="8" t="e">
        <f>+VLOOKUP(I2528,[1]SKU!$H$2:$I$97,2,0)</f>
        <v>#N/A</v>
      </c>
    </row>
    <row r="2529" spans="24:27">
      <c r="X2529" s="8" t="str">
        <f>+IFERROR(VLOOKUP(N2529,[1]Hoja1!$B$2:$F$52,4,0)*P2529,"")</f>
        <v/>
      </c>
      <c r="Y2529" s="8" t="e">
        <f>+VLOOKUP(M2529,[1]SKU!$B$3:$E$81,4,0)</f>
        <v>#N/A</v>
      </c>
      <c r="Z2529" s="8" t="str">
        <f t="shared" si="39"/>
        <v>FLEX</v>
      </c>
      <c r="AA2529" s="8" t="e">
        <f>+VLOOKUP(I2529,[1]SKU!$H$2:$I$97,2,0)</f>
        <v>#N/A</v>
      </c>
    </row>
    <row r="2530" spans="24:27">
      <c r="X2530" s="8" t="str">
        <f>+IFERROR(VLOOKUP(N2530,[1]Hoja1!$B$2:$F$52,4,0)*P2530,"")</f>
        <v/>
      </c>
      <c r="Y2530" s="8" t="e">
        <f>+VLOOKUP(M2530,[1]SKU!$B$3:$E$81,4,0)</f>
        <v>#N/A</v>
      </c>
      <c r="Z2530" s="8" t="str">
        <f t="shared" si="39"/>
        <v>FLEX</v>
      </c>
      <c r="AA2530" s="8" t="e">
        <f>+VLOOKUP(I2530,[1]SKU!$H$2:$I$97,2,0)</f>
        <v>#N/A</v>
      </c>
    </row>
    <row r="2531" spans="24:27">
      <c r="X2531" s="8" t="str">
        <f>+IFERROR(VLOOKUP(N2531,[1]Hoja1!$B$2:$F$52,4,0)*P2531,"")</f>
        <v/>
      </c>
      <c r="Y2531" s="8" t="e">
        <f>+VLOOKUP(M2531,[1]SKU!$B$3:$E$81,4,0)</f>
        <v>#N/A</v>
      </c>
      <c r="Z2531" s="8" t="str">
        <f t="shared" si="39"/>
        <v>FLEX</v>
      </c>
      <c r="AA2531" s="8" t="e">
        <f>+VLOOKUP(I2531,[1]SKU!$H$2:$I$97,2,0)</f>
        <v>#N/A</v>
      </c>
    </row>
    <row r="2532" spans="24:27">
      <c r="X2532" s="8" t="str">
        <f>+IFERROR(VLOOKUP(N2532,[1]Hoja1!$B$2:$F$52,4,0)*P2532,"")</f>
        <v/>
      </c>
      <c r="Y2532" s="8" t="e">
        <f>+VLOOKUP(M2532,[1]SKU!$B$3:$E$81,4,0)</f>
        <v>#N/A</v>
      </c>
      <c r="Z2532" s="8" t="str">
        <f t="shared" si="39"/>
        <v>FLEX</v>
      </c>
      <c r="AA2532" s="8" t="e">
        <f>+VLOOKUP(I2532,[1]SKU!$H$2:$I$97,2,0)</f>
        <v>#N/A</v>
      </c>
    </row>
    <row r="2533" spans="24:27">
      <c r="X2533" s="8" t="str">
        <f>+IFERROR(VLOOKUP(N2533,[1]Hoja1!$B$2:$F$52,4,0)*P2533,"")</f>
        <v/>
      </c>
      <c r="Y2533" s="8" t="e">
        <f>+VLOOKUP(M2533,[1]SKU!$B$3:$E$81,4,0)</f>
        <v>#N/A</v>
      </c>
      <c r="Z2533" s="8" t="str">
        <f t="shared" si="39"/>
        <v>FLEX</v>
      </c>
      <c r="AA2533" s="8" t="e">
        <f>+VLOOKUP(I2533,[1]SKU!$H$2:$I$97,2,0)</f>
        <v>#N/A</v>
      </c>
    </row>
    <row r="2534" spans="24:27">
      <c r="X2534" s="8" t="str">
        <f>+IFERROR(VLOOKUP(N2534,[1]Hoja1!$B$2:$F$52,4,0)*P2534,"")</f>
        <v/>
      </c>
      <c r="Y2534" s="8" t="e">
        <f>+VLOOKUP(M2534,[1]SKU!$B$3:$E$81,4,0)</f>
        <v>#N/A</v>
      </c>
      <c r="Z2534" s="8" t="str">
        <f t="shared" si="39"/>
        <v>FLEX</v>
      </c>
      <c r="AA2534" s="8" t="e">
        <f>+VLOOKUP(I2534,[1]SKU!$H$2:$I$97,2,0)</f>
        <v>#N/A</v>
      </c>
    </row>
    <row r="2535" spans="24:27">
      <c r="X2535" s="8" t="str">
        <f>+IFERROR(VLOOKUP(N2535,[1]Hoja1!$B$2:$F$52,4,0)*P2535,"")</f>
        <v/>
      </c>
      <c r="Y2535" s="8" t="e">
        <f>+VLOOKUP(M2535,[1]SKU!$B$3:$E$81,4,0)</f>
        <v>#N/A</v>
      </c>
      <c r="Z2535" s="8" t="str">
        <f t="shared" si="39"/>
        <v>FLEX</v>
      </c>
      <c r="AA2535" s="8" t="e">
        <f>+VLOOKUP(I2535,[1]SKU!$H$2:$I$97,2,0)</f>
        <v>#N/A</v>
      </c>
    </row>
    <row r="2536" spans="24:27">
      <c r="X2536" s="8" t="str">
        <f>+IFERROR(VLOOKUP(N2536,[1]Hoja1!$B$2:$F$52,4,0)*P2536,"")</f>
        <v/>
      </c>
      <c r="Y2536" s="8" t="e">
        <f>+VLOOKUP(M2536,[1]SKU!$B$3:$E$81,4,0)</f>
        <v>#N/A</v>
      </c>
      <c r="Z2536" s="8" t="str">
        <f t="shared" si="39"/>
        <v>FLEX</v>
      </c>
      <c r="AA2536" s="8" t="e">
        <f>+VLOOKUP(I2536,[1]SKU!$H$2:$I$97,2,0)</f>
        <v>#N/A</v>
      </c>
    </row>
    <row r="2537" spans="24:27">
      <c r="X2537" s="8" t="str">
        <f>+IFERROR(VLOOKUP(N2537,[1]Hoja1!$B$2:$F$52,4,0)*P2537,"")</f>
        <v/>
      </c>
      <c r="Y2537" s="8" t="e">
        <f>+VLOOKUP(M2537,[1]SKU!$B$3:$E$81,4,0)</f>
        <v>#N/A</v>
      </c>
      <c r="Z2537" s="8" t="str">
        <f t="shared" si="39"/>
        <v>FLEX</v>
      </c>
      <c r="AA2537" s="8" t="e">
        <f>+VLOOKUP(I2537,[1]SKU!$H$2:$I$97,2,0)</f>
        <v>#N/A</v>
      </c>
    </row>
    <row r="2538" spans="24:27">
      <c r="X2538" s="8" t="str">
        <f>+IFERROR(VLOOKUP(N2538,[1]Hoja1!$B$2:$F$52,4,0)*P2538,"")</f>
        <v/>
      </c>
      <c r="Y2538" s="8" t="e">
        <f>+VLOOKUP(M2538,[1]SKU!$B$3:$E$81,4,0)</f>
        <v>#N/A</v>
      </c>
      <c r="Z2538" s="8" t="str">
        <f t="shared" si="39"/>
        <v>FLEX</v>
      </c>
      <c r="AA2538" s="8" t="e">
        <f>+VLOOKUP(I2538,[1]SKU!$H$2:$I$97,2,0)</f>
        <v>#N/A</v>
      </c>
    </row>
    <row r="2539" spans="24:27">
      <c r="X2539" s="8" t="str">
        <f>+IFERROR(VLOOKUP(N2539,[1]Hoja1!$B$2:$F$52,4,0)*P2539,"")</f>
        <v/>
      </c>
      <c r="Y2539" s="8" t="e">
        <f>+VLOOKUP(M2539,[1]SKU!$B$3:$E$81,4,0)</f>
        <v>#N/A</v>
      </c>
      <c r="Z2539" s="8" t="str">
        <f t="shared" si="39"/>
        <v>FLEX</v>
      </c>
      <c r="AA2539" s="8" t="e">
        <f>+VLOOKUP(I2539,[1]SKU!$H$2:$I$97,2,0)</f>
        <v>#N/A</v>
      </c>
    </row>
    <row r="2540" spans="24:27">
      <c r="X2540" s="8" t="str">
        <f>+IFERROR(VLOOKUP(N2540,[1]Hoja1!$B$2:$F$52,4,0)*P2540,"")</f>
        <v/>
      </c>
      <c r="Y2540" s="8" t="e">
        <f>+VLOOKUP(M2540,[1]SKU!$B$3:$E$81,4,0)</f>
        <v>#N/A</v>
      </c>
      <c r="Z2540" s="8" t="str">
        <f t="shared" si="39"/>
        <v>FLEX</v>
      </c>
      <c r="AA2540" s="8" t="e">
        <f>+VLOOKUP(I2540,[1]SKU!$H$2:$I$97,2,0)</f>
        <v>#N/A</v>
      </c>
    </row>
    <row r="2541" spans="24:27">
      <c r="X2541" s="8" t="str">
        <f>+IFERROR(VLOOKUP(N2541,[1]Hoja1!$B$2:$F$52,4,0)*P2541,"")</f>
        <v/>
      </c>
      <c r="Y2541" s="8" t="e">
        <f>+VLOOKUP(M2541,[1]SKU!$B$3:$E$81,4,0)</f>
        <v>#N/A</v>
      </c>
      <c r="Z2541" s="8" t="str">
        <f t="shared" si="39"/>
        <v>FLEX</v>
      </c>
      <c r="AA2541" s="8" t="e">
        <f>+VLOOKUP(I2541,[1]SKU!$H$2:$I$97,2,0)</f>
        <v>#N/A</v>
      </c>
    </row>
    <row r="2542" spans="24:27">
      <c r="X2542" s="8" t="str">
        <f>+IFERROR(VLOOKUP(N2542,[1]Hoja1!$B$2:$F$52,4,0)*P2542,"")</f>
        <v/>
      </c>
      <c r="Y2542" s="8" t="e">
        <f>+VLOOKUP(M2542,[1]SKU!$B$3:$E$81,4,0)</f>
        <v>#N/A</v>
      </c>
      <c r="Z2542" s="8" t="str">
        <f t="shared" si="39"/>
        <v>FLEX</v>
      </c>
      <c r="AA2542" s="8" t="e">
        <f>+VLOOKUP(I2542,[1]SKU!$H$2:$I$97,2,0)</f>
        <v>#N/A</v>
      </c>
    </row>
    <row r="2543" spans="24:27">
      <c r="X2543" s="8" t="str">
        <f>+IFERROR(VLOOKUP(N2543,[1]Hoja1!$B$2:$F$52,4,0)*P2543,"")</f>
        <v/>
      </c>
      <c r="Y2543" s="8" t="e">
        <f>+VLOOKUP(M2543,[1]SKU!$B$3:$E$81,4,0)</f>
        <v>#N/A</v>
      </c>
      <c r="Z2543" s="8" t="str">
        <f t="shared" si="39"/>
        <v>FLEX</v>
      </c>
      <c r="AA2543" s="8" t="e">
        <f>+VLOOKUP(I2543,[1]SKU!$H$2:$I$97,2,0)</f>
        <v>#N/A</v>
      </c>
    </row>
    <row r="2544" spans="24:27">
      <c r="X2544" s="8" t="str">
        <f>+IFERROR(VLOOKUP(N2544,[1]Hoja1!$B$2:$F$52,4,0)*P2544,"")</f>
        <v/>
      </c>
      <c r="Y2544" s="8" t="e">
        <f>+VLOOKUP(M2544,[1]SKU!$B$3:$E$81,4,0)</f>
        <v>#N/A</v>
      </c>
      <c r="Z2544" s="8" t="str">
        <f t="shared" si="39"/>
        <v>FLEX</v>
      </c>
      <c r="AA2544" s="8" t="e">
        <f>+VLOOKUP(I2544,[1]SKU!$H$2:$I$97,2,0)</f>
        <v>#N/A</v>
      </c>
    </row>
    <row r="2545" spans="24:27">
      <c r="X2545" s="8" t="str">
        <f>+IFERROR(VLOOKUP(N2545,[1]Hoja1!$B$2:$F$52,4,0)*P2545,"")</f>
        <v/>
      </c>
      <c r="Y2545" s="8" t="e">
        <f>+VLOOKUP(M2545,[1]SKU!$B$3:$E$81,4,0)</f>
        <v>#N/A</v>
      </c>
      <c r="Z2545" s="8" t="str">
        <f t="shared" si="39"/>
        <v>FLEX</v>
      </c>
      <c r="AA2545" s="8" t="e">
        <f>+VLOOKUP(I2545,[1]SKU!$H$2:$I$97,2,0)</f>
        <v>#N/A</v>
      </c>
    </row>
    <row r="2546" spans="24:27">
      <c r="X2546" s="8" t="str">
        <f>+IFERROR(VLOOKUP(N2546,[1]Hoja1!$B$2:$F$52,4,0)*P2546,"")</f>
        <v/>
      </c>
      <c r="Y2546" s="8" t="e">
        <f>+VLOOKUP(M2546,[1]SKU!$B$3:$E$81,4,0)</f>
        <v>#N/A</v>
      </c>
      <c r="Z2546" s="8" t="str">
        <f t="shared" si="39"/>
        <v>FLEX</v>
      </c>
      <c r="AA2546" s="8" t="e">
        <f>+VLOOKUP(I2546,[1]SKU!$H$2:$I$97,2,0)</f>
        <v>#N/A</v>
      </c>
    </row>
    <row r="2547" spans="24:27">
      <c r="X2547" s="8" t="str">
        <f>+IFERROR(VLOOKUP(N2547,[1]Hoja1!$B$2:$F$52,4,0)*P2547,"")</f>
        <v/>
      </c>
      <c r="Y2547" s="8" t="e">
        <f>+VLOOKUP(M2547,[1]SKU!$B$3:$E$81,4,0)</f>
        <v>#N/A</v>
      </c>
      <c r="Z2547" s="8" t="str">
        <f t="shared" si="39"/>
        <v>FLEX</v>
      </c>
      <c r="AA2547" s="8" t="e">
        <f>+VLOOKUP(I2547,[1]SKU!$H$2:$I$97,2,0)</f>
        <v>#N/A</v>
      </c>
    </row>
    <row r="2548" spans="24:27">
      <c r="X2548" s="8" t="str">
        <f>+IFERROR(VLOOKUP(N2548,[1]Hoja1!$B$2:$F$52,4,0)*P2548,"")</f>
        <v/>
      </c>
      <c r="Y2548" s="8" t="e">
        <f>+VLOOKUP(M2548,[1]SKU!$B$3:$E$81,4,0)</f>
        <v>#N/A</v>
      </c>
      <c r="Z2548" s="8" t="str">
        <f t="shared" si="39"/>
        <v>FLEX</v>
      </c>
      <c r="AA2548" s="8" t="e">
        <f>+VLOOKUP(I2548,[1]SKU!$H$2:$I$97,2,0)</f>
        <v>#N/A</v>
      </c>
    </row>
    <row r="2549" spans="24:27">
      <c r="X2549" s="8" t="str">
        <f>+IFERROR(VLOOKUP(N2549,[1]Hoja1!$B$2:$F$52,4,0)*P2549,"")</f>
        <v/>
      </c>
      <c r="Y2549" s="8" t="e">
        <f>+VLOOKUP(M2549,[1]SKU!$B$3:$E$81,4,0)</f>
        <v>#N/A</v>
      </c>
      <c r="Z2549" s="8" t="str">
        <f t="shared" si="39"/>
        <v>FLEX</v>
      </c>
      <c r="AA2549" s="8" t="e">
        <f>+VLOOKUP(I2549,[1]SKU!$H$2:$I$97,2,0)</f>
        <v>#N/A</v>
      </c>
    </row>
    <row r="2550" spans="24:27">
      <c r="X2550" s="8" t="str">
        <f>+IFERROR(VLOOKUP(N2550,[1]Hoja1!$B$2:$F$52,4,0)*P2550,"")</f>
        <v/>
      </c>
      <c r="Y2550" s="8" t="e">
        <f>+VLOOKUP(M2550,[1]SKU!$B$3:$E$81,4,0)</f>
        <v>#N/A</v>
      </c>
      <c r="Z2550" s="8" t="str">
        <f t="shared" si="39"/>
        <v>FLEX</v>
      </c>
      <c r="AA2550" s="8" t="e">
        <f>+VLOOKUP(I2550,[1]SKU!$H$2:$I$97,2,0)</f>
        <v>#N/A</v>
      </c>
    </row>
    <row r="2551" spans="24:27">
      <c r="X2551" s="8" t="str">
        <f>+IFERROR(VLOOKUP(N2551,[1]Hoja1!$B$2:$F$52,4,0)*P2551,"")</f>
        <v/>
      </c>
      <c r="Y2551" s="8" t="e">
        <f>+VLOOKUP(M2551,[1]SKU!$B$3:$E$81,4,0)</f>
        <v>#N/A</v>
      </c>
      <c r="Z2551" s="8" t="str">
        <f t="shared" si="39"/>
        <v>FLEX</v>
      </c>
      <c r="AA2551" s="8" t="e">
        <f>+VLOOKUP(I2551,[1]SKU!$H$2:$I$97,2,0)</f>
        <v>#N/A</v>
      </c>
    </row>
    <row r="2552" spans="24:27">
      <c r="X2552" s="8" t="str">
        <f>+IFERROR(VLOOKUP(N2552,[1]Hoja1!$B$2:$F$52,4,0)*P2552,"")</f>
        <v/>
      </c>
      <c r="Y2552" s="8" t="e">
        <f>+VLOOKUP(M2552,[1]SKU!$B$3:$E$81,4,0)</f>
        <v>#N/A</v>
      </c>
      <c r="Z2552" s="8" t="str">
        <f t="shared" si="39"/>
        <v>FLEX</v>
      </c>
      <c r="AA2552" s="8" t="e">
        <f>+VLOOKUP(I2552,[1]SKU!$H$2:$I$97,2,0)</f>
        <v>#N/A</v>
      </c>
    </row>
    <row r="2553" spans="24:27">
      <c r="X2553" s="8" t="str">
        <f>+IFERROR(VLOOKUP(N2553,[1]Hoja1!$B$2:$F$52,4,0)*P2553,"")</f>
        <v/>
      </c>
      <c r="Y2553" s="8" t="e">
        <f>+VLOOKUP(M2553,[1]SKU!$B$3:$E$81,4,0)</f>
        <v>#N/A</v>
      </c>
      <c r="Z2553" s="8" t="str">
        <f t="shared" si="39"/>
        <v>FLEX</v>
      </c>
      <c r="AA2553" s="8" t="e">
        <f>+VLOOKUP(I2553,[1]SKU!$H$2:$I$97,2,0)</f>
        <v>#N/A</v>
      </c>
    </row>
    <row r="2554" spans="24:27">
      <c r="X2554" s="8" t="str">
        <f>+IFERROR(VLOOKUP(N2554,[1]Hoja1!$B$2:$F$52,4,0)*P2554,"")</f>
        <v/>
      </c>
      <c r="Y2554" s="8" t="e">
        <f>+VLOOKUP(M2554,[1]SKU!$B$3:$E$81,4,0)</f>
        <v>#N/A</v>
      </c>
      <c r="Z2554" s="8" t="str">
        <f t="shared" si="39"/>
        <v>FLEX</v>
      </c>
      <c r="AA2554" s="8" t="e">
        <f>+VLOOKUP(I2554,[1]SKU!$H$2:$I$97,2,0)</f>
        <v>#N/A</v>
      </c>
    </row>
    <row r="2555" spans="24:27">
      <c r="X2555" s="8" t="str">
        <f>+IFERROR(VLOOKUP(N2555,[1]Hoja1!$B$2:$F$52,4,0)*P2555,"")</f>
        <v/>
      </c>
      <c r="Y2555" s="8" t="e">
        <f>+VLOOKUP(M2555,[1]SKU!$B$3:$E$81,4,0)</f>
        <v>#N/A</v>
      </c>
      <c r="Z2555" s="8" t="str">
        <f t="shared" si="39"/>
        <v>FLEX</v>
      </c>
      <c r="AA2555" s="8" t="e">
        <f>+VLOOKUP(I2555,[1]SKU!$H$2:$I$97,2,0)</f>
        <v>#N/A</v>
      </c>
    </row>
    <row r="2556" spans="24:27">
      <c r="X2556" s="8" t="str">
        <f>+IFERROR(VLOOKUP(N2556,[1]Hoja1!$B$2:$F$52,4,0)*P2556,"")</f>
        <v/>
      </c>
      <c r="Y2556" s="8" t="e">
        <f>+VLOOKUP(M2556,[1]SKU!$B$3:$E$81,4,0)</f>
        <v>#N/A</v>
      </c>
      <c r="Z2556" s="8" t="str">
        <f t="shared" si="39"/>
        <v>FLEX</v>
      </c>
      <c r="AA2556" s="8" t="e">
        <f>+VLOOKUP(I2556,[1]SKU!$H$2:$I$97,2,0)</f>
        <v>#N/A</v>
      </c>
    </row>
    <row r="2557" spans="24:27">
      <c r="X2557" s="8" t="str">
        <f>+IFERROR(VLOOKUP(N2557,[1]Hoja1!$B$2:$F$52,4,0)*P2557,"")</f>
        <v/>
      </c>
      <c r="Y2557" s="8" t="e">
        <f>+VLOOKUP(M2557,[1]SKU!$B$3:$E$81,4,0)</f>
        <v>#N/A</v>
      </c>
      <c r="Z2557" s="8" t="str">
        <f t="shared" si="39"/>
        <v>FLEX</v>
      </c>
      <c r="AA2557" s="8" t="e">
        <f>+VLOOKUP(I2557,[1]SKU!$H$2:$I$97,2,0)</f>
        <v>#N/A</v>
      </c>
    </row>
    <row r="2558" spans="24:27">
      <c r="X2558" s="8" t="str">
        <f>+IFERROR(VLOOKUP(N2558,[1]Hoja1!$B$2:$F$52,4,0)*P2558,"")</f>
        <v/>
      </c>
      <c r="Y2558" s="8" t="e">
        <f>+VLOOKUP(M2558,[1]SKU!$B$3:$E$81,4,0)</f>
        <v>#N/A</v>
      </c>
      <c r="Z2558" s="8" t="str">
        <f t="shared" si="39"/>
        <v>FLEX</v>
      </c>
      <c r="AA2558" s="8" t="e">
        <f>+VLOOKUP(I2558,[1]SKU!$H$2:$I$97,2,0)</f>
        <v>#N/A</v>
      </c>
    </row>
    <row r="2559" spans="24:27">
      <c r="X2559" s="8" t="str">
        <f>+IFERROR(VLOOKUP(N2559,[1]Hoja1!$B$2:$F$52,4,0)*P2559,"")</f>
        <v/>
      </c>
      <c r="Y2559" s="8" t="e">
        <f>+VLOOKUP(M2559,[1]SKU!$B$3:$E$81,4,0)</f>
        <v>#N/A</v>
      </c>
      <c r="Z2559" s="8" t="str">
        <f t="shared" si="39"/>
        <v>FLEX</v>
      </c>
      <c r="AA2559" s="8" t="e">
        <f>+VLOOKUP(I2559,[1]SKU!$H$2:$I$97,2,0)</f>
        <v>#N/A</v>
      </c>
    </row>
    <row r="2560" spans="24:27">
      <c r="X2560" s="8" t="str">
        <f>+IFERROR(VLOOKUP(N2560,[1]Hoja1!$B$2:$F$52,4,0)*P2560,"")</f>
        <v/>
      </c>
      <c r="Y2560" s="8" t="e">
        <f>+VLOOKUP(M2560,[1]SKU!$B$3:$E$81,4,0)</f>
        <v>#N/A</v>
      </c>
      <c r="Z2560" s="8" t="str">
        <f t="shared" si="39"/>
        <v>FLEX</v>
      </c>
      <c r="AA2560" s="8" t="e">
        <f>+VLOOKUP(I2560,[1]SKU!$H$2:$I$97,2,0)</f>
        <v>#N/A</v>
      </c>
    </row>
    <row r="2561" spans="24:27">
      <c r="X2561" s="8" t="str">
        <f>+IFERROR(VLOOKUP(N2561,[1]Hoja1!$B$2:$F$52,4,0)*P2561,"")</f>
        <v/>
      </c>
      <c r="Y2561" s="8" t="e">
        <f>+VLOOKUP(M2561,[1]SKU!$B$3:$E$81,4,0)</f>
        <v>#N/A</v>
      </c>
      <c r="Z2561" s="8" t="str">
        <f t="shared" si="39"/>
        <v>FLEX</v>
      </c>
      <c r="AA2561" s="8" t="e">
        <f>+VLOOKUP(I2561,[1]SKU!$H$2:$I$97,2,0)</f>
        <v>#N/A</v>
      </c>
    </row>
    <row r="2562" spans="24:27">
      <c r="X2562" s="8" t="str">
        <f>+IFERROR(VLOOKUP(N2562,[1]Hoja1!$B$2:$F$52,4,0)*P2562,"")</f>
        <v/>
      </c>
      <c r="Y2562" s="8" t="e">
        <f>+VLOOKUP(M2562,[1]SKU!$B$3:$E$81,4,0)</f>
        <v>#N/A</v>
      </c>
      <c r="Z2562" s="8" t="str">
        <f t="shared" si="39"/>
        <v>FLEX</v>
      </c>
      <c r="AA2562" s="8" t="e">
        <f>+VLOOKUP(I2562,[1]SKU!$H$2:$I$97,2,0)</f>
        <v>#N/A</v>
      </c>
    </row>
    <row r="2563" spans="24:27">
      <c r="X2563" s="8" t="str">
        <f>+IFERROR(VLOOKUP(N2563,[1]Hoja1!$B$2:$F$52,4,0)*P2563,"")</f>
        <v/>
      </c>
      <c r="Y2563" s="8" t="e">
        <f>+VLOOKUP(M2563,[1]SKU!$B$3:$E$81,4,0)</f>
        <v>#N/A</v>
      </c>
      <c r="Z2563" s="8" t="str">
        <f t="shared" ref="Z2563:Z2626" si="40">+IF(J2563="VB01                          ","BEES","FLEX")</f>
        <v>FLEX</v>
      </c>
      <c r="AA2563" s="8" t="e">
        <f>+VLOOKUP(I2563,[1]SKU!$H$2:$I$97,2,0)</f>
        <v>#N/A</v>
      </c>
    </row>
    <row r="2564" spans="24:27">
      <c r="X2564" s="8" t="str">
        <f>+IFERROR(VLOOKUP(N2564,[1]Hoja1!$B$2:$F$52,4,0)*P2564,"")</f>
        <v/>
      </c>
      <c r="Y2564" s="8" t="e">
        <f>+VLOOKUP(M2564,[1]SKU!$B$3:$E$81,4,0)</f>
        <v>#N/A</v>
      </c>
      <c r="Z2564" s="8" t="str">
        <f t="shared" si="40"/>
        <v>FLEX</v>
      </c>
      <c r="AA2564" s="8" t="e">
        <f>+VLOOKUP(I2564,[1]SKU!$H$2:$I$97,2,0)</f>
        <v>#N/A</v>
      </c>
    </row>
    <row r="2565" spans="24:27">
      <c r="X2565" s="8" t="str">
        <f>+IFERROR(VLOOKUP(N2565,[1]Hoja1!$B$2:$F$52,4,0)*P2565,"")</f>
        <v/>
      </c>
      <c r="Y2565" s="8" t="e">
        <f>+VLOOKUP(M2565,[1]SKU!$B$3:$E$81,4,0)</f>
        <v>#N/A</v>
      </c>
      <c r="Z2565" s="8" t="str">
        <f t="shared" si="40"/>
        <v>FLEX</v>
      </c>
      <c r="AA2565" s="8" t="e">
        <f>+VLOOKUP(I2565,[1]SKU!$H$2:$I$97,2,0)</f>
        <v>#N/A</v>
      </c>
    </row>
    <row r="2566" spans="24:27">
      <c r="X2566" s="8" t="str">
        <f>+IFERROR(VLOOKUP(N2566,[1]Hoja1!$B$2:$F$52,4,0)*P2566,"")</f>
        <v/>
      </c>
      <c r="Y2566" s="8" t="e">
        <f>+VLOOKUP(M2566,[1]SKU!$B$3:$E$81,4,0)</f>
        <v>#N/A</v>
      </c>
      <c r="Z2566" s="8" t="str">
        <f t="shared" si="40"/>
        <v>FLEX</v>
      </c>
      <c r="AA2566" s="8" t="e">
        <f>+VLOOKUP(I2566,[1]SKU!$H$2:$I$97,2,0)</f>
        <v>#N/A</v>
      </c>
    </row>
    <row r="2567" spans="24:27">
      <c r="X2567" s="8" t="str">
        <f>+IFERROR(VLOOKUP(N2567,[1]Hoja1!$B$2:$F$52,4,0)*P2567,"")</f>
        <v/>
      </c>
      <c r="Y2567" s="8" t="e">
        <f>+VLOOKUP(M2567,[1]SKU!$B$3:$E$81,4,0)</f>
        <v>#N/A</v>
      </c>
      <c r="Z2567" s="8" t="str">
        <f t="shared" si="40"/>
        <v>FLEX</v>
      </c>
      <c r="AA2567" s="8" t="e">
        <f>+VLOOKUP(I2567,[1]SKU!$H$2:$I$97,2,0)</f>
        <v>#N/A</v>
      </c>
    </row>
    <row r="2568" spans="24:27">
      <c r="X2568" s="8" t="str">
        <f>+IFERROR(VLOOKUP(N2568,[1]Hoja1!$B$2:$F$52,4,0)*P2568,"")</f>
        <v/>
      </c>
      <c r="Y2568" s="8" t="e">
        <f>+VLOOKUP(M2568,[1]SKU!$B$3:$E$81,4,0)</f>
        <v>#N/A</v>
      </c>
      <c r="Z2568" s="8" t="str">
        <f t="shared" si="40"/>
        <v>FLEX</v>
      </c>
      <c r="AA2568" s="8" t="e">
        <f>+VLOOKUP(I2568,[1]SKU!$H$2:$I$97,2,0)</f>
        <v>#N/A</v>
      </c>
    </row>
    <row r="2569" spans="24:27">
      <c r="X2569" s="8" t="str">
        <f>+IFERROR(VLOOKUP(N2569,[1]Hoja1!$B$2:$F$52,4,0)*P2569,"")</f>
        <v/>
      </c>
      <c r="Y2569" s="8" t="e">
        <f>+VLOOKUP(M2569,[1]SKU!$B$3:$E$81,4,0)</f>
        <v>#N/A</v>
      </c>
      <c r="Z2569" s="8" t="str">
        <f t="shared" si="40"/>
        <v>FLEX</v>
      </c>
      <c r="AA2569" s="8" t="e">
        <f>+VLOOKUP(I2569,[1]SKU!$H$2:$I$97,2,0)</f>
        <v>#N/A</v>
      </c>
    </row>
    <row r="2570" spans="24:27">
      <c r="X2570" s="8" t="str">
        <f>+IFERROR(VLOOKUP(N2570,[1]Hoja1!$B$2:$F$52,4,0)*P2570,"")</f>
        <v/>
      </c>
      <c r="Y2570" s="8" t="e">
        <f>+VLOOKUP(M2570,[1]SKU!$B$3:$E$81,4,0)</f>
        <v>#N/A</v>
      </c>
      <c r="Z2570" s="8" t="str">
        <f t="shared" si="40"/>
        <v>FLEX</v>
      </c>
      <c r="AA2570" s="8" t="e">
        <f>+VLOOKUP(I2570,[1]SKU!$H$2:$I$97,2,0)</f>
        <v>#N/A</v>
      </c>
    </row>
    <row r="2571" spans="24:27">
      <c r="X2571" s="8" t="str">
        <f>+IFERROR(VLOOKUP(N2571,[1]Hoja1!$B$2:$F$52,4,0)*P2571,"")</f>
        <v/>
      </c>
      <c r="Y2571" s="8" t="e">
        <f>+VLOOKUP(M2571,[1]SKU!$B$3:$E$81,4,0)</f>
        <v>#N/A</v>
      </c>
      <c r="Z2571" s="8" t="str">
        <f t="shared" si="40"/>
        <v>FLEX</v>
      </c>
      <c r="AA2571" s="8" t="e">
        <f>+VLOOKUP(I2571,[1]SKU!$H$2:$I$97,2,0)</f>
        <v>#N/A</v>
      </c>
    </row>
    <row r="2572" spans="24:27">
      <c r="X2572" s="8" t="str">
        <f>+IFERROR(VLOOKUP(N2572,[1]Hoja1!$B$2:$F$52,4,0)*P2572,"")</f>
        <v/>
      </c>
      <c r="Y2572" s="8" t="e">
        <f>+VLOOKUP(M2572,[1]SKU!$B$3:$E$81,4,0)</f>
        <v>#N/A</v>
      </c>
      <c r="Z2572" s="8" t="str">
        <f t="shared" si="40"/>
        <v>FLEX</v>
      </c>
      <c r="AA2572" s="8" t="e">
        <f>+VLOOKUP(I2572,[1]SKU!$H$2:$I$97,2,0)</f>
        <v>#N/A</v>
      </c>
    </row>
    <row r="2573" spans="24:27">
      <c r="X2573" s="8" t="str">
        <f>+IFERROR(VLOOKUP(N2573,[1]Hoja1!$B$2:$F$52,4,0)*P2573,"")</f>
        <v/>
      </c>
      <c r="Y2573" s="8" t="e">
        <f>+VLOOKUP(M2573,[1]SKU!$B$3:$E$81,4,0)</f>
        <v>#N/A</v>
      </c>
      <c r="Z2573" s="8" t="str">
        <f t="shared" si="40"/>
        <v>FLEX</v>
      </c>
      <c r="AA2573" s="8" t="e">
        <f>+VLOOKUP(I2573,[1]SKU!$H$2:$I$97,2,0)</f>
        <v>#N/A</v>
      </c>
    </row>
    <row r="2574" spans="24:27">
      <c r="X2574" s="8" t="str">
        <f>+IFERROR(VLOOKUP(N2574,[1]Hoja1!$B$2:$F$52,4,0)*P2574,"")</f>
        <v/>
      </c>
      <c r="Y2574" s="8" t="e">
        <f>+VLOOKUP(M2574,[1]SKU!$B$3:$E$81,4,0)</f>
        <v>#N/A</v>
      </c>
      <c r="Z2574" s="8" t="str">
        <f t="shared" si="40"/>
        <v>FLEX</v>
      </c>
      <c r="AA2574" s="8" t="e">
        <f>+VLOOKUP(I2574,[1]SKU!$H$2:$I$97,2,0)</f>
        <v>#N/A</v>
      </c>
    </row>
    <row r="2575" spans="24:27">
      <c r="X2575" s="8" t="str">
        <f>+IFERROR(VLOOKUP(N2575,[1]Hoja1!$B$2:$F$52,4,0)*P2575,"")</f>
        <v/>
      </c>
      <c r="Y2575" s="8" t="e">
        <f>+VLOOKUP(M2575,[1]SKU!$B$3:$E$81,4,0)</f>
        <v>#N/A</v>
      </c>
      <c r="Z2575" s="8" t="str">
        <f t="shared" si="40"/>
        <v>FLEX</v>
      </c>
      <c r="AA2575" s="8" t="e">
        <f>+VLOOKUP(I2575,[1]SKU!$H$2:$I$97,2,0)</f>
        <v>#N/A</v>
      </c>
    </row>
    <row r="2576" spans="24:27">
      <c r="X2576" s="8" t="str">
        <f>+IFERROR(VLOOKUP(N2576,[1]Hoja1!$B$2:$F$52,4,0)*P2576,"")</f>
        <v/>
      </c>
      <c r="Y2576" s="8" t="e">
        <f>+VLOOKUP(M2576,[1]SKU!$B$3:$E$81,4,0)</f>
        <v>#N/A</v>
      </c>
      <c r="Z2576" s="8" t="str">
        <f t="shared" si="40"/>
        <v>FLEX</v>
      </c>
      <c r="AA2576" s="8" t="e">
        <f>+VLOOKUP(I2576,[1]SKU!$H$2:$I$97,2,0)</f>
        <v>#N/A</v>
      </c>
    </row>
    <row r="2577" spans="24:27">
      <c r="X2577" s="8" t="str">
        <f>+IFERROR(VLOOKUP(N2577,[1]Hoja1!$B$2:$F$52,4,0)*P2577,"")</f>
        <v/>
      </c>
      <c r="Y2577" s="8" t="e">
        <f>+VLOOKUP(M2577,[1]SKU!$B$3:$E$81,4,0)</f>
        <v>#N/A</v>
      </c>
      <c r="Z2577" s="8" t="str">
        <f t="shared" si="40"/>
        <v>FLEX</v>
      </c>
      <c r="AA2577" s="8" t="e">
        <f>+VLOOKUP(I2577,[1]SKU!$H$2:$I$97,2,0)</f>
        <v>#N/A</v>
      </c>
    </row>
    <row r="2578" spans="24:27">
      <c r="X2578" s="8" t="str">
        <f>+IFERROR(VLOOKUP(N2578,[1]Hoja1!$B$2:$F$52,4,0)*P2578,"")</f>
        <v/>
      </c>
      <c r="Y2578" s="8" t="e">
        <f>+VLOOKUP(M2578,[1]SKU!$B$3:$E$81,4,0)</f>
        <v>#N/A</v>
      </c>
      <c r="Z2578" s="8" t="str">
        <f t="shared" si="40"/>
        <v>FLEX</v>
      </c>
      <c r="AA2578" s="8" t="e">
        <f>+VLOOKUP(I2578,[1]SKU!$H$2:$I$97,2,0)</f>
        <v>#N/A</v>
      </c>
    </row>
    <row r="2579" spans="24:27">
      <c r="X2579" s="8" t="str">
        <f>+IFERROR(VLOOKUP(N2579,[1]Hoja1!$B$2:$F$52,4,0)*P2579,"")</f>
        <v/>
      </c>
      <c r="Y2579" s="8" t="e">
        <f>+VLOOKUP(M2579,[1]SKU!$B$3:$E$81,4,0)</f>
        <v>#N/A</v>
      </c>
      <c r="Z2579" s="8" t="str">
        <f t="shared" si="40"/>
        <v>FLEX</v>
      </c>
      <c r="AA2579" s="8" t="e">
        <f>+VLOOKUP(I2579,[1]SKU!$H$2:$I$97,2,0)</f>
        <v>#N/A</v>
      </c>
    </row>
    <row r="2580" spans="24:27">
      <c r="X2580" s="8" t="str">
        <f>+IFERROR(VLOOKUP(N2580,[1]Hoja1!$B$2:$F$52,4,0)*P2580,"")</f>
        <v/>
      </c>
      <c r="Y2580" s="8" t="e">
        <f>+VLOOKUP(M2580,[1]SKU!$B$3:$E$81,4,0)</f>
        <v>#N/A</v>
      </c>
      <c r="Z2580" s="8" t="str">
        <f t="shared" si="40"/>
        <v>FLEX</v>
      </c>
      <c r="AA2580" s="8" t="e">
        <f>+VLOOKUP(I2580,[1]SKU!$H$2:$I$97,2,0)</f>
        <v>#N/A</v>
      </c>
    </row>
    <row r="2581" spans="24:27">
      <c r="X2581" s="8" t="str">
        <f>+IFERROR(VLOOKUP(N2581,[1]Hoja1!$B$2:$F$52,4,0)*P2581,"")</f>
        <v/>
      </c>
      <c r="Y2581" s="8" t="e">
        <f>+VLOOKUP(M2581,[1]SKU!$B$3:$E$81,4,0)</f>
        <v>#N/A</v>
      </c>
      <c r="Z2581" s="8" t="str">
        <f t="shared" si="40"/>
        <v>FLEX</v>
      </c>
      <c r="AA2581" s="8" t="e">
        <f>+VLOOKUP(I2581,[1]SKU!$H$2:$I$97,2,0)</f>
        <v>#N/A</v>
      </c>
    </row>
    <row r="2582" spans="24:27">
      <c r="X2582" s="8" t="str">
        <f>+IFERROR(VLOOKUP(N2582,[1]Hoja1!$B$2:$F$52,4,0)*P2582,"")</f>
        <v/>
      </c>
      <c r="Y2582" s="8" t="e">
        <f>+VLOOKUP(M2582,[1]SKU!$B$3:$E$81,4,0)</f>
        <v>#N/A</v>
      </c>
      <c r="Z2582" s="8" t="str">
        <f t="shared" si="40"/>
        <v>FLEX</v>
      </c>
      <c r="AA2582" s="8" t="e">
        <f>+VLOOKUP(I2582,[1]SKU!$H$2:$I$97,2,0)</f>
        <v>#N/A</v>
      </c>
    </row>
    <row r="2583" spans="24:27">
      <c r="X2583" s="8" t="str">
        <f>+IFERROR(VLOOKUP(N2583,[1]Hoja1!$B$2:$F$52,4,0)*P2583,"")</f>
        <v/>
      </c>
      <c r="Y2583" s="8" t="e">
        <f>+VLOOKUP(M2583,[1]SKU!$B$3:$E$81,4,0)</f>
        <v>#N/A</v>
      </c>
      <c r="Z2583" s="8" t="str">
        <f t="shared" si="40"/>
        <v>FLEX</v>
      </c>
      <c r="AA2583" s="8" t="e">
        <f>+VLOOKUP(I2583,[1]SKU!$H$2:$I$97,2,0)</f>
        <v>#N/A</v>
      </c>
    </row>
    <row r="2584" spans="24:27">
      <c r="X2584" s="8" t="str">
        <f>+IFERROR(VLOOKUP(N2584,[1]Hoja1!$B$2:$F$52,4,0)*P2584,"")</f>
        <v/>
      </c>
      <c r="Y2584" s="8" t="e">
        <f>+VLOOKUP(M2584,[1]SKU!$B$3:$E$81,4,0)</f>
        <v>#N/A</v>
      </c>
      <c r="Z2584" s="8" t="str">
        <f t="shared" si="40"/>
        <v>FLEX</v>
      </c>
      <c r="AA2584" s="8" t="e">
        <f>+VLOOKUP(I2584,[1]SKU!$H$2:$I$97,2,0)</f>
        <v>#N/A</v>
      </c>
    </row>
    <row r="2585" spans="24:27">
      <c r="X2585" s="8" t="str">
        <f>+IFERROR(VLOOKUP(N2585,[1]Hoja1!$B$2:$F$52,4,0)*P2585,"")</f>
        <v/>
      </c>
      <c r="Y2585" s="8" t="e">
        <f>+VLOOKUP(M2585,[1]SKU!$B$3:$E$81,4,0)</f>
        <v>#N/A</v>
      </c>
      <c r="Z2585" s="8" t="str">
        <f t="shared" si="40"/>
        <v>FLEX</v>
      </c>
      <c r="AA2585" s="8" t="e">
        <f>+VLOOKUP(I2585,[1]SKU!$H$2:$I$97,2,0)</f>
        <v>#N/A</v>
      </c>
    </row>
    <row r="2586" spans="24:27">
      <c r="X2586" s="8" t="str">
        <f>+IFERROR(VLOOKUP(N2586,[1]Hoja1!$B$2:$F$52,4,0)*P2586,"")</f>
        <v/>
      </c>
      <c r="Y2586" s="8" t="e">
        <f>+VLOOKUP(M2586,[1]SKU!$B$3:$E$81,4,0)</f>
        <v>#N/A</v>
      </c>
      <c r="Z2586" s="8" t="str">
        <f t="shared" si="40"/>
        <v>FLEX</v>
      </c>
      <c r="AA2586" s="8" t="e">
        <f>+VLOOKUP(I2586,[1]SKU!$H$2:$I$97,2,0)</f>
        <v>#N/A</v>
      </c>
    </row>
    <row r="2587" spans="24:27">
      <c r="X2587" s="8" t="str">
        <f>+IFERROR(VLOOKUP(N2587,[1]Hoja1!$B$2:$F$52,4,0)*P2587,"")</f>
        <v/>
      </c>
      <c r="Y2587" s="8" t="e">
        <f>+VLOOKUP(M2587,[1]SKU!$B$3:$E$81,4,0)</f>
        <v>#N/A</v>
      </c>
      <c r="Z2587" s="8" t="str">
        <f t="shared" si="40"/>
        <v>FLEX</v>
      </c>
      <c r="AA2587" s="8" t="e">
        <f>+VLOOKUP(I2587,[1]SKU!$H$2:$I$97,2,0)</f>
        <v>#N/A</v>
      </c>
    </row>
    <row r="2588" spans="24:27">
      <c r="X2588" s="8" t="str">
        <f>+IFERROR(VLOOKUP(N2588,[1]Hoja1!$B$2:$F$52,4,0)*P2588,"")</f>
        <v/>
      </c>
      <c r="Y2588" s="8" t="e">
        <f>+VLOOKUP(M2588,[1]SKU!$B$3:$E$81,4,0)</f>
        <v>#N/A</v>
      </c>
      <c r="Z2588" s="8" t="str">
        <f t="shared" si="40"/>
        <v>FLEX</v>
      </c>
      <c r="AA2588" s="8" t="e">
        <f>+VLOOKUP(I2588,[1]SKU!$H$2:$I$97,2,0)</f>
        <v>#N/A</v>
      </c>
    </row>
    <row r="2589" spans="24:27">
      <c r="X2589" s="8" t="str">
        <f>+IFERROR(VLOOKUP(N2589,[1]Hoja1!$B$2:$F$52,4,0)*P2589,"")</f>
        <v/>
      </c>
      <c r="Y2589" s="8" t="e">
        <f>+VLOOKUP(M2589,[1]SKU!$B$3:$E$81,4,0)</f>
        <v>#N/A</v>
      </c>
      <c r="Z2589" s="8" t="str">
        <f t="shared" si="40"/>
        <v>FLEX</v>
      </c>
      <c r="AA2589" s="8" t="e">
        <f>+VLOOKUP(I2589,[1]SKU!$H$2:$I$97,2,0)</f>
        <v>#N/A</v>
      </c>
    </row>
    <row r="2590" spans="24:27">
      <c r="X2590" s="8" t="str">
        <f>+IFERROR(VLOOKUP(N2590,[1]Hoja1!$B$2:$F$52,4,0)*P2590,"")</f>
        <v/>
      </c>
      <c r="Y2590" s="8" t="e">
        <f>+VLOOKUP(M2590,[1]SKU!$B$3:$E$81,4,0)</f>
        <v>#N/A</v>
      </c>
      <c r="Z2590" s="8" t="str">
        <f t="shared" si="40"/>
        <v>FLEX</v>
      </c>
      <c r="AA2590" s="8" t="e">
        <f>+VLOOKUP(I2590,[1]SKU!$H$2:$I$97,2,0)</f>
        <v>#N/A</v>
      </c>
    </row>
    <row r="2591" spans="24:27">
      <c r="X2591" s="8" t="str">
        <f>+IFERROR(VLOOKUP(N2591,[1]Hoja1!$B$2:$F$52,4,0)*P2591,"")</f>
        <v/>
      </c>
      <c r="Y2591" s="8" t="e">
        <f>+VLOOKUP(M2591,[1]SKU!$B$3:$E$81,4,0)</f>
        <v>#N/A</v>
      </c>
      <c r="Z2591" s="8" t="str">
        <f t="shared" si="40"/>
        <v>FLEX</v>
      </c>
      <c r="AA2591" s="8" t="e">
        <f>+VLOOKUP(I2591,[1]SKU!$H$2:$I$97,2,0)</f>
        <v>#N/A</v>
      </c>
    </row>
    <row r="2592" spans="24:27">
      <c r="X2592" s="8" t="str">
        <f>+IFERROR(VLOOKUP(N2592,[1]Hoja1!$B$2:$F$52,4,0)*P2592,"")</f>
        <v/>
      </c>
      <c r="Y2592" s="8" t="e">
        <f>+VLOOKUP(M2592,[1]SKU!$B$3:$E$81,4,0)</f>
        <v>#N/A</v>
      </c>
      <c r="Z2592" s="8" t="str">
        <f t="shared" si="40"/>
        <v>FLEX</v>
      </c>
      <c r="AA2592" s="8" t="e">
        <f>+VLOOKUP(I2592,[1]SKU!$H$2:$I$97,2,0)</f>
        <v>#N/A</v>
      </c>
    </row>
    <row r="2593" spans="24:27">
      <c r="X2593" s="8" t="str">
        <f>+IFERROR(VLOOKUP(N2593,[1]Hoja1!$B$2:$F$52,4,0)*P2593,"")</f>
        <v/>
      </c>
      <c r="Y2593" s="8" t="e">
        <f>+VLOOKUP(M2593,[1]SKU!$B$3:$E$81,4,0)</f>
        <v>#N/A</v>
      </c>
      <c r="Z2593" s="8" t="str">
        <f t="shared" si="40"/>
        <v>FLEX</v>
      </c>
      <c r="AA2593" s="8" t="e">
        <f>+VLOOKUP(I2593,[1]SKU!$H$2:$I$97,2,0)</f>
        <v>#N/A</v>
      </c>
    </row>
    <row r="2594" spans="24:27">
      <c r="X2594" s="8" t="str">
        <f>+IFERROR(VLOOKUP(N2594,[1]Hoja1!$B$2:$F$52,4,0)*P2594,"")</f>
        <v/>
      </c>
      <c r="Y2594" s="8" t="e">
        <f>+VLOOKUP(M2594,[1]SKU!$B$3:$E$81,4,0)</f>
        <v>#N/A</v>
      </c>
      <c r="Z2594" s="8" t="str">
        <f t="shared" si="40"/>
        <v>FLEX</v>
      </c>
      <c r="AA2594" s="8" t="e">
        <f>+VLOOKUP(I2594,[1]SKU!$H$2:$I$97,2,0)</f>
        <v>#N/A</v>
      </c>
    </row>
    <row r="2595" spans="24:27">
      <c r="X2595" s="8" t="str">
        <f>+IFERROR(VLOOKUP(N2595,[1]Hoja1!$B$2:$F$52,4,0)*P2595,"")</f>
        <v/>
      </c>
      <c r="Y2595" s="8" t="e">
        <f>+VLOOKUP(M2595,[1]SKU!$B$3:$E$81,4,0)</f>
        <v>#N/A</v>
      </c>
      <c r="Z2595" s="8" t="str">
        <f t="shared" si="40"/>
        <v>FLEX</v>
      </c>
      <c r="AA2595" s="8" t="e">
        <f>+VLOOKUP(I2595,[1]SKU!$H$2:$I$97,2,0)</f>
        <v>#N/A</v>
      </c>
    </row>
    <row r="2596" spans="24:27">
      <c r="X2596" s="8" t="str">
        <f>+IFERROR(VLOOKUP(N2596,[1]Hoja1!$B$2:$F$52,4,0)*P2596,"")</f>
        <v/>
      </c>
      <c r="Y2596" s="8" t="e">
        <f>+VLOOKUP(M2596,[1]SKU!$B$3:$E$81,4,0)</f>
        <v>#N/A</v>
      </c>
      <c r="Z2596" s="8" t="str">
        <f t="shared" si="40"/>
        <v>FLEX</v>
      </c>
      <c r="AA2596" s="8" t="e">
        <f>+VLOOKUP(I2596,[1]SKU!$H$2:$I$97,2,0)</f>
        <v>#N/A</v>
      </c>
    </row>
    <row r="2597" spans="24:27">
      <c r="X2597" s="8" t="str">
        <f>+IFERROR(VLOOKUP(N2597,[1]Hoja1!$B$2:$F$52,4,0)*P2597,"")</f>
        <v/>
      </c>
      <c r="Y2597" s="8" t="e">
        <f>+VLOOKUP(M2597,[1]SKU!$B$3:$E$81,4,0)</f>
        <v>#N/A</v>
      </c>
      <c r="Z2597" s="8" t="str">
        <f t="shared" si="40"/>
        <v>FLEX</v>
      </c>
      <c r="AA2597" s="8" t="e">
        <f>+VLOOKUP(I2597,[1]SKU!$H$2:$I$97,2,0)</f>
        <v>#N/A</v>
      </c>
    </row>
    <row r="2598" spans="24:27">
      <c r="X2598" s="8" t="str">
        <f>+IFERROR(VLOOKUP(N2598,[1]Hoja1!$B$2:$F$52,4,0)*P2598,"")</f>
        <v/>
      </c>
      <c r="Y2598" s="8" t="e">
        <f>+VLOOKUP(M2598,[1]SKU!$B$3:$E$81,4,0)</f>
        <v>#N/A</v>
      </c>
      <c r="Z2598" s="8" t="str">
        <f t="shared" si="40"/>
        <v>FLEX</v>
      </c>
      <c r="AA2598" s="8" t="e">
        <f>+VLOOKUP(I2598,[1]SKU!$H$2:$I$97,2,0)</f>
        <v>#N/A</v>
      </c>
    </row>
    <row r="2599" spans="24:27">
      <c r="X2599" s="8" t="str">
        <f>+IFERROR(VLOOKUP(N2599,[1]Hoja1!$B$2:$F$52,4,0)*P2599,"")</f>
        <v/>
      </c>
      <c r="Y2599" s="8" t="e">
        <f>+VLOOKUP(M2599,[1]SKU!$B$3:$E$81,4,0)</f>
        <v>#N/A</v>
      </c>
      <c r="Z2599" s="8" t="str">
        <f t="shared" si="40"/>
        <v>FLEX</v>
      </c>
      <c r="AA2599" s="8" t="e">
        <f>+VLOOKUP(I2599,[1]SKU!$H$2:$I$97,2,0)</f>
        <v>#N/A</v>
      </c>
    </row>
    <row r="2600" spans="24:27">
      <c r="X2600" s="8" t="str">
        <f>+IFERROR(VLOOKUP(N2600,[1]Hoja1!$B$2:$F$52,4,0)*P2600,"")</f>
        <v/>
      </c>
      <c r="Y2600" s="8" t="e">
        <f>+VLOOKUP(M2600,[1]SKU!$B$3:$E$81,4,0)</f>
        <v>#N/A</v>
      </c>
      <c r="Z2600" s="8" t="str">
        <f t="shared" si="40"/>
        <v>FLEX</v>
      </c>
      <c r="AA2600" s="8" t="e">
        <f>+VLOOKUP(I2600,[1]SKU!$H$2:$I$97,2,0)</f>
        <v>#N/A</v>
      </c>
    </row>
    <row r="2601" spans="24:27">
      <c r="X2601" s="8" t="str">
        <f>+IFERROR(VLOOKUP(N2601,[1]Hoja1!$B$2:$F$52,4,0)*P2601,"")</f>
        <v/>
      </c>
      <c r="Y2601" s="8" t="e">
        <f>+VLOOKUP(M2601,[1]SKU!$B$3:$E$81,4,0)</f>
        <v>#N/A</v>
      </c>
      <c r="Z2601" s="8" t="str">
        <f t="shared" si="40"/>
        <v>FLEX</v>
      </c>
      <c r="AA2601" s="8" t="e">
        <f>+VLOOKUP(I2601,[1]SKU!$H$2:$I$97,2,0)</f>
        <v>#N/A</v>
      </c>
    </row>
    <row r="2602" spans="24:27">
      <c r="X2602" s="8" t="str">
        <f>+IFERROR(VLOOKUP(N2602,[1]Hoja1!$B$2:$F$52,4,0)*P2602,"")</f>
        <v/>
      </c>
      <c r="Y2602" s="8" t="e">
        <f>+VLOOKUP(M2602,[1]SKU!$B$3:$E$81,4,0)</f>
        <v>#N/A</v>
      </c>
      <c r="Z2602" s="8" t="str">
        <f t="shared" si="40"/>
        <v>FLEX</v>
      </c>
      <c r="AA2602" s="8" t="e">
        <f>+VLOOKUP(I2602,[1]SKU!$H$2:$I$97,2,0)</f>
        <v>#N/A</v>
      </c>
    </row>
    <row r="2603" spans="24:27">
      <c r="X2603" s="8" t="str">
        <f>+IFERROR(VLOOKUP(N2603,[1]Hoja1!$B$2:$F$52,4,0)*P2603,"")</f>
        <v/>
      </c>
      <c r="Y2603" s="8" t="e">
        <f>+VLOOKUP(M2603,[1]SKU!$B$3:$E$81,4,0)</f>
        <v>#N/A</v>
      </c>
      <c r="Z2603" s="8" t="str">
        <f t="shared" si="40"/>
        <v>FLEX</v>
      </c>
      <c r="AA2603" s="8" t="e">
        <f>+VLOOKUP(I2603,[1]SKU!$H$2:$I$97,2,0)</f>
        <v>#N/A</v>
      </c>
    </row>
    <row r="2604" spans="24:27">
      <c r="X2604" s="8" t="str">
        <f>+IFERROR(VLOOKUP(N2604,[1]Hoja1!$B$2:$F$52,4,0)*P2604,"")</f>
        <v/>
      </c>
      <c r="Y2604" s="8" t="e">
        <f>+VLOOKUP(M2604,[1]SKU!$B$3:$E$81,4,0)</f>
        <v>#N/A</v>
      </c>
      <c r="Z2604" s="8" t="str">
        <f t="shared" si="40"/>
        <v>FLEX</v>
      </c>
      <c r="AA2604" s="8" t="e">
        <f>+VLOOKUP(I2604,[1]SKU!$H$2:$I$97,2,0)</f>
        <v>#N/A</v>
      </c>
    </row>
    <row r="2605" spans="24:27">
      <c r="X2605" s="8" t="str">
        <f>+IFERROR(VLOOKUP(N2605,[1]Hoja1!$B$2:$F$52,4,0)*P2605,"")</f>
        <v/>
      </c>
      <c r="Y2605" s="8" t="e">
        <f>+VLOOKUP(M2605,[1]SKU!$B$3:$E$81,4,0)</f>
        <v>#N/A</v>
      </c>
      <c r="Z2605" s="8" t="str">
        <f t="shared" si="40"/>
        <v>FLEX</v>
      </c>
      <c r="AA2605" s="8" t="e">
        <f>+VLOOKUP(I2605,[1]SKU!$H$2:$I$97,2,0)</f>
        <v>#N/A</v>
      </c>
    </row>
    <row r="2606" spans="24:27">
      <c r="X2606" s="8" t="str">
        <f>+IFERROR(VLOOKUP(N2606,[1]Hoja1!$B$2:$F$52,4,0)*P2606,"")</f>
        <v/>
      </c>
      <c r="Y2606" s="8" t="e">
        <f>+VLOOKUP(M2606,[1]SKU!$B$3:$E$81,4,0)</f>
        <v>#N/A</v>
      </c>
      <c r="Z2606" s="8" t="str">
        <f t="shared" si="40"/>
        <v>FLEX</v>
      </c>
      <c r="AA2606" s="8" t="e">
        <f>+VLOOKUP(I2606,[1]SKU!$H$2:$I$97,2,0)</f>
        <v>#N/A</v>
      </c>
    </row>
    <row r="2607" spans="24:27">
      <c r="X2607" s="8" t="str">
        <f>+IFERROR(VLOOKUP(N2607,[1]Hoja1!$B$2:$F$52,4,0)*P2607,"")</f>
        <v/>
      </c>
      <c r="Y2607" s="8" t="e">
        <f>+VLOOKUP(M2607,[1]SKU!$B$3:$E$81,4,0)</f>
        <v>#N/A</v>
      </c>
      <c r="Z2607" s="8" t="str">
        <f t="shared" si="40"/>
        <v>FLEX</v>
      </c>
      <c r="AA2607" s="8" t="e">
        <f>+VLOOKUP(I2607,[1]SKU!$H$2:$I$97,2,0)</f>
        <v>#N/A</v>
      </c>
    </row>
    <row r="2608" spans="24:27">
      <c r="X2608" s="8" t="str">
        <f>+IFERROR(VLOOKUP(N2608,[1]Hoja1!$B$2:$F$52,4,0)*P2608,"")</f>
        <v/>
      </c>
      <c r="Y2608" s="8" t="e">
        <f>+VLOOKUP(M2608,[1]SKU!$B$3:$E$81,4,0)</f>
        <v>#N/A</v>
      </c>
      <c r="Z2608" s="8" t="str">
        <f t="shared" si="40"/>
        <v>FLEX</v>
      </c>
      <c r="AA2608" s="8" t="e">
        <f>+VLOOKUP(I2608,[1]SKU!$H$2:$I$97,2,0)</f>
        <v>#N/A</v>
      </c>
    </row>
    <row r="2609" spans="24:27">
      <c r="X2609" s="8" t="str">
        <f>+IFERROR(VLOOKUP(N2609,[1]Hoja1!$B$2:$F$52,4,0)*P2609,"")</f>
        <v/>
      </c>
      <c r="Y2609" s="8" t="e">
        <f>+VLOOKUP(M2609,[1]SKU!$B$3:$E$81,4,0)</f>
        <v>#N/A</v>
      </c>
      <c r="Z2609" s="8" t="str">
        <f t="shared" si="40"/>
        <v>FLEX</v>
      </c>
      <c r="AA2609" s="8" t="e">
        <f>+VLOOKUP(I2609,[1]SKU!$H$2:$I$97,2,0)</f>
        <v>#N/A</v>
      </c>
    </row>
    <row r="2610" spans="24:27">
      <c r="X2610" s="8" t="str">
        <f>+IFERROR(VLOOKUP(N2610,[1]Hoja1!$B$2:$F$52,4,0)*P2610,"")</f>
        <v/>
      </c>
      <c r="Y2610" s="8" t="e">
        <f>+VLOOKUP(M2610,[1]SKU!$B$3:$E$81,4,0)</f>
        <v>#N/A</v>
      </c>
      <c r="Z2610" s="8" t="str">
        <f t="shared" si="40"/>
        <v>FLEX</v>
      </c>
      <c r="AA2610" s="8" t="e">
        <f>+VLOOKUP(I2610,[1]SKU!$H$2:$I$97,2,0)</f>
        <v>#N/A</v>
      </c>
    </row>
    <row r="2611" spans="24:27">
      <c r="X2611" s="8" t="str">
        <f>+IFERROR(VLOOKUP(N2611,[1]Hoja1!$B$2:$F$52,4,0)*P2611,"")</f>
        <v/>
      </c>
      <c r="Y2611" s="8" t="e">
        <f>+VLOOKUP(M2611,[1]SKU!$B$3:$E$81,4,0)</f>
        <v>#N/A</v>
      </c>
      <c r="Z2611" s="8" t="str">
        <f t="shared" si="40"/>
        <v>FLEX</v>
      </c>
      <c r="AA2611" s="8" t="e">
        <f>+VLOOKUP(I2611,[1]SKU!$H$2:$I$97,2,0)</f>
        <v>#N/A</v>
      </c>
    </row>
    <row r="2612" spans="24:27">
      <c r="X2612" s="8" t="str">
        <f>+IFERROR(VLOOKUP(N2612,[1]Hoja1!$B$2:$F$52,4,0)*P2612,"")</f>
        <v/>
      </c>
      <c r="Y2612" s="8" t="e">
        <f>+VLOOKUP(M2612,[1]SKU!$B$3:$E$81,4,0)</f>
        <v>#N/A</v>
      </c>
      <c r="Z2612" s="8" t="str">
        <f t="shared" si="40"/>
        <v>FLEX</v>
      </c>
      <c r="AA2612" s="8" t="e">
        <f>+VLOOKUP(I2612,[1]SKU!$H$2:$I$97,2,0)</f>
        <v>#N/A</v>
      </c>
    </row>
    <row r="2613" spans="24:27">
      <c r="X2613" s="8" t="str">
        <f>+IFERROR(VLOOKUP(N2613,[1]Hoja1!$B$2:$F$52,4,0)*P2613,"")</f>
        <v/>
      </c>
      <c r="Y2613" s="8" t="e">
        <f>+VLOOKUP(M2613,[1]SKU!$B$3:$E$81,4,0)</f>
        <v>#N/A</v>
      </c>
      <c r="Z2613" s="8" t="str">
        <f t="shared" si="40"/>
        <v>FLEX</v>
      </c>
      <c r="AA2613" s="8" t="e">
        <f>+VLOOKUP(I2613,[1]SKU!$H$2:$I$97,2,0)</f>
        <v>#N/A</v>
      </c>
    </row>
    <row r="2614" spans="24:27">
      <c r="X2614" s="8" t="str">
        <f>+IFERROR(VLOOKUP(N2614,[1]Hoja1!$B$2:$F$52,4,0)*P2614,"")</f>
        <v/>
      </c>
      <c r="Y2614" s="8" t="e">
        <f>+VLOOKUP(M2614,[1]SKU!$B$3:$E$81,4,0)</f>
        <v>#N/A</v>
      </c>
      <c r="Z2614" s="8" t="str">
        <f t="shared" si="40"/>
        <v>FLEX</v>
      </c>
      <c r="AA2614" s="8" t="e">
        <f>+VLOOKUP(I2614,[1]SKU!$H$2:$I$97,2,0)</f>
        <v>#N/A</v>
      </c>
    </row>
    <row r="2615" spans="24:27">
      <c r="X2615" s="8" t="str">
        <f>+IFERROR(VLOOKUP(N2615,[1]Hoja1!$B$2:$F$52,4,0)*P2615,"")</f>
        <v/>
      </c>
      <c r="Y2615" s="8" t="e">
        <f>+VLOOKUP(M2615,[1]SKU!$B$3:$E$81,4,0)</f>
        <v>#N/A</v>
      </c>
      <c r="Z2615" s="8" t="str">
        <f t="shared" si="40"/>
        <v>FLEX</v>
      </c>
      <c r="AA2615" s="8" t="e">
        <f>+VLOOKUP(I2615,[1]SKU!$H$2:$I$97,2,0)</f>
        <v>#N/A</v>
      </c>
    </row>
    <row r="2616" spans="24:27">
      <c r="X2616" s="8" t="str">
        <f>+IFERROR(VLOOKUP(N2616,[1]Hoja1!$B$2:$F$52,4,0)*P2616,"")</f>
        <v/>
      </c>
      <c r="Y2616" s="8" t="e">
        <f>+VLOOKUP(M2616,[1]SKU!$B$3:$E$81,4,0)</f>
        <v>#N/A</v>
      </c>
      <c r="Z2616" s="8" t="str">
        <f t="shared" si="40"/>
        <v>FLEX</v>
      </c>
      <c r="AA2616" s="8" t="e">
        <f>+VLOOKUP(I2616,[1]SKU!$H$2:$I$97,2,0)</f>
        <v>#N/A</v>
      </c>
    </row>
    <row r="2617" spans="24:27">
      <c r="X2617" s="8" t="str">
        <f>+IFERROR(VLOOKUP(N2617,[1]Hoja1!$B$2:$F$52,4,0)*P2617,"")</f>
        <v/>
      </c>
      <c r="Y2617" s="8" t="e">
        <f>+VLOOKUP(M2617,[1]SKU!$B$3:$E$81,4,0)</f>
        <v>#N/A</v>
      </c>
      <c r="Z2617" s="8" t="str">
        <f t="shared" si="40"/>
        <v>FLEX</v>
      </c>
      <c r="AA2617" s="8" t="e">
        <f>+VLOOKUP(I2617,[1]SKU!$H$2:$I$97,2,0)</f>
        <v>#N/A</v>
      </c>
    </row>
    <row r="2618" spans="24:27">
      <c r="X2618" s="8" t="str">
        <f>+IFERROR(VLOOKUP(N2618,[1]Hoja1!$B$2:$F$52,4,0)*P2618,"")</f>
        <v/>
      </c>
      <c r="Y2618" s="8" t="e">
        <f>+VLOOKUP(M2618,[1]SKU!$B$3:$E$81,4,0)</f>
        <v>#N/A</v>
      </c>
      <c r="Z2618" s="8" t="str">
        <f t="shared" si="40"/>
        <v>FLEX</v>
      </c>
      <c r="AA2618" s="8" t="e">
        <f>+VLOOKUP(I2618,[1]SKU!$H$2:$I$97,2,0)</f>
        <v>#N/A</v>
      </c>
    </row>
    <row r="2619" spans="24:27">
      <c r="X2619" s="8" t="str">
        <f>+IFERROR(VLOOKUP(N2619,[1]Hoja1!$B$2:$F$52,4,0)*P2619,"")</f>
        <v/>
      </c>
      <c r="Y2619" s="8" t="e">
        <f>+VLOOKUP(M2619,[1]SKU!$B$3:$E$81,4,0)</f>
        <v>#N/A</v>
      </c>
      <c r="Z2619" s="8" t="str">
        <f t="shared" si="40"/>
        <v>FLEX</v>
      </c>
      <c r="AA2619" s="8" t="e">
        <f>+VLOOKUP(I2619,[1]SKU!$H$2:$I$97,2,0)</f>
        <v>#N/A</v>
      </c>
    </row>
    <row r="2620" spans="24:27">
      <c r="X2620" s="8" t="str">
        <f>+IFERROR(VLOOKUP(N2620,[1]Hoja1!$B$2:$F$52,4,0)*P2620,"")</f>
        <v/>
      </c>
      <c r="Y2620" s="8" t="e">
        <f>+VLOOKUP(M2620,[1]SKU!$B$3:$E$81,4,0)</f>
        <v>#N/A</v>
      </c>
      <c r="Z2620" s="8" t="str">
        <f t="shared" si="40"/>
        <v>FLEX</v>
      </c>
      <c r="AA2620" s="8" t="e">
        <f>+VLOOKUP(I2620,[1]SKU!$H$2:$I$97,2,0)</f>
        <v>#N/A</v>
      </c>
    </row>
    <row r="2621" spans="24:27">
      <c r="X2621" s="8" t="str">
        <f>+IFERROR(VLOOKUP(N2621,[1]Hoja1!$B$2:$F$52,4,0)*P2621,"")</f>
        <v/>
      </c>
      <c r="Y2621" s="8" t="e">
        <f>+VLOOKUP(M2621,[1]SKU!$B$3:$E$81,4,0)</f>
        <v>#N/A</v>
      </c>
      <c r="Z2621" s="8" t="str">
        <f t="shared" si="40"/>
        <v>FLEX</v>
      </c>
      <c r="AA2621" s="8" t="e">
        <f>+VLOOKUP(I2621,[1]SKU!$H$2:$I$97,2,0)</f>
        <v>#N/A</v>
      </c>
    </row>
    <row r="2622" spans="24:27">
      <c r="X2622" s="8" t="str">
        <f>+IFERROR(VLOOKUP(N2622,[1]Hoja1!$B$2:$F$52,4,0)*P2622,"")</f>
        <v/>
      </c>
      <c r="Y2622" s="8" t="e">
        <f>+VLOOKUP(M2622,[1]SKU!$B$3:$E$81,4,0)</f>
        <v>#N/A</v>
      </c>
      <c r="Z2622" s="8" t="str">
        <f t="shared" si="40"/>
        <v>FLEX</v>
      </c>
      <c r="AA2622" s="8" t="e">
        <f>+VLOOKUP(I2622,[1]SKU!$H$2:$I$97,2,0)</f>
        <v>#N/A</v>
      </c>
    </row>
    <row r="2623" spans="24:27">
      <c r="X2623" s="8" t="str">
        <f>+IFERROR(VLOOKUP(N2623,[1]Hoja1!$B$2:$F$52,4,0)*P2623,"")</f>
        <v/>
      </c>
      <c r="Y2623" s="8" t="e">
        <f>+VLOOKUP(M2623,[1]SKU!$B$3:$E$81,4,0)</f>
        <v>#N/A</v>
      </c>
      <c r="Z2623" s="8" t="str">
        <f t="shared" si="40"/>
        <v>FLEX</v>
      </c>
      <c r="AA2623" s="8" t="e">
        <f>+VLOOKUP(I2623,[1]SKU!$H$2:$I$97,2,0)</f>
        <v>#N/A</v>
      </c>
    </row>
    <row r="2624" spans="24:27">
      <c r="X2624" s="8" t="str">
        <f>+IFERROR(VLOOKUP(N2624,[1]Hoja1!$B$2:$F$52,4,0)*P2624,"")</f>
        <v/>
      </c>
      <c r="Y2624" s="8" t="e">
        <f>+VLOOKUP(M2624,[1]SKU!$B$3:$E$81,4,0)</f>
        <v>#N/A</v>
      </c>
      <c r="Z2624" s="8" t="str">
        <f t="shared" si="40"/>
        <v>FLEX</v>
      </c>
      <c r="AA2624" s="8" t="e">
        <f>+VLOOKUP(I2624,[1]SKU!$H$2:$I$97,2,0)</f>
        <v>#N/A</v>
      </c>
    </row>
    <row r="2625" spans="24:27">
      <c r="X2625" s="8" t="str">
        <f>+IFERROR(VLOOKUP(N2625,[1]Hoja1!$B$2:$F$52,4,0)*P2625,"")</f>
        <v/>
      </c>
      <c r="Y2625" s="8" t="e">
        <f>+VLOOKUP(M2625,[1]SKU!$B$3:$E$81,4,0)</f>
        <v>#N/A</v>
      </c>
      <c r="Z2625" s="8" t="str">
        <f t="shared" si="40"/>
        <v>FLEX</v>
      </c>
      <c r="AA2625" s="8" t="e">
        <f>+VLOOKUP(I2625,[1]SKU!$H$2:$I$97,2,0)</f>
        <v>#N/A</v>
      </c>
    </row>
    <row r="2626" spans="24:27">
      <c r="X2626" s="8" t="str">
        <f>+IFERROR(VLOOKUP(N2626,[1]Hoja1!$B$2:$F$52,4,0)*P2626,"")</f>
        <v/>
      </c>
      <c r="Y2626" s="8" t="e">
        <f>+VLOOKUP(M2626,[1]SKU!$B$3:$E$81,4,0)</f>
        <v>#N/A</v>
      </c>
      <c r="Z2626" s="8" t="str">
        <f t="shared" si="40"/>
        <v>FLEX</v>
      </c>
      <c r="AA2626" s="8" t="e">
        <f>+VLOOKUP(I2626,[1]SKU!$H$2:$I$97,2,0)</f>
        <v>#N/A</v>
      </c>
    </row>
    <row r="2627" spans="24:27">
      <c r="X2627" s="8" t="str">
        <f>+IFERROR(VLOOKUP(N2627,[1]Hoja1!$B$2:$F$52,4,0)*P2627,"")</f>
        <v/>
      </c>
      <c r="Y2627" s="8" t="e">
        <f>+VLOOKUP(M2627,[1]SKU!$B$3:$E$81,4,0)</f>
        <v>#N/A</v>
      </c>
      <c r="Z2627" s="8" t="str">
        <f t="shared" ref="Z2627:Z2690" si="41">+IF(J2627="VB01                          ","BEES","FLEX")</f>
        <v>FLEX</v>
      </c>
      <c r="AA2627" s="8" t="e">
        <f>+VLOOKUP(I2627,[1]SKU!$H$2:$I$97,2,0)</f>
        <v>#N/A</v>
      </c>
    </row>
    <row r="2628" spans="24:27">
      <c r="X2628" s="8" t="str">
        <f>+IFERROR(VLOOKUP(N2628,[1]Hoja1!$B$2:$F$52,4,0)*P2628,"")</f>
        <v/>
      </c>
      <c r="Y2628" s="8" t="e">
        <f>+VLOOKUP(M2628,[1]SKU!$B$3:$E$81,4,0)</f>
        <v>#N/A</v>
      </c>
      <c r="Z2628" s="8" t="str">
        <f t="shared" si="41"/>
        <v>FLEX</v>
      </c>
      <c r="AA2628" s="8" t="e">
        <f>+VLOOKUP(I2628,[1]SKU!$H$2:$I$97,2,0)</f>
        <v>#N/A</v>
      </c>
    </row>
    <row r="2629" spans="24:27">
      <c r="X2629" s="8" t="str">
        <f>+IFERROR(VLOOKUP(N2629,[1]Hoja1!$B$2:$F$52,4,0)*P2629,"")</f>
        <v/>
      </c>
      <c r="Y2629" s="8" t="e">
        <f>+VLOOKUP(M2629,[1]SKU!$B$3:$E$81,4,0)</f>
        <v>#N/A</v>
      </c>
      <c r="Z2629" s="8" t="str">
        <f t="shared" si="41"/>
        <v>FLEX</v>
      </c>
      <c r="AA2629" s="8" t="e">
        <f>+VLOOKUP(I2629,[1]SKU!$H$2:$I$97,2,0)</f>
        <v>#N/A</v>
      </c>
    </row>
    <row r="2630" spans="24:27">
      <c r="X2630" s="8" t="str">
        <f>+IFERROR(VLOOKUP(N2630,[1]Hoja1!$B$2:$F$52,4,0)*P2630,"")</f>
        <v/>
      </c>
      <c r="Y2630" s="8" t="e">
        <f>+VLOOKUP(M2630,[1]SKU!$B$3:$E$81,4,0)</f>
        <v>#N/A</v>
      </c>
      <c r="Z2630" s="8" t="str">
        <f t="shared" si="41"/>
        <v>FLEX</v>
      </c>
      <c r="AA2630" s="8" t="e">
        <f>+VLOOKUP(I2630,[1]SKU!$H$2:$I$97,2,0)</f>
        <v>#N/A</v>
      </c>
    </row>
    <row r="2631" spans="24:27">
      <c r="X2631" s="8" t="str">
        <f>+IFERROR(VLOOKUP(N2631,[1]Hoja1!$B$2:$F$52,4,0)*P2631,"")</f>
        <v/>
      </c>
      <c r="Y2631" s="8" t="e">
        <f>+VLOOKUP(M2631,[1]SKU!$B$3:$E$81,4,0)</f>
        <v>#N/A</v>
      </c>
      <c r="Z2631" s="8" t="str">
        <f t="shared" si="41"/>
        <v>FLEX</v>
      </c>
      <c r="AA2631" s="8" t="e">
        <f>+VLOOKUP(I2631,[1]SKU!$H$2:$I$97,2,0)</f>
        <v>#N/A</v>
      </c>
    </row>
    <row r="2632" spans="24:27">
      <c r="X2632" s="8" t="str">
        <f>+IFERROR(VLOOKUP(N2632,[1]Hoja1!$B$2:$F$52,4,0)*P2632,"")</f>
        <v/>
      </c>
      <c r="Y2632" s="8" t="e">
        <f>+VLOOKUP(M2632,[1]SKU!$B$3:$E$81,4,0)</f>
        <v>#N/A</v>
      </c>
      <c r="Z2632" s="8" t="str">
        <f t="shared" si="41"/>
        <v>FLEX</v>
      </c>
      <c r="AA2632" s="8" t="e">
        <f>+VLOOKUP(I2632,[1]SKU!$H$2:$I$97,2,0)</f>
        <v>#N/A</v>
      </c>
    </row>
    <row r="2633" spans="24:27">
      <c r="X2633" s="8" t="str">
        <f>+IFERROR(VLOOKUP(N2633,[1]Hoja1!$B$2:$F$52,4,0)*P2633,"")</f>
        <v/>
      </c>
      <c r="Y2633" s="8" t="e">
        <f>+VLOOKUP(M2633,[1]SKU!$B$3:$E$81,4,0)</f>
        <v>#N/A</v>
      </c>
      <c r="Z2633" s="8" t="str">
        <f t="shared" si="41"/>
        <v>FLEX</v>
      </c>
      <c r="AA2633" s="8" t="e">
        <f>+VLOOKUP(I2633,[1]SKU!$H$2:$I$97,2,0)</f>
        <v>#N/A</v>
      </c>
    </row>
    <row r="2634" spans="24:27">
      <c r="X2634" s="8" t="str">
        <f>+IFERROR(VLOOKUP(N2634,[1]Hoja1!$B$2:$F$52,4,0)*P2634,"")</f>
        <v/>
      </c>
      <c r="Y2634" s="8" t="e">
        <f>+VLOOKUP(M2634,[1]SKU!$B$3:$E$81,4,0)</f>
        <v>#N/A</v>
      </c>
      <c r="Z2634" s="8" t="str">
        <f t="shared" si="41"/>
        <v>FLEX</v>
      </c>
      <c r="AA2634" s="8" t="e">
        <f>+VLOOKUP(I2634,[1]SKU!$H$2:$I$97,2,0)</f>
        <v>#N/A</v>
      </c>
    </row>
    <row r="2635" spans="24:27">
      <c r="X2635" s="8" t="str">
        <f>+IFERROR(VLOOKUP(N2635,[1]Hoja1!$B$2:$F$52,4,0)*P2635,"")</f>
        <v/>
      </c>
      <c r="Y2635" s="8" t="e">
        <f>+VLOOKUP(M2635,[1]SKU!$B$3:$E$81,4,0)</f>
        <v>#N/A</v>
      </c>
      <c r="Z2635" s="8" t="str">
        <f t="shared" si="41"/>
        <v>FLEX</v>
      </c>
      <c r="AA2635" s="8" t="e">
        <f>+VLOOKUP(I2635,[1]SKU!$H$2:$I$97,2,0)</f>
        <v>#N/A</v>
      </c>
    </row>
    <row r="2636" spans="24:27">
      <c r="X2636" s="8" t="str">
        <f>+IFERROR(VLOOKUP(N2636,[1]Hoja1!$B$2:$F$52,4,0)*P2636,"")</f>
        <v/>
      </c>
      <c r="Y2636" s="8" t="e">
        <f>+VLOOKUP(M2636,[1]SKU!$B$3:$E$81,4,0)</f>
        <v>#N/A</v>
      </c>
      <c r="Z2636" s="8" t="str">
        <f t="shared" si="41"/>
        <v>FLEX</v>
      </c>
      <c r="AA2636" s="8" t="e">
        <f>+VLOOKUP(I2636,[1]SKU!$H$2:$I$97,2,0)</f>
        <v>#N/A</v>
      </c>
    </row>
    <row r="2637" spans="24:27">
      <c r="X2637" s="8" t="str">
        <f>+IFERROR(VLOOKUP(N2637,[1]Hoja1!$B$2:$F$52,4,0)*P2637,"")</f>
        <v/>
      </c>
      <c r="Y2637" s="8" t="e">
        <f>+VLOOKUP(M2637,[1]SKU!$B$3:$E$81,4,0)</f>
        <v>#N/A</v>
      </c>
      <c r="Z2637" s="8" t="str">
        <f t="shared" si="41"/>
        <v>FLEX</v>
      </c>
      <c r="AA2637" s="8" t="e">
        <f>+VLOOKUP(I2637,[1]SKU!$H$2:$I$97,2,0)</f>
        <v>#N/A</v>
      </c>
    </row>
    <row r="2638" spans="24:27">
      <c r="X2638" s="8" t="str">
        <f>+IFERROR(VLOOKUP(N2638,[1]Hoja1!$B$2:$F$52,4,0)*P2638,"")</f>
        <v/>
      </c>
      <c r="Y2638" s="8" t="e">
        <f>+VLOOKUP(M2638,[1]SKU!$B$3:$E$81,4,0)</f>
        <v>#N/A</v>
      </c>
      <c r="Z2638" s="8" t="str">
        <f t="shared" si="41"/>
        <v>FLEX</v>
      </c>
      <c r="AA2638" s="8" t="e">
        <f>+VLOOKUP(I2638,[1]SKU!$H$2:$I$97,2,0)</f>
        <v>#N/A</v>
      </c>
    </row>
    <row r="2639" spans="24:27">
      <c r="X2639" s="8" t="str">
        <f>+IFERROR(VLOOKUP(N2639,[1]Hoja1!$B$2:$F$52,4,0)*P2639,"")</f>
        <v/>
      </c>
      <c r="Y2639" s="8" t="e">
        <f>+VLOOKUP(M2639,[1]SKU!$B$3:$E$81,4,0)</f>
        <v>#N/A</v>
      </c>
      <c r="Z2639" s="8" t="str">
        <f t="shared" si="41"/>
        <v>FLEX</v>
      </c>
      <c r="AA2639" s="8" t="e">
        <f>+VLOOKUP(I2639,[1]SKU!$H$2:$I$97,2,0)</f>
        <v>#N/A</v>
      </c>
    </row>
    <row r="2640" spans="24:27">
      <c r="X2640" s="8" t="str">
        <f>+IFERROR(VLOOKUP(N2640,[1]Hoja1!$B$2:$F$52,4,0)*P2640,"")</f>
        <v/>
      </c>
      <c r="Y2640" s="8" t="e">
        <f>+VLOOKUP(M2640,[1]SKU!$B$3:$E$81,4,0)</f>
        <v>#N/A</v>
      </c>
      <c r="Z2640" s="8" t="str">
        <f t="shared" si="41"/>
        <v>FLEX</v>
      </c>
      <c r="AA2640" s="8" t="e">
        <f>+VLOOKUP(I2640,[1]SKU!$H$2:$I$97,2,0)</f>
        <v>#N/A</v>
      </c>
    </row>
    <row r="2641" spans="24:27">
      <c r="X2641" s="8" t="str">
        <f>+IFERROR(VLOOKUP(N2641,[1]Hoja1!$B$2:$F$52,4,0)*P2641,"")</f>
        <v/>
      </c>
      <c r="Y2641" s="8" t="e">
        <f>+VLOOKUP(M2641,[1]SKU!$B$3:$E$81,4,0)</f>
        <v>#N/A</v>
      </c>
      <c r="Z2641" s="8" t="str">
        <f t="shared" si="41"/>
        <v>FLEX</v>
      </c>
      <c r="AA2641" s="8" t="e">
        <f>+VLOOKUP(I2641,[1]SKU!$H$2:$I$97,2,0)</f>
        <v>#N/A</v>
      </c>
    </row>
    <row r="2642" spans="24:27">
      <c r="X2642" s="8" t="str">
        <f>+IFERROR(VLOOKUP(N2642,[1]Hoja1!$B$2:$F$52,4,0)*P2642,"")</f>
        <v/>
      </c>
      <c r="Y2642" s="8" t="e">
        <f>+VLOOKUP(M2642,[1]SKU!$B$3:$E$81,4,0)</f>
        <v>#N/A</v>
      </c>
      <c r="Z2642" s="8" t="str">
        <f t="shared" si="41"/>
        <v>FLEX</v>
      </c>
      <c r="AA2642" s="8" t="e">
        <f>+VLOOKUP(I2642,[1]SKU!$H$2:$I$97,2,0)</f>
        <v>#N/A</v>
      </c>
    </row>
    <row r="2643" spans="24:27">
      <c r="X2643" s="8" t="str">
        <f>+IFERROR(VLOOKUP(N2643,[1]Hoja1!$B$2:$F$52,4,0)*P2643,"")</f>
        <v/>
      </c>
      <c r="Y2643" s="8" t="e">
        <f>+VLOOKUP(M2643,[1]SKU!$B$3:$E$81,4,0)</f>
        <v>#N/A</v>
      </c>
      <c r="Z2643" s="8" t="str">
        <f t="shared" si="41"/>
        <v>FLEX</v>
      </c>
      <c r="AA2643" s="8" t="e">
        <f>+VLOOKUP(I2643,[1]SKU!$H$2:$I$97,2,0)</f>
        <v>#N/A</v>
      </c>
    </row>
    <row r="2644" spans="24:27">
      <c r="X2644" s="8" t="str">
        <f>+IFERROR(VLOOKUP(N2644,[1]Hoja1!$B$2:$F$52,4,0)*P2644,"")</f>
        <v/>
      </c>
      <c r="Y2644" s="8" t="e">
        <f>+VLOOKUP(M2644,[1]SKU!$B$3:$E$81,4,0)</f>
        <v>#N/A</v>
      </c>
      <c r="Z2644" s="8" t="str">
        <f t="shared" si="41"/>
        <v>FLEX</v>
      </c>
      <c r="AA2644" s="8" t="e">
        <f>+VLOOKUP(I2644,[1]SKU!$H$2:$I$97,2,0)</f>
        <v>#N/A</v>
      </c>
    </row>
    <row r="2645" spans="24:27">
      <c r="X2645" s="8" t="str">
        <f>+IFERROR(VLOOKUP(N2645,[1]Hoja1!$B$2:$F$52,4,0)*P2645,"")</f>
        <v/>
      </c>
      <c r="Y2645" s="8" t="e">
        <f>+VLOOKUP(M2645,[1]SKU!$B$3:$E$81,4,0)</f>
        <v>#N/A</v>
      </c>
      <c r="Z2645" s="8" t="str">
        <f t="shared" si="41"/>
        <v>FLEX</v>
      </c>
      <c r="AA2645" s="8" t="e">
        <f>+VLOOKUP(I2645,[1]SKU!$H$2:$I$97,2,0)</f>
        <v>#N/A</v>
      </c>
    </row>
    <row r="2646" spans="24:27">
      <c r="X2646" s="8" t="str">
        <f>+IFERROR(VLOOKUP(N2646,[1]Hoja1!$B$2:$F$52,4,0)*P2646,"")</f>
        <v/>
      </c>
      <c r="Y2646" s="8" t="e">
        <f>+VLOOKUP(M2646,[1]SKU!$B$3:$E$81,4,0)</f>
        <v>#N/A</v>
      </c>
      <c r="Z2646" s="8" t="str">
        <f t="shared" si="41"/>
        <v>FLEX</v>
      </c>
      <c r="AA2646" s="8" t="e">
        <f>+VLOOKUP(I2646,[1]SKU!$H$2:$I$97,2,0)</f>
        <v>#N/A</v>
      </c>
    </row>
    <row r="2647" spans="24:27">
      <c r="X2647" s="8" t="str">
        <f>+IFERROR(VLOOKUP(N2647,[1]Hoja1!$B$2:$F$52,4,0)*P2647,"")</f>
        <v/>
      </c>
      <c r="Y2647" s="8" t="e">
        <f>+VLOOKUP(M2647,[1]SKU!$B$3:$E$81,4,0)</f>
        <v>#N/A</v>
      </c>
      <c r="Z2647" s="8" t="str">
        <f t="shared" si="41"/>
        <v>FLEX</v>
      </c>
      <c r="AA2647" s="8" t="e">
        <f>+VLOOKUP(I2647,[1]SKU!$H$2:$I$97,2,0)</f>
        <v>#N/A</v>
      </c>
    </row>
    <row r="2648" spans="24:27">
      <c r="X2648" s="8" t="str">
        <f>+IFERROR(VLOOKUP(N2648,[1]Hoja1!$B$2:$F$52,4,0)*P2648,"")</f>
        <v/>
      </c>
      <c r="Y2648" s="8" t="e">
        <f>+VLOOKUP(M2648,[1]SKU!$B$3:$E$81,4,0)</f>
        <v>#N/A</v>
      </c>
      <c r="Z2648" s="8" t="str">
        <f t="shared" si="41"/>
        <v>FLEX</v>
      </c>
      <c r="AA2648" s="8" t="e">
        <f>+VLOOKUP(I2648,[1]SKU!$H$2:$I$97,2,0)</f>
        <v>#N/A</v>
      </c>
    </row>
    <row r="2649" spans="24:27">
      <c r="X2649" s="8" t="str">
        <f>+IFERROR(VLOOKUP(N2649,[1]Hoja1!$B$2:$F$52,4,0)*P2649,"")</f>
        <v/>
      </c>
      <c r="Y2649" s="8" t="e">
        <f>+VLOOKUP(M2649,[1]SKU!$B$3:$E$81,4,0)</f>
        <v>#N/A</v>
      </c>
      <c r="Z2649" s="8" t="str">
        <f t="shared" si="41"/>
        <v>FLEX</v>
      </c>
      <c r="AA2649" s="8" t="e">
        <f>+VLOOKUP(I2649,[1]SKU!$H$2:$I$97,2,0)</f>
        <v>#N/A</v>
      </c>
    </row>
    <row r="2650" spans="24:27">
      <c r="X2650" s="8" t="str">
        <f>+IFERROR(VLOOKUP(N2650,[1]Hoja1!$B$2:$F$52,4,0)*P2650,"")</f>
        <v/>
      </c>
      <c r="Y2650" s="8" t="e">
        <f>+VLOOKUP(M2650,[1]SKU!$B$3:$E$81,4,0)</f>
        <v>#N/A</v>
      </c>
      <c r="Z2650" s="8" t="str">
        <f t="shared" si="41"/>
        <v>FLEX</v>
      </c>
      <c r="AA2650" s="8" t="e">
        <f>+VLOOKUP(I2650,[1]SKU!$H$2:$I$97,2,0)</f>
        <v>#N/A</v>
      </c>
    </row>
    <row r="2651" spans="24:27">
      <c r="X2651" s="8" t="str">
        <f>+IFERROR(VLOOKUP(N2651,[1]Hoja1!$B$2:$F$52,4,0)*P2651,"")</f>
        <v/>
      </c>
      <c r="Y2651" s="8" t="e">
        <f>+VLOOKUP(M2651,[1]SKU!$B$3:$E$81,4,0)</f>
        <v>#N/A</v>
      </c>
      <c r="Z2651" s="8" t="str">
        <f t="shared" si="41"/>
        <v>FLEX</v>
      </c>
      <c r="AA2651" s="8" t="e">
        <f>+VLOOKUP(I2651,[1]SKU!$H$2:$I$97,2,0)</f>
        <v>#N/A</v>
      </c>
    </row>
    <row r="2652" spans="24:27">
      <c r="X2652" s="8" t="str">
        <f>+IFERROR(VLOOKUP(N2652,[1]Hoja1!$B$2:$F$52,4,0)*P2652,"")</f>
        <v/>
      </c>
      <c r="Y2652" s="8" t="e">
        <f>+VLOOKUP(M2652,[1]SKU!$B$3:$E$81,4,0)</f>
        <v>#N/A</v>
      </c>
      <c r="Z2652" s="8" t="str">
        <f t="shared" si="41"/>
        <v>FLEX</v>
      </c>
      <c r="AA2652" s="8" t="e">
        <f>+VLOOKUP(I2652,[1]SKU!$H$2:$I$97,2,0)</f>
        <v>#N/A</v>
      </c>
    </row>
    <row r="2653" spans="24:27">
      <c r="X2653" s="8" t="str">
        <f>+IFERROR(VLOOKUP(N2653,[1]Hoja1!$B$2:$F$52,4,0)*P2653,"")</f>
        <v/>
      </c>
      <c r="Y2653" s="8" t="e">
        <f>+VLOOKUP(M2653,[1]SKU!$B$3:$E$81,4,0)</f>
        <v>#N/A</v>
      </c>
      <c r="Z2653" s="8" t="str">
        <f t="shared" si="41"/>
        <v>FLEX</v>
      </c>
      <c r="AA2653" s="8" t="e">
        <f>+VLOOKUP(I2653,[1]SKU!$H$2:$I$97,2,0)</f>
        <v>#N/A</v>
      </c>
    </row>
    <row r="2654" spans="24:27">
      <c r="X2654" s="8" t="str">
        <f>+IFERROR(VLOOKUP(N2654,[1]Hoja1!$B$2:$F$52,4,0)*P2654,"")</f>
        <v/>
      </c>
      <c r="Y2654" s="8" t="e">
        <f>+VLOOKUP(M2654,[1]SKU!$B$3:$E$81,4,0)</f>
        <v>#N/A</v>
      </c>
      <c r="Z2654" s="8" t="str">
        <f t="shared" si="41"/>
        <v>FLEX</v>
      </c>
      <c r="AA2654" s="8" t="e">
        <f>+VLOOKUP(I2654,[1]SKU!$H$2:$I$97,2,0)</f>
        <v>#N/A</v>
      </c>
    </row>
    <row r="2655" spans="24:27">
      <c r="X2655" s="8" t="str">
        <f>+IFERROR(VLOOKUP(N2655,[1]Hoja1!$B$2:$F$52,4,0)*P2655,"")</f>
        <v/>
      </c>
      <c r="Y2655" s="8" t="e">
        <f>+VLOOKUP(M2655,[1]SKU!$B$3:$E$81,4,0)</f>
        <v>#N/A</v>
      </c>
      <c r="Z2655" s="8" t="str">
        <f t="shared" si="41"/>
        <v>FLEX</v>
      </c>
      <c r="AA2655" s="8" t="e">
        <f>+VLOOKUP(I2655,[1]SKU!$H$2:$I$97,2,0)</f>
        <v>#N/A</v>
      </c>
    </row>
    <row r="2656" spans="24:27">
      <c r="X2656" s="8" t="str">
        <f>+IFERROR(VLOOKUP(N2656,[1]Hoja1!$B$2:$F$52,4,0)*P2656,"")</f>
        <v/>
      </c>
      <c r="Y2656" s="8" t="e">
        <f>+VLOOKUP(M2656,[1]SKU!$B$3:$E$81,4,0)</f>
        <v>#N/A</v>
      </c>
      <c r="Z2656" s="8" t="str">
        <f t="shared" si="41"/>
        <v>FLEX</v>
      </c>
      <c r="AA2656" s="8" t="e">
        <f>+VLOOKUP(I2656,[1]SKU!$H$2:$I$97,2,0)</f>
        <v>#N/A</v>
      </c>
    </row>
    <row r="2657" spans="24:27">
      <c r="X2657" s="8" t="str">
        <f>+IFERROR(VLOOKUP(N2657,[1]Hoja1!$B$2:$F$52,4,0)*P2657,"")</f>
        <v/>
      </c>
      <c r="Y2657" s="8" t="e">
        <f>+VLOOKUP(M2657,[1]SKU!$B$3:$E$81,4,0)</f>
        <v>#N/A</v>
      </c>
      <c r="Z2657" s="8" t="str">
        <f t="shared" si="41"/>
        <v>FLEX</v>
      </c>
      <c r="AA2657" s="8" t="e">
        <f>+VLOOKUP(I2657,[1]SKU!$H$2:$I$97,2,0)</f>
        <v>#N/A</v>
      </c>
    </row>
    <row r="2658" spans="24:27">
      <c r="X2658" s="8" t="str">
        <f>+IFERROR(VLOOKUP(N2658,[1]Hoja1!$B$2:$F$52,4,0)*P2658,"")</f>
        <v/>
      </c>
      <c r="Y2658" s="8" t="e">
        <f>+VLOOKUP(M2658,[1]SKU!$B$3:$E$81,4,0)</f>
        <v>#N/A</v>
      </c>
      <c r="Z2658" s="8" t="str">
        <f t="shared" si="41"/>
        <v>FLEX</v>
      </c>
      <c r="AA2658" s="8" t="e">
        <f>+VLOOKUP(I2658,[1]SKU!$H$2:$I$97,2,0)</f>
        <v>#N/A</v>
      </c>
    </row>
    <row r="2659" spans="24:27">
      <c r="X2659" s="8" t="str">
        <f>+IFERROR(VLOOKUP(N2659,[1]Hoja1!$B$2:$F$52,4,0)*P2659,"")</f>
        <v/>
      </c>
      <c r="Y2659" s="8" t="e">
        <f>+VLOOKUP(M2659,[1]SKU!$B$3:$E$81,4,0)</f>
        <v>#N/A</v>
      </c>
      <c r="Z2659" s="8" t="str">
        <f t="shared" si="41"/>
        <v>FLEX</v>
      </c>
      <c r="AA2659" s="8" t="e">
        <f>+VLOOKUP(I2659,[1]SKU!$H$2:$I$97,2,0)</f>
        <v>#N/A</v>
      </c>
    </row>
    <row r="2660" spans="24:27">
      <c r="X2660" s="8" t="str">
        <f>+IFERROR(VLOOKUP(N2660,[1]Hoja1!$B$2:$F$52,4,0)*P2660,"")</f>
        <v/>
      </c>
      <c r="Y2660" s="8" t="e">
        <f>+VLOOKUP(M2660,[1]SKU!$B$3:$E$81,4,0)</f>
        <v>#N/A</v>
      </c>
      <c r="Z2660" s="8" t="str">
        <f t="shared" si="41"/>
        <v>FLEX</v>
      </c>
      <c r="AA2660" s="8" t="e">
        <f>+VLOOKUP(I2660,[1]SKU!$H$2:$I$97,2,0)</f>
        <v>#N/A</v>
      </c>
    </row>
    <row r="2661" spans="24:27">
      <c r="X2661" s="8" t="str">
        <f>+IFERROR(VLOOKUP(N2661,[1]Hoja1!$B$2:$F$52,4,0)*P2661,"")</f>
        <v/>
      </c>
      <c r="Y2661" s="8" t="e">
        <f>+VLOOKUP(M2661,[1]SKU!$B$3:$E$81,4,0)</f>
        <v>#N/A</v>
      </c>
      <c r="Z2661" s="8" t="str">
        <f t="shared" si="41"/>
        <v>FLEX</v>
      </c>
      <c r="AA2661" s="8" t="e">
        <f>+VLOOKUP(I2661,[1]SKU!$H$2:$I$97,2,0)</f>
        <v>#N/A</v>
      </c>
    </row>
    <row r="2662" spans="24:27">
      <c r="X2662" s="8" t="str">
        <f>+IFERROR(VLOOKUP(N2662,[1]Hoja1!$B$2:$F$52,4,0)*P2662,"")</f>
        <v/>
      </c>
      <c r="Y2662" s="8" t="e">
        <f>+VLOOKUP(M2662,[1]SKU!$B$3:$E$81,4,0)</f>
        <v>#N/A</v>
      </c>
      <c r="Z2662" s="8" t="str">
        <f t="shared" si="41"/>
        <v>FLEX</v>
      </c>
      <c r="AA2662" s="8" t="e">
        <f>+VLOOKUP(I2662,[1]SKU!$H$2:$I$97,2,0)</f>
        <v>#N/A</v>
      </c>
    </row>
    <row r="2663" spans="24:27">
      <c r="X2663" s="8" t="str">
        <f>+IFERROR(VLOOKUP(N2663,[1]Hoja1!$B$2:$F$52,4,0)*P2663,"")</f>
        <v/>
      </c>
      <c r="Y2663" s="8" t="e">
        <f>+VLOOKUP(M2663,[1]SKU!$B$3:$E$81,4,0)</f>
        <v>#N/A</v>
      </c>
      <c r="Z2663" s="8" t="str">
        <f t="shared" si="41"/>
        <v>FLEX</v>
      </c>
      <c r="AA2663" s="8" t="e">
        <f>+VLOOKUP(I2663,[1]SKU!$H$2:$I$97,2,0)</f>
        <v>#N/A</v>
      </c>
    </row>
    <row r="2664" spans="24:27">
      <c r="X2664" s="8" t="str">
        <f>+IFERROR(VLOOKUP(N2664,[1]Hoja1!$B$2:$F$52,4,0)*P2664,"")</f>
        <v/>
      </c>
      <c r="Y2664" s="8" t="e">
        <f>+VLOOKUP(M2664,[1]SKU!$B$3:$E$81,4,0)</f>
        <v>#N/A</v>
      </c>
      <c r="Z2664" s="8" t="str">
        <f t="shared" si="41"/>
        <v>FLEX</v>
      </c>
      <c r="AA2664" s="8" t="e">
        <f>+VLOOKUP(I2664,[1]SKU!$H$2:$I$97,2,0)</f>
        <v>#N/A</v>
      </c>
    </row>
    <row r="2665" spans="24:27">
      <c r="X2665" s="8" t="str">
        <f>+IFERROR(VLOOKUP(N2665,[1]Hoja1!$B$2:$F$52,4,0)*P2665,"")</f>
        <v/>
      </c>
      <c r="Y2665" s="8" t="e">
        <f>+VLOOKUP(M2665,[1]SKU!$B$3:$E$81,4,0)</f>
        <v>#N/A</v>
      </c>
      <c r="Z2665" s="8" t="str">
        <f t="shared" si="41"/>
        <v>FLEX</v>
      </c>
      <c r="AA2665" s="8" t="e">
        <f>+VLOOKUP(I2665,[1]SKU!$H$2:$I$97,2,0)</f>
        <v>#N/A</v>
      </c>
    </row>
    <row r="2666" spans="24:27">
      <c r="X2666" s="8" t="str">
        <f>+IFERROR(VLOOKUP(N2666,[1]Hoja1!$B$2:$F$52,4,0)*P2666,"")</f>
        <v/>
      </c>
      <c r="Y2666" s="8" t="e">
        <f>+VLOOKUP(M2666,[1]SKU!$B$3:$E$81,4,0)</f>
        <v>#N/A</v>
      </c>
      <c r="Z2666" s="8" t="str">
        <f t="shared" si="41"/>
        <v>FLEX</v>
      </c>
      <c r="AA2666" s="8" t="e">
        <f>+VLOOKUP(I2666,[1]SKU!$H$2:$I$97,2,0)</f>
        <v>#N/A</v>
      </c>
    </row>
    <row r="2667" spans="24:27">
      <c r="X2667" s="8" t="str">
        <f>+IFERROR(VLOOKUP(N2667,[1]Hoja1!$B$2:$F$52,4,0)*P2667,"")</f>
        <v/>
      </c>
      <c r="Y2667" s="8" t="e">
        <f>+VLOOKUP(M2667,[1]SKU!$B$3:$E$81,4,0)</f>
        <v>#N/A</v>
      </c>
      <c r="Z2667" s="8" t="str">
        <f t="shared" si="41"/>
        <v>FLEX</v>
      </c>
      <c r="AA2667" s="8" t="e">
        <f>+VLOOKUP(I2667,[1]SKU!$H$2:$I$97,2,0)</f>
        <v>#N/A</v>
      </c>
    </row>
    <row r="2668" spans="24:27">
      <c r="X2668" s="8" t="str">
        <f>+IFERROR(VLOOKUP(N2668,[1]Hoja1!$B$2:$F$52,4,0)*P2668,"")</f>
        <v/>
      </c>
      <c r="Y2668" s="8" t="e">
        <f>+VLOOKUP(M2668,[1]SKU!$B$3:$E$81,4,0)</f>
        <v>#N/A</v>
      </c>
      <c r="Z2668" s="8" t="str">
        <f t="shared" si="41"/>
        <v>FLEX</v>
      </c>
      <c r="AA2668" s="8" t="e">
        <f>+VLOOKUP(I2668,[1]SKU!$H$2:$I$97,2,0)</f>
        <v>#N/A</v>
      </c>
    </row>
    <row r="2669" spans="24:27">
      <c r="X2669" s="8" t="str">
        <f>+IFERROR(VLOOKUP(N2669,[1]Hoja1!$B$2:$F$52,4,0)*P2669,"")</f>
        <v/>
      </c>
      <c r="Y2669" s="8" t="e">
        <f>+VLOOKUP(M2669,[1]SKU!$B$3:$E$81,4,0)</f>
        <v>#N/A</v>
      </c>
      <c r="Z2669" s="8" t="str">
        <f t="shared" si="41"/>
        <v>FLEX</v>
      </c>
      <c r="AA2669" s="8" t="e">
        <f>+VLOOKUP(I2669,[1]SKU!$H$2:$I$97,2,0)</f>
        <v>#N/A</v>
      </c>
    </row>
    <row r="2670" spans="24:27">
      <c r="X2670" s="8" t="str">
        <f>+IFERROR(VLOOKUP(N2670,[1]Hoja1!$B$2:$F$52,4,0)*P2670,"")</f>
        <v/>
      </c>
      <c r="Y2670" s="8" t="e">
        <f>+VLOOKUP(M2670,[1]SKU!$B$3:$E$81,4,0)</f>
        <v>#N/A</v>
      </c>
      <c r="Z2670" s="8" t="str">
        <f t="shared" si="41"/>
        <v>FLEX</v>
      </c>
      <c r="AA2670" s="8" t="e">
        <f>+VLOOKUP(I2670,[1]SKU!$H$2:$I$97,2,0)</f>
        <v>#N/A</v>
      </c>
    </row>
    <row r="2671" spans="24:27">
      <c r="X2671" s="8" t="str">
        <f>+IFERROR(VLOOKUP(N2671,[1]Hoja1!$B$2:$F$52,4,0)*P2671,"")</f>
        <v/>
      </c>
      <c r="Y2671" s="8" t="e">
        <f>+VLOOKUP(M2671,[1]SKU!$B$3:$E$81,4,0)</f>
        <v>#N/A</v>
      </c>
      <c r="Z2671" s="8" t="str">
        <f t="shared" si="41"/>
        <v>FLEX</v>
      </c>
      <c r="AA2671" s="8" t="e">
        <f>+VLOOKUP(I2671,[1]SKU!$H$2:$I$97,2,0)</f>
        <v>#N/A</v>
      </c>
    </row>
    <row r="2672" spans="24:27">
      <c r="X2672" s="8" t="str">
        <f>+IFERROR(VLOOKUP(N2672,[1]Hoja1!$B$2:$F$52,4,0)*P2672,"")</f>
        <v/>
      </c>
      <c r="Y2672" s="8" t="e">
        <f>+VLOOKUP(M2672,[1]SKU!$B$3:$E$81,4,0)</f>
        <v>#N/A</v>
      </c>
      <c r="Z2672" s="8" t="str">
        <f t="shared" si="41"/>
        <v>FLEX</v>
      </c>
      <c r="AA2672" s="8" t="e">
        <f>+VLOOKUP(I2672,[1]SKU!$H$2:$I$97,2,0)</f>
        <v>#N/A</v>
      </c>
    </row>
    <row r="2673" spans="24:27">
      <c r="X2673" s="8" t="str">
        <f>+IFERROR(VLOOKUP(N2673,[1]Hoja1!$B$2:$F$52,4,0)*P2673,"")</f>
        <v/>
      </c>
      <c r="Y2673" s="8" t="e">
        <f>+VLOOKUP(M2673,[1]SKU!$B$3:$E$81,4,0)</f>
        <v>#N/A</v>
      </c>
      <c r="Z2673" s="8" t="str">
        <f t="shared" si="41"/>
        <v>FLEX</v>
      </c>
      <c r="AA2673" s="8" t="e">
        <f>+VLOOKUP(I2673,[1]SKU!$H$2:$I$97,2,0)</f>
        <v>#N/A</v>
      </c>
    </row>
    <row r="2674" spans="24:27">
      <c r="X2674" s="8" t="str">
        <f>+IFERROR(VLOOKUP(N2674,[1]Hoja1!$B$2:$F$52,4,0)*P2674,"")</f>
        <v/>
      </c>
      <c r="Y2674" s="8" t="e">
        <f>+VLOOKUP(M2674,[1]SKU!$B$3:$E$81,4,0)</f>
        <v>#N/A</v>
      </c>
      <c r="Z2674" s="8" t="str">
        <f t="shared" si="41"/>
        <v>FLEX</v>
      </c>
      <c r="AA2674" s="8" t="e">
        <f>+VLOOKUP(I2674,[1]SKU!$H$2:$I$97,2,0)</f>
        <v>#N/A</v>
      </c>
    </row>
    <row r="2675" spans="24:27">
      <c r="X2675" s="8" t="str">
        <f>+IFERROR(VLOOKUP(N2675,[1]Hoja1!$B$2:$F$52,4,0)*P2675,"")</f>
        <v/>
      </c>
      <c r="Y2675" s="8" t="e">
        <f>+VLOOKUP(M2675,[1]SKU!$B$3:$E$81,4,0)</f>
        <v>#N/A</v>
      </c>
      <c r="Z2675" s="8" t="str">
        <f t="shared" si="41"/>
        <v>FLEX</v>
      </c>
      <c r="AA2675" s="8" t="e">
        <f>+VLOOKUP(I2675,[1]SKU!$H$2:$I$97,2,0)</f>
        <v>#N/A</v>
      </c>
    </row>
    <row r="2676" spans="24:27">
      <c r="X2676" s="8" t="str">
        <f>+IFERROR(VLOOKUP(N2676,[1]Hoja1!$B$2:$F$52,4,0)*P2676,"")</f>
        <v/>
      </c>
      <c r="Y2676" s="8" t="e">
        <f>+VLOOKUP(M2676,[1]SKU!$B$3:$E$81,4,0)</f>
        <v>#N/A</v>
      </c>
      <c r="Z2676" s="8" t="str">
        <f t="shared" si="41"/>
        <v>FLEX</v>
      </c>
      <c r="AA2676" s="8" t="e">
        <f>+VLOOKUP(I2676,[1]SKU!$H$2:$I$97,2,0)</f>
        <v>#N/A</v>
      </c>
    </row>
    <row r="2677" spans="24:27">
      <c r="X2677" s="8" t="str">
        <f>+IFERROR(VLOOKUP(N2677,[1]Hoja1!$B$2:$F$52,4,0)*P2677,"")</f>
        <v/>
      </c>
      <c r="Y2677" s="8" t="e">
        <f>+VLOOKUP(M2677,[1]SKU!$B$3:$E$81,4,0)</f>
        <v>#N/A</v>
      </c>
      <c r="Z2677" s="8" t="str">
        <f t="shared" si="41"/>
        <v>FLEX</v>
      </c>
      <c r="AA2677" s="8" t="e">
        <f>+VLOOKUP(I2677,[1]SKU!$H$2:$I$97,2,0)</f>
        <v>#N/A</v>
      </c>
    </row>
    <row r="2678" spans="24:27">
      <c r="X2678" s="8" t="str">
        <f>+IFERROR(VLOOKUP(N2678,[1]Hoja1!$B$2:$F$52,4,0)*P2678,"")</f>
        <v/>
      </c>
      <c r="Y2678" s="8" t="e">
        <f>+VLOOKUP(M2678,[1]SKU!$B$3:$E$81,4,0)</f>
        <v>#N/A</v>
      </c>
      <c r="Z2678" s="8" t="str">
        <f t="shared" si="41"/>
        <v>FLEX</v>
      </c>
      <c r="AA2678" s="8" t="e">
        <f>+VLOOKUP(I2678,[1]SKU!$H$2:$I$97,2,0)</f>
        <v>#N/A</v>
      </c>
    </row>
    <row r="2679" spans="24:27">
      <c r="X2679" s="8" t="str">
        <f>+IFERROR(VLOOKUP(N2679,[1]Hoja1!$B$2:$F$52,4,0)*P2679,"")</f>
        <v/>
      </c>
      <c r="Y2679" s="8" t="e">
        <f>+VLOOKUP(M2679,[1]SKU!$B$3:$E$81,4,0)</f>
        <v>#N/A</v>
      </c>
      <c r="Z2679" s="8" t="str">
        <f t="shared" si="41"/>
        <v>FLEX</v>
      </c>
      <c r="AA2679" s="8" t="e">
        <f>+VLOOKUP(I2679,[1]SKU!$H$2:$I$97,2,0)</f>
        <v>#N/A</v>
      </c>
    </row>
    <row r="2680" spans="24:27">
      <c r="X2680" s="8" t="str">
        <f>+IFERROR(VLOOKUP(N2680,[1]Hoja1!$B$2:$F$52,4,0)*P2680,"")</f>
        <v/>
      </c>
      <c r="Y2680" s="8" t="e">
        <f>+VLOOKUP(M2680,[1]SKU!$B$3:$E$81,4,0)</f>
        <v>#N/A</v>
      </c>
      <c r="Z2680" s="8" t="str">
        <f t="shared" si="41"/>
        <v>FLEX</v>
      </c>
      <c r="AA2680" s="8" t="e">
        <f>+VLOOKUP(I2680,[1]SKU!$H$2:$I$97,2,0)</f>
        <v>#N/A</v>
      </c>
    </row>
    <row r="2681" spans="24:27">
      <c r="X2681" s="8" t="str">
        <f>+IFERROR(VLOOKUP(N2681,[1]Hoja1!$B$2:$F$52,4,0)*P2681,"")</f>
        <v/>
      </c>
      <c r="Y2681" s="8" t="e">
        <f>+VLOOKUP(M2681,[1]SKU!$B$3:$E$81,4,0)</f>
        <v>#N/A</v>
      </c>
      <c r="Z2681" s="8" t="str">
        <f t="shared" si="41"/>
        <v>FLEX</v>
      </c>
      <c r="AA2681" s="8" t="e">
        <f>+VLOOKUP(I2681,[1]SKU!$H$2:$I$97,2,0)</f>
        <v>#N/A</v>
      </c>
    </row>
    <row r="2682" spans="24:27">
      <c r="X2682" s="8" t="str">
        <f>+IFERROR(VLOOKUP(N2682,[1]Hoja1!$B$2:$F$52,4,0)*P2682,"")</f>
        <v/>
      </c>
      <c r="Y2682" s="8" t="e">
        <f>+VLOOKUP(M2682,[1]SKU!$B$3:$E$81,4,0)</f>
        <v>#N/A</v>
      </c>
      <c r="Z2682" s="8" t="str">
        <f t="shared" si="41"/>
        <v>FLEX</v>
      </c>
      <c r="AA2682" s="8" t="e">
        <f>+VLOOKUP(I2682,[1]SKU!$H$2:$I$97,2,0)</f>
        <v>#N/A</v>
      </c>
    </row>
    <row r="2683" spans="24:27">
      <c r="X2683" s="8" t="str">
        <f>+IFERROR(VLOOKUP(N2683,[1]Hoja1!$B$2:$F$52,4,0)*P2683,"")</f>
        <v/>
      </c>
      <c r="Y2683" s="8" t="e">
        <f>+VLOOKUP(M2683,[1]SKU!$B$3:$E$81,4,0)</f>
        <v>#N/A</v>
      </c>
      <c r="Z2683" s="8" t="str">
        <f t="shared" si="41"/>
        <v>FLEX</v>
      </c>
      <c r="AA2683" s="8" t="e">
        <f>+VLOOKUP(I2683,[1]SKU!$H$2:$I$97,2,0)</f>
        <v>#N/A</v>
      </c>
    </row>
    <row r="2684" spans="24:27">
      <c r="X2684" s="8" t="str">
        <f>+IFERROR(VLOOKUP(N2684,[1]Hoja1!$B$2:$F$52,4,0)*P2684,"")</f>
        <v/>
      </c>
      <c r="Y2684" s="8" t="e">
        <f>+VLOOKUP(M2684,[1]SKU!$B$3:$E$81,4,0)</f>
        <v>#N/A</v>
      </c>
      <c r="Z2684" s="8" t="str">
        <f t="shared" si="41"/>
        <v>FLEX</v>
      </c>
      <c r="AA2684" s="8" t="e">
        <f>+VLOOKUP(I2684,[1]SKU!$H$2:$I$97,2,0)</f>
        <v>#N/A</v>
      </c>
    </row>
    <row r="2685" spans="24:27">
      <c r="X2685" s="8" t="str">
        <f>+IFERROR(VLOOKUP(N2685,[1]Hoja1!$B$2:$F$52,4,0)*P2685,"")</f>
        <v/>
      </c>
      <c r="Y2685" s="8" t="e">
        <f>+VLOOKUP(M2685,[1]SKU!$B$3:$E$81,4,0)</f>
        <v>#N/A</v>
      </c>
      <c r="Z2685" s="8" t="str">
        <f t="shared" si="41"/>
        <v>FLEX</v>
      </c>
      <c r="AA2685" s="8" t="e">
        <f>+VLOOKUP(I2685,[1]SKU!$H$2:$I$97,2,0)</f>
        <v>#N/A</v>
      </c>
    </row>
    <row r="2686" spans="24:27">
      <c r="X2686" s="8" t="str">
        <f>+IFERROR(VLOOKUP(N2686,[1]Hoja1!$B$2:$F$52,4,0)*P2686,"")</f>
        <v/>
      </c>
      <c r="Y2686" s="8" t="e">
        <f>+VLOOKUP(M2686,[1]SKU!$B$3:$E$81,4,0)</f>
        <v>#N/A</v>
      </c>
      <c r="Z2686" s="8" t="str">
        <f t="shared" si="41"/>
        <v>FLEX</v>
      </c>
      <c r="AA2686" s="8" t="e">
        <f>+VLOOKUP(I2686,[1]SKU!$H$2:$I$97,2,0)</f>
        <v>#N/A</v>
      </c>
    </row>
    <row r="2687" spans="24:27">
      <c r="X2687" s="8" t="str">
        <f>+IFERROR(VLOOKUP(N2687,[1]Hoja1!$B$2:$F$52,4,0)*P2687,"")</f>
        <v/>
      </c>
      <c r="Y2687" s="8" t="e">
        <f>+VLOOKUP(M2687,[1]SKU!$B$3:$E$81,4,0)</f>
        <v>#N/A</v>
      </c>
      <c r="Z2687" s="8" t="str">
        <f t="shared" si="41"/>
        <v>FLEX</v>
      </c>
      <c r="AA2687" s="8" t="e">
        <f>+VLOOKUP(I2687,[1]SKU!$H$2:$I$97,2,0)</f>
        <v>#N/A</v>
      </c>
    </row>
    <row r="2688" spans="24:27">
      <c r="X2688" s="8" t="str">
        <f>+IFERROR(VLOOKUP(N2688,[1]Hoja1!$B$2:$F$52,4,0)*P2688,"")</f>
        <v/>
      </c>
      <c r="Y2688" s="8" t="e">
        <f>+VLOOKUP(M2688,[1]SKU!$B$3:$E$81,4,0)</f>
        <v>#N/A</v>
      </c>
      <c r="Z2688" s="8" t="str">
        <f t="shared" si="41"/>
        <v>FLEX</v>
      </c>
      <c r="AA2688" s="8" t="e">
        <f>+VLOOKUP(I2688,[1]SKU!$H$2:$I$97,2,0)</f>
        <v>#N/A</v>
      </c>
    </row>
    <row r="2689" spans="24:27">
      <c r="X2689" s="8" t="str">
        <f>+IFERROR(VLOOKUP(N2689,[1]Hoja1!$B$2:$F$52,4,0)*P2689,"")</f>
        <v/>
      </c>
      <c r="Y2689" s="8" t="e">
        <f>+VLOOKUP(M2689,[1]SKU!$B$3:$E$81,4,0)</f>
        <v>#N/A</v>
      </c>
      <c r="Z2689" s="8" t="str">
        <f t="shared" si="41"/>
        <v>FLEX</v>
      </c>
      <c r="AA2689" s="8" t="e">
        <f>+VLOOKUP(I2689,[1]SKU!$H$2:$I$97,2,0)</f>
        <v>#N/A</v>
      </c>
    </row>
    <row r="2690" spans="24:27">
      <c r="X2690" s="8" t="str">
        <f>+IFERROR(VLOOKUP(N2690,[1]Hoja1!$B$2:$F$52,4,0)*P2690,"")</f>
        <v/>
      </c>
      <c r="Y2690" s="8" t="e">
        <f>+VLOOKUP(M2690,[1]SKU!$B$3:$E$81,4,0)</f>
        <v>#N/A</v>
      </c>
      <c r="Z2690" s="8" t="str">
        <f t="shared" si="41"/>
        <v>FLEX</v>
      </c>
      <c r="AA2690" s="8" t="e">
        <f>+VLOOKUP(I2690,[1]SKU!$H$2:$I$97,2,0)</f>
        <v>#N/A</v>
      </c>
    </row>
    <row r="2691" spans="24:27">
      <c r="X2691" s="8" t="str">
        <f>+IFERROR(VLOOKUP(N2691,[1]Hoja1!$B$2:$F$52,4,0)*P2691,"")</f>
        <v/>
      </c>
      <c r="Y2691" s="8" t="e">
        <f>+VLOOKUP(M2691,[1]SKU!$B$3:$E$81,4,0)</f>
        <v>#N/A</v>
      </c>
      <c r="Z2691" s="8" t="str">
        <f t="shared" ref="Z2691:Z2754" si="42">+IF(J2691="VB01                          ","BEES","FLEX")</f>
        <v>FLEX</v>
      </c>
      <c r="AA2691" s="8" t="e">
        <f>+VLOOKUP(I2691,[1]SKU!$H$2:$I$97,2,0)</f>
        <v>#N/A</v>
      </c>
    </row>
    <row r="2692" spans="24:27">
      <c r="X2692" s="8" t="str">
        <f>+IFERROR(VLOOKUP(N2692,[1]Hoja1!$B$2:$F$52,4,0)*P2692,"")</f>
        <v/>
      </c>
      <c r="Y2692" s="8" t="e">
        <f>+VLOOKUP(M2692,[1]SKU!$B$3:$E$81,4,0)</f>
        <v>#N/A</v>
      </c>
      <c r="Z2692" s="8" t="str">
        <f t="shared" si="42"/>
        <v>FLEX</v>
      </c>
      <c r="AA2692" s="8" t="e">
        <f>+VLOOKUP(I2692,[1]SKU!$H$2:$I$97,2,0)</f>
        <v>#N/A</v>
      </c>
    </row>
    <row r="2693" spans="24:27">
      <c r="X2693" s="8" t="str">
        <f>+IFERROR(VLOOKUP(N2693,[1]Hoja1!$B$2:$F$52,4,0)*P2693,"")</f>
        <v/>
      </c>
      <c r="Y2693" s="8" t="e">
        <f>+VLOOKUP(M2693,[1]SKU!$B$3:$E$81,4,0)</f>
        <v>#N/A</v>
      </c>
      <c r="Z2693" s="8" t="str">
        <f t="shared" si="42"/>
        <v>FLEX</v>
      </c>
      <c r="AA2693" s="8" t="e">
        <f>+VLOOKUP(I2693,[1]SKU!$H$2:$I$97,2,0)</f>
        <v>#N/A</v>
      </c>
    </row>
    <row r="2694" spans="24:27">
      <c r="X2694" s="8" t="str">
        <f>+IFERROR(VLOOKUP(N2694,[1]Hoja1!$B$2:$F$52,4,0)*P2694,"")</f>
        <v/>
      </c>
      <c r="Y2694" s="8" t="e">
        <f>+VLOOKUP(M2694,[1]SKU!$B$3:$E$81,4,0)</f>
        <v>#N/A</v>
      </c>
      <c r="Z2694" s="8" t="str">
        <f t="shared" si="42"/>
        <v>FLEX</v>
      </c>
      <c r="AA2694" s="8" t="e">
        <f>+VLOOKUP(I2694,[1]SKU!$H$2:$I$97,2,0)</f>
        <v>#N/A</v>
      </c>
    </row>
    <row r="2695" spans="24:27">
      <c r="X2695" s="8" t="str">
        <f>+IFERROR(VLOOKUP(N2695,[1]Hoja1!$B$2:$F$52,4,0)*P2695,"")</f>
        <v/>
      </c>
      <c r="Y2695" s="8" t="e">
        <f>+VLOOKUP(M2695,[1]SKU!$B$3:$E$81,4,0)</f>
        <v>#N/A</v>
      </c>
      <c r="Z2695" s="8" t="str">
        <f t="shared" si="42"/>
        <v>FLEX</v>
      </c>
      <c r="AA2695" s="8" t="e">
        <f>+VLOOKUP(I2695,[1]SKU!$H$2:$I$97,2,0)</f>
        <v>#N/A</v>
      </c>
    </row>
    <row r="2696" spans="24:27">
      <c r="X2696" s="8" t="str">
        <f>+IFERROR(VLOOKUP(N2696,[1]Hoja1!$B$2:$F$52,4,0)*P2696,"")</f>
        <v/>
      </c>
      <c r="Y2696" s="8" t="e">
        <f>+VLOOKUP(M2696,[1]SKU!$B$3:$E$81,4,0)</f>
        <v>#N/A</v>
      </c>
      <c r="Z2696" s="8" t="str">
        <f t="shared" si="42"/>
        <v>FLEX</v>
      </c>
      <c r="AA2696" s="8" t="e">
        <f>+VLOOKUP(I2696,[1]SKU!$H$2:$I$97,2,0)</f>
        <v>#N/A</v>
      </c>
    </row>
    <row r="2697" spans="24:27">
      <c r="X2697" s="8" t="str">
        <f>+IFERROR(VLOOKUP(N2697,[1]Hoja1!$B$2:$F$52,4,0)*P2697,"")</f>
        <v/>
      </c>
      <c r="Y2697" s="8" t="e">
        <f>+VLOOKUP(M2697,[1]SKU!$B$3:$E$81,4,0)</f>
        <v>#N/A</v>
      </c>
      <c r="Z2697" s="8" t="str">
        <f t="shared" si="42"/>
        <v>FLEX</v>
      </c>
      <c r="AA2697" s="8" t="e">
        <f>+VLOOKUP(I2697,[1]SKU!$H$2:$I$97,2,0)</f>
        <v>#N/A</v>
      </c>
    </row>
    <row r="2698" spans="24:27">
      <c r="X2698" s="8" t="str">
        <f>+IFERROR(VLOOKUP(N2698,[1]Hoja1!$B$2:$F$52,4,0)*P2698,"")</f>
        <v/>
      </c>
      <c r="Y2698" s="8" t="e">
        <f>+VLOOKUP(M2698,[1]SKU!$B$3:$E$81,4,0)</f>
        <v>#N/A</v>
      </c>
      <c r="Z2698" s="8" t="str">
        <f t="shared" si="42"/>
        <v>FLEX</v>
      </c>
      <c r="AA2698" s="8" t="e">
        <f>+VLOOKUP(I2698,[1]SKU!$H$2:$I$97,2,0)</f>
        <v>#N/A</v>
      </c>
    </row>
    <row r="2699" spans="24:27">
      <c r="X2699" s="8" t="str">
        <f>+IFERROR(VLOOKUP(N2699,[1]Hoja1!$B$2:$F$52,4,0)*P2699,"")</f>
        <v/>
      </c>
      <c r="Y2699" s="8" t="e">
        <f>+VLOOKUP(M2699,[1]SKU!$B$3:$E$81,4,0)</f>
        <v>#N/A</v>
      </c>
      <c r="Z2699" s="8" t="str">
        <f t="shared" si="42"/>
        <v>FLEX</v>
      </c>
      <c r="AA2699" s="8" t="e">
        <f>+VLOOKUP(I2699,[1]SKU!$H$2:$I$97,2,0)</f>
        <v>#N/A</v>
      </c>
    </row>
    <row r="2700" spans="24:27">
      <c r="X2700" s="8" t="str">
        <f>+IFERROR(VLOOKUP(N2700,[1]Hoja1!$B$2:$F$52,4,0)*P2700,"")</f>
        <v/>
      </c>
      <c r="Y2700" s="8" t="e">
        <f>+VLOOKUP(M2700,[1]SKU!$B$3:$E$81,4,0)</f>
        <v>#N/A</v>
      </c>
      <c r="Z2700" s="8" t="str">
        <f t="shared" si="42"/>
        <v>FLEX</v>
      </c>
      <c r="AA2700" s="8" t="e">
        <f>+VLOOKUP(I2700,[1]SKU!$H$2:$I$97,2,0)</f>
        <v>#N/A</v>
      </c>
    </row>
    <row r="2701" spans="24:27">
      <c r="X2701" s="8" t="str">
        <f>+IFERROR(VLOOKUP(N2701,[1]Hoja1!$B$2:$F$52,4,0)*P2701,"")</f>
        <v/>
      </c>
      <c r="Y2701" s="8" t="e">
        <f>+VLOOKUP(M2701,[1]SKU!$B$3:$E$81,4,0)</f>
        <v>#N/A</v>
      </c>
      <c r="Z2701" s="8" t="str">
        <f t="shared" si="42"/>
        <v>FLEX</v>
      </c>
      <c r="AA2701" s="8" t="e">
        <f>+VLOOKUP(I2701,[1]SKU!$H$2:$I$97,2,0)</f>
        <v>#N/A</v>
      </c>
    </row>
    <row r="2702" spans="24:27">
      <c r="X2702" s="8" t="str">
        <f>+IFERROR(VLOOKUP(N2702,[1]Hoja1!$B$2:$F$52,4,0)*P2702,"")</f>
        <v/>
      </c>
      <c r="Y2702" s="8" t="e">
        <f>+VLOOKUP(M2702,[1]SKU!$B$3:$E$81,4,0)</f>
        <v>#N/A</v>
      </c>
      <c r="Z2702" s="8" t="str">
        <f t="shared" si="42"/>
        <v>FLEX</v>
      </c>
      <c r="AA2702" s="8" t="e">
        <f>+VLOOKUP(I2702,[1]SKU!$H$2:$I$97,2,0)</f>
        <v>#N/A</v>
      </c>
    </row>
    <row r="2703" spans="24:27">
      <c r="X2703" s="8" t="str">
        <f>+IFERROR(VLOOKUP(N2703,[1]Hoja1!$B$2:$F$52,4,0)*P2703,"")</f>
        <v/>
      </c>
      <c r="Y2703" s="8" t="e">
        <f>+VLOOKUP(M2703,[1]SKU!$B$3:$E$81,4,0)</f>
        <v>#N/A</v>
      </c>
      <c r="Z2703" s="8" t="str">
        <f t="shared" si="42"/>
        <v>FLEX</v>
      </c>
      <c r="AA2703" s="8" t="e">
        <f>+VLOOKUP(I2703,[1]SKU!$H$2:$I$97,2,0)</f>
        <v>#N/A</v>
      </c>
    </row>
    <row r="2704" spans="24:27">
      <c r="X2704" s="8" t="str">
        <f>+IFERROR(VLOOKUP(N2704,[1]Hoja1!$B$2:$F$52,4,0)*P2704,"")</f>
        <v/>
      </c>
      <c r="Y2704" s="8" t="e">
        <f>+VLOOKUP(M2704,[1]SKU!$B$3:$E$81,4,0)</f>
        <v>#N/A</v>
      </c>
      <c r="Z2704" s="8" t="str">
        <f t="shared" si="42"/>
        <v>FLEX</v>
      </c>
      <c r="AA2704" s="8" t="e">
        <f>+VLOOKUP(I2704,[1]SKU!$H$2:$I$97,2,0)</f>
        <v>#N/A</v>
      </c>
    </row>
    <row r="2705" spans="24:27">
      <c r="X2705" s="8" t="str">
        <f>+IFERROR(VLOOKUP(N2705,[1]Hoja1!$B$2:$F$52,4,0)*P2705,"")</f>
        <v/>
      </c>
      <c r="Y2705" s="8" t="e">
        <f>+VLOOKUP(M2705,[1]SKU!$B$3:$E$81,4,0)</f>
        <v>#N/A</v>
      </c>
      <c r="Z2705" s="8" t="str">
        <f t="shared" si="42"/>
        <v>FLEX</v>
      </c>
      <c r="AA2705" s="8" t="e">
        <f>+VLOOKUP(I2705,[1]SKU!$H$2:$I$97,2,0)</f>
        <v>#N/A</v>
      </c>
    </row>
    <row r="2706" spans="24:27">
      <c r="X2706" s="8" t="str">
        <f>+IFERROR(VLOOKUP(N2706,[1]Hoja1!$B$2:$F$52,4,0)*P2706,"")</f>
        <v/>
      </c>
      <c r="Y2706" s="8" t="e">
        <f>+VLOOKUP(M2706,[1]SKU!$B$3:$E$81,4,0)</f>
        <v>#N/A</v>
      </c>
      <c r="Z2706" s="8" t="str">
        <f t="shared" si="42"/>
        <v>FLEX</v>
      </c>
      <c r="AA2706" s="8" t="e">
        <f>+VLOOKUP(I2706,[1]SKU!$H$2:$I$97,2,0)</f>
        <v>#N/A</v>
      </c>
    </row>
    <row r="2707" spans="24:27">
      <c r="X2707" s="8" t="str">
        <f>+IFERROR(VLOOKUP(N2707,[1]Hoja1!$B$2:$F$52,4,0)*P2707,"")</f>
        <v/>
      </c>
      <c r="Y2707" s="8" t="e">
        <f>+VLOOKUP(M2707,[1]SKU!$B$3:$E$81,4,0)</f>
        <v>#N/A</v>
      </c>
      <c r="Z2707" s="8" t="str">
        <f t="shared" si="42"/>
        <v>FLEX</v>
      </c>
      <c r="AA2707" s="8" t="e">
        <f>+VLOOKUP(I2707,[1]SKU!$H$2:$I$97,2,0)</f>
        <v>#N/A</v>
      </c>
    </row>
    <row r="2708" spans="24:27">
      <c r="X2708" s="8" t="str">
        <f>+IFERROR(VLOOKUP(N2708,[1]Hoja1!$B$2:$F$52,4,0)*P2708,"")</f>
        <v/>
      </c>
      <c r="Y2708" s="8" t="e">
        <f>+VLOOKUP(M2708,[1]SKU!$B$3:$E$81,4,0)</f>
        <v>#N/A</v>
      </c>
      <c r="Z2708" s="8" t="str">
        <f t="shared" si="42"/>
        <v>FLEX</v>
      </c>
      <c r="AA2708" s="8" t="e">
        <f>+VLOOKUP(I2708,[1]SKU!$H$2:$I$97,2,0)</f>
        <v>#N/A</v>
      </c>
    </row>
    <row r="2709" spans="24:27">
      <c r="X2709" s="8" t="str">
        <f>+IFERROR(VLOOKUP(N2709,[1]Hoja1!$B$2:$F$52,4,0)*P2709,"")</f>
        <v/>
      </c>
      <c r="Y2709" s="8" t="e">
        <f>+VLOOKUP(M2709,[1]SKU!$B$3:$E$81,4,0)</f>
        <v>#N/A</v>
      </c>
      <c r="Z2709" s="8" t="str">
        <f t="shared" si="42"/>
        <v>FLEX</v>
      </c>
      <c r="AA2709" s="8" t="e">
        <f>+VLOOKUP(I2709,[1]SKU!$H$2:$I$97,2,0)</f>
        <v>#N/A</v>
      </c>
    </row>
    <row r="2710" spans="24:27">
      <c r="X2710" s="8" t="str">
        <f>+IFERROR(VLOOKUP(N2710,[1]Hoja1!$B$2:$F$52,4,0)*P2710,"")</f>
        <v/>
      </c>
      <c r="Y2710" s="8" t="e">
        <f>+VLOOKUP(M2710,[1]SKU!$B$3:$E$81,4,0)</f>
        <v>#N/A</v>
      </c>
      <c r="Z2710" s="8" t="str">
        <f t="shared" si="42"/>
        <v>FLEX</v>
      </c>
      <c r="AA2710" s="8" t="e">
        <f>+VLOOKUP(I2710,[1]SKU!$H$2:$I$97,2,0)</f>
        <v>#N/A</v>
      </c>
    </row>
    <row r="2711" spans="24:27">
      <c r="X2711" s="8" t="str">
        <f>+IFERROR(VLOOKUP(N2711,[1]Hoja1!$B$2:$F$52,4,0)*P2711,"")</f>
        <v/>
      </c>
      <c r="Y2711" s="8" t="e">
        <f>+VLOOKUP(M2711,[1]SKU!$B$3:$E$81,4,0)</f>
        <v>#N/A</v>
      </c>
      <c r="Z2711" s="8" t="str">
        <f t="shared" si="42"/>
        <v>FLEX</v>
      </c>
      <c r="AA2711" s="8" t="e">
        <f>+VLOOKUP(I2711,[1]SKU!$H$2:$I$97,2,0)</f>
        <v>#N/A</v>
      </c>
    </row>
    <row r="2712" spans="24:27">
      <c r="X2712" s="8" t="str">
        <f>+IFERROR(VLOOKUP(N2712,[1]Hoja1!$B$2:$F$52,4,0)*P2712,"")</f>
        <v/>
      </c>
      <c r="Y2712" s="8" t="e">
        <f>+VLOOKUP(M2712,[1]SKU!$B$3:$E$81,4,0)</f>
        <v>#N/A</v>
      </c>
      <c r="Z2712" s="8" t="str">
        <f t="shared" si="42"/>
        <v>FLEX</v>
      </c>
      <c r="AA2712" s="8" t="e">
        <f>+VLOOKUP(I2712,[1]SKU!$H$2:$I$97,2,0)</f>
        <v>#N/A</v>
      </c>
    </row>
    <row r="2713" spans="24:27">
      <c r="X2713" s="8" t="str">
        <f>+IFERROR(VLOOKUP(N2713,[1]Hoja1!$B$2:$F$52,4,0)*P2713,"")</f>
        <v/>
      </c>
      <c r="Y2713" s="8" t="e">
        <f>+VLOOKUP(M2713,[1]SKU!$B$3:$E$81,4,0)</f>
        <v>#N/A</v>
      </c>
      <c r="Z2713" s="8" t="str">
        <f t="shared" si="42"/>
        <v>FLEX</v>
      </c>
      <c r="AA2713" s="8" t="e">
        <f>+VLOOKUP(I2713,[1]SKU!$H$2:$I$97,2,0)</f>
        <v>#N/A</v>
      </c>
    </row>
    <row r="2714" spans="24:27">
      <c r="X2714" s="8" t="str">
        <f>+IFERROR(VLOOKUP(N2714,[1]Hoja1!$B$2:$F$52,4,0)*P2714,"")</f>
        <v/>
      </c>
      <c r="Y2714" s="8" t="e">
        <f>+VLOOKUP(M2714,[1]SKU!$B$3:$E$81,4,0)</f>
        <v>#N/A</v>
      </c>
      <c r="Z2714" s="8" t="str">
        <f t="shared" si="42"/>
        <v>FLEX</v>
      </c>
      <c r="AA2714" s="8" t="e">
        <f>+VLOOKUP(I2714,[1]SKU!$H$2:$I$97,2,0)</f>
        <v>#N/A</v>
      </c>
    </row>
    <row r="2715" spans="24:27">
      <c r="X2715" s="8" t="str">
        <f>+IFERROR(VLOOKUP(N2715,[1]Hoja1!$B$2:$F$52,4,0)*P2715,"")</f>
        <v/>
      </c>
      <c r="Y2715" s="8" t="e">
        <f>+VLOOKUP(M2715,[1]SKU!$B$3:$E$81,4,0)</f>
        <v>#N/A</v>
      </c>
      <c r="Z2715" s="8" t="str">
        <f t="shared" si="42"/>
        <v>FLEX</v>
      </c>
      <c r="AA2715" s="8" t="e">
        <f>+VLOOKUP(I2715,[1]SKU!$H$2:$I$97,2,0)</f>
        <v>#N/A</v>
      </c>
    </row>
    <row r="2716" spans="24:27">
      <c r="X2716" s="8" t="str">
        <f>+IFERROR(VLOOKUP(N2716,[1]Hoja1!$B$2:$F$52,4,0)*P2716,"")</f>
        <v/>
      </c>
      <c r="Y2716" s="8" t="e">
        <f>+VLOOKUP(M2716,[1]SKU!$B$3:$E$81,4,0)</f>
        <v>#N/A</v>
      </c>
      <c r="Z2716" s="8" t="str">
        <f t="shared" si="42"/>
        <v>FLEX</v>
      </c>
      <c r="AA2716" s="8" t="e">
        <f>+VLOOKUP(I2716,[1]SKU!$H$2:$I$97,2,0)</f>
        <v>#N/A</v>
      </c>
    </row>
    <row r="2717" spans="24:27">
      <c r="X2717" s="8" t="str">
        <f>+IFERROR(VLOOKUP(N2717,[1]Hoja1!$B$2:$F$52,4,0)*P2717,"")</f>
        <v/>
      </c>
      <c r="Y2717" s="8" t="e">
        <f>+VLOOKUP(M2717,[1]SKU!$B$3:$E$81,4,0)</f>
        <v>#N/A</v>
      </c>
      <c r="Z2717" s="8" t="str">
        <f t="shared" si="42"/>
        <v>FLEX</v>
      </c>
      <c r="AA2717" s="8" t="e">
        <f>+VLOOKUP(I2717,[1]SKU!$H$2:$I$97,2,0)</f>
        <v>#N/A</v>
      </c>
    </row>
    <row r="2718" spans="24:27">
      <c r="X2718" s="8" t="str">
        <f>+IFERROR(VLOOKUP(N2718,[1]Hoja1!$B$2:$F$52,4,0)*P2718,"")</f>
        <v/>
      </c>
      <c r="Y2718" s="8" t="e">
        <f>+VLOOKUP(M2718,[1]SKU!$B$3:$E$81,4,0)</f>
        <v>#N/A</v>
      </c>
      <c r="Z2718" s="8" t="str">
        <f t="shared" si="42"/>
        <v>FLEX</v>
      </c>
      <c r="AA2718" s="8" t="e">
        <f>+VLOOKUP(I2718,[1]SKU!$H$2:$I$97,2,0)</f>
        <v>#N/A</v>
      </c>
    </row>
    <row r="2719" spans="24:27">
      <c r="X2719" s="8" t="str">
        <f>+IFERROR(VLOOKUP(N2719,[1]Hoja1!$B$2:$F$52,4,0)*P2719,"")</f>
        <v/>
      </c>
      <c r="Y2719" s="8" t="e">
        <f>+VLOOKUP(M2719,[1]SKU!$B$3:$E$81,4,0)</f>
        <v>#N/A</v>
      </c>
      <c r="Z2719" s="8" t="str">
        <f t="shared" si="42"/>
        <v>FLEX</v>
      </c>
      <c r="AA2719" s="8" t="e">
        <f>+VLOOKUP(I2719,[1]SKU!$H$2:$I$97,2,0)</f>
        <v>#N/A</v>
      </c>
    </row>
    <row r="2720" spans="24:27">
      <c r="X2720" s="8" t="str">
        <f>+IFERROR(VLOOKUP(N2720,[1]Hoja1!$B$2:$F$52,4,0)*P2720,"")</f>
        <v/>
      </c>
      <c r="Y2720" s="8" t="e">
        <f>+VLOOKUP(M2720,[1]SKU!$B$3:$E$81,4,0)</f>
        <v>#N/A</v>
      </c>
      <c r="Z2720" s="8" t="str">
        <f t="shared" si="42"/>
        <v>FLEX</v>
      </c>
      <c r="AA2720" s="8" t="e">
        <f>+VLOOKUP(I2720,[1]SKU!$H$2:$I$97,2,0)</f>
        <v>#N/A</v>
      </c>
    </row>
    <row r="2721" spans="24:27">
      <c r="X2721" s="8" t="str">
        <f>+IFERROR(VLOOKUP(N2721,[1]Hoja1!$B$2:$F$52,4,0)*P2721,"")</f>
        <v/>
      </c>
      <c r="Y2721" s="8" t="e">
        <f>+VLOOKUP(M2721,[1]SKU!$B$3:$E$81,4,0)</f>
        <v>#N/A</v>
      </c>
      <c r="Z2721" s="8" t="str">
        <f t="shared" si="42"/>
        <v>FLEX</v>
      </c>
      <c r="AA2721" s="8" t="e">
        <f>+VLOOKUP(I2721,[1]SKU!$H$2:$I$97,2,0)</f>
        <v>#N/A</v>
      </c>
    </row>
    <row r="2722" spans="24:27">
      <c r="X2722" s="8" t="str">
        <f>+IFERROR(VLOOKUP(N2722,[1]Hoja1!$B$2:$F$52,4,0)*P2722,"")</f>
        <v/>
      </c>
      <c r="Y2722" s="8" t="e">
        <f>+VLOOKUP(M2722,[1]SKU!$B$3:$E$81,4,0)</f>
        <v>#N/A</v>
      </c>
      <c r="Z2722" s="8" t="str">
        <f t="shared" si="42"/>
        <v>FLEX</v>
      </c>
      <c r="AA2722" s="8" t="e">
        <f>+VLOOKUP(I2722,[1]SKU!$H$2:$I$97,2,0)</f>
        <v>#N/A</v>
      </c>
    </row>
    <row r="2723" spans="24:27">
      <c r="X2723" s="8" t="str">
        <f>+IFERROR(VLOOKUP(N2723,[1]Hoja1!$B$2:$F$52,4,0)*P2723,"")</f>
        <v/>
      </c>
      <c r="Y2723" s="8" t="e">
        <f>+VLOOKUP(M2723,[1]SKU!$B$3:$E$81,4,0)</f>
        <v>#N/A</v>
      </c>
      <c r="Z2723" s="8" t="str">
        <f t="shared" si="42"/>
        <v>FLEX</v>
      </c>
      <c r="AA2723" s="8" t="e">
        <f>+VLOOKUP(I2723,[1]SKU!$H$2:$I$97,2,0)</f>
        <v>#N/A</v>
      </c>
    </row>
    <row r="2724" spans="24:27">
      <c r="X2724" s="8" t="str">
        <f>+IFERROR(VLOOKUP(N2724,[1]Hoja1!$B$2:$F$52,4,0)*P2724,"")</f>
        <v/>
      </c>
      <c r="Y2724" s="8" t="e">
        <f>+VLOOKUP(M2724,[1]SKU!$B$3:$E$81,4,0)</f>
        <v>#N/A</v>
      </c>
      <c r="Z2724" s="8" t="str">
        <f t="shared" si="42"/>
        <v>FLEX</v>
      </c>
      <c r="AA2724" s="8" t="e">
        <f>+VLOOKUP(I2724,[1]SKU!$H$2:$I$97,2,0)</f>
        <v>#N/A</v>
      </c>
    </row>
    <row r="2725" spans="24:27">
      <c r="X2725" s="8" t="str">
        <f>+IFERROR(VLOOKUP(N2725,[1]Hoja1!$B$2:$F$52,4,0)*P2725,"")</f>
        <v/>
      </c>
      <c r="Y2725" s="8" t="e">
        <f>+VLOOKUP(M2725,[1]SKU!$B$3:$E$81,4,0)</f>
        <v>#N/A</v>
      </c>
      <c r="Z2725" s="8" t="str">
        <f t="shared" si="42"/>
        <v>FLEX</v>
      </c>
      <c r="AA2725" s="8" t="e">
        <f>+VLOOKUP(I2725,[1]SKU!$H$2:$I$97,2,0)</f>
        <v>#N/A</v>
      </c>
    </row>
    <row r="2726" spans="24:27">
      <c r="X2726" s="8" t="str">
        <f>+IFERROR(VLOOKUP(N2726,[1]Hoja1!$B$2:$F$52,4,0)*P2726,"")</f>
        <v/>
      </c>
      <c r="Y2726" s="8" t="e">
        <f>+VLOOKUP(M2726,[1]SKU!$B$3:$E$81,4,0)</f>
        <v>#N/A</v>
      </c>
      <c r="Z2726" s="8" t="str">
        <f t="shared" si="42"/>
        <v>FLEX</v>
      </c>
      <c r="AA2726" s="8" t="e">
        <f>+VLOOKUP(I2726,[1]SKU!$H$2:$I$97,2,0)</f>
        <v>#N/A</v>
      </c>
    </row>
    <row r="2727" spans="24:27">
      <c r="X2727" s="8" t="str">
        <f>+IFERROR(VLOOKUP(N2727,[1]Hoja1!$B$2:$F$52,4,0)*P2727,"")</f>
        <v/>
      </c>
      <c r="Y2727" s="8" t="e">
        <f>+VLOOKUP(M2727,[1]SKU!$B$3:$E$81,4,0)</f>
        <v>#N/A</v>
      </c>
      <c r="Z2727" s="8" t="str">
        <f t="shared" si="42"/>
        <v>FLEX</v>
      </c>
      <c r="AA2727" s="8" t="e">
        <f>+VLOOKUP(I2727,[1]SKU!$H$2:$I$97,2,0)</f>
        <v>#N/A</v>
      </c>
    </row>
    <row r="2728" spans="24:27">
      <c r="X2728" s="8" t="str">
        <f>+IFERROR(VLOOKUP(N2728,[1]Hoja1!$B$2:$F$52,4,0)*P2728,"")</f>
        <v/>
      </c>
      <c r="Y2728" s="8" t="e">
        <f>+VLOOKUP(M2728,[1]SKU!$B$3:$E$81,4,0)</f>
        <v>#N/A</v>
      </c>
      <c r="Z2728" s="8" t="str">
        <f t="shared" si="42"/>
        <v>FLEX</v>
      </c>
      <c r="AA2728" s="8" t="e">
        <f>+VLOOKUP(I2728,[1]SKU!$H$2:$I$97,2,0)</f>
        <v>#N/A</v>
      </c>
    </row>
    <row r="2729" spans="24:27">
      <c r="X2729" s="8" t="str">
        <f>+IFERROR(VLOOKUP(N2729,[1]Hoja1!$B$2:$F$52,4,0)*P2729,"")</f>
        <v/>
      </c>
      <c r="Y2729" s="8" t="e">
        <f>+VLOOKUP(M2729,[1]SKU!$B$3:$E$81,4,0)</f>
        <v>#N/A</v>
      </c>
      <c r="Z2729" s="8" t="str">
        <f t="shared" si="42"/>
        <v>FLEX</v>
      </c>
      <c r="AA2729" s="8" t="e">
        <f>+VLOOKUP(I2729,[1]SKU!$H$2:$I$97,2,0)</f>
        <v>#N/A</v>
      </c>
    </row>
    <row r="2730" spans="24:27">
      <c r="X2730" s="8" t="str">
        <f>+IFERROR(VLOOKUP(N2730,[1]Hoja1!$B$2:$F$52,4,0)*P2730,"")</f>
        <v/>
      </c>
      <c r="Y2730" s="8" t="e">
        <f>+VLOOKUP(M2730,[1]SKU!$B$3:$E$81,4,0)</f>
        <v>#N/A</v>
      </c>
      <c r="Z2730" s="8" t="str">
        <f t="shared" si="42"/>
        <v>FLEX</v>
      </c>
      <c r="AA2730" s="8" t="e">
        <f>+VLOOKUP(I2730,[1]SKU!$H$2:$I$97,2,0)</f>
        <v>#N/A</v>
      </c>
    </row>
    <row r="2731" spans="24:27">
      <c r="X2731" s="8" t="str">
        <f>+IFERROR(VLOOKUP(N2731,[1]Hoja1!$B$2:$F$52,4,0)*P2731,"")</f>
        <v/>
      </c>
      <c r="Y2731" s="8" t="e">
        <f>+VLOOKUP(M2731,[1]SKU!$B$3:$E$81,4,0)</f>
        <v>#N/A</v>
      </c>
      <c r="Z2731" s="8" t="str">
        <f t="shared" si="42"/>
        <v>FLEX</v>
      </c>
      <c r="AA2731" s="8" t="e">
        <f>+VLOOKUP(I2731,[1]SKU!$H$2:$I$97,2,0)</f>
        <v>#N/A</v>
      </c>
    </row>
    <row r="2732" spans="24:27">
      <c r="X2732" s="8" t="str">
        <f>+IFERROR(VLOOKUP(N2732,[1]Hoja1!$B$2:$F$52,4,0)*P2732,"")</f>
        <v/>
      </c>
      <c r="Y2732" s="8" t="e">
        <f>+VLOOKUP(M2732,[1]SKU!$B$3:$E$81,4,0)</f>
        <v>#N/A</v>
      </c>
      <c r="Z2732" s="8" t="str">
        <f t="shared" si="42"/>
        <v>FLEX</v>
      </c>
      <c r="AA2732" s="8" t="e">
        <f>+VLOOKUP(I2732,[1]SKU!$H$2:$I$97,2,0)</f>
        <v>#N/A</v>
      </c>
    </row>
    <row r="2733" spans="24:27">
      <c r="X2733" s="8" t="str">
        <f>+IFERROR(VLOOKUP(N2733,[1]Hoja1!$B$2:$F$52,4,0)*P2733,"")</f>
        <v/>
      </c>
      <c r="Y2733" s="8" t="e">
        <f>+VLOOKUP(M2733,[1]SKU!$B$3:$E$81,4,0)</f>
        <v>#N/A</v>
      </c>
      <c r="Z2733" s="8" t="str">
        <f t="shared" si="42"/>
        <v>FLEX</v>
      </c>
      <c r="AA2733" s="8" t="e">
        <f>+VLOOKUP(I2733,[1]SKU!$H$2:$I$97,2,0)</f>
        <v>#N/A</v>
      </c>
    </row>
    <row r="2734" spans="24:27">
      <c r="X2734" s="8" t="str">
        <f>+IFERROR(VLOOKUP(N2734,[1]Hoja1!$B$2:$F$52,4,0)*P2734,"")</f>
        <v/>
      </c>
      <c r="Y2734" s="8" t="e">
        <f>+VLOOKUP(M2734,[1]SKU!$B$3:$E$81,4,0)</f>
        <v>#N/A</v>
      </c>
      <c r="Z2734" s="8" t="str">
        <f t="shared" si="42"/>
        <v>FLEX</v>
      </c>
      <c r="AA2734" s="8" t="e">
        <f>+VLOOKUP(I2734,[1]SKU!$H$2:$I$97,2,0)</f>
        <v>#N/A</v>
      </c>
    </row>
    <row r="2735" spans="24:27">
      <c r="X2735" s="8" t="str">
        <f>+IFERROR(VLOOKUP(N2735,[1]Hoja1!$B$2:$F$52,4,0)*P2735,"")</f>
        <v/>
      </c>
      <c r="Y2735" s="8" t="e">
        <f>+VLOOKUP(M2735,[1]SKU!$B$3:$E$81,4,0)</f>
        <v>#N/A</v>
      </c>
      <c r="Z2735" s="8" t="str">
        <f t="shared" si="42"/>
        <v>FLEX</v>
      </c>
      <c r="AA2735" s="8" t="e">
        <f>+VLOOKUP(I2735,[1]SKU!$H$2:$I$97,2,0)</f>
        <v>#N/A</v>
      </c>
    </row>
    <row r="2736" spans="24:27">
      <c r="X2736" s="8" t="str">
        <f>+IFERROR(VLOOKUP(N2736,[1]Hoja1!$B$2:$F$52,4,0)*P2736,"")</f>
        <v/>
      </c>
      <c r="Y2736" s="8" t="e">
        <f>+VLOOKUP(M2736,[1]SKU!$B$3:$E$81,4,0)</f>
        <v>#N/A</v>
      </c>
      <c r="Z2736" s="8" t="str">
        <f t="shared" si="42"/>
        <v>FLEX</v>
      </c>
      <c r="AA2736" s="8" t="e">
        <f>+VLOOKUP(I2736,[1]SKU!$H$2:$I$97,2,0)</f>
        <v>#N/A</v>
      </c>
    </row>
    <row r="2737" spans="24:27">
      <c r="X2737" s="8" t="str">
        <f>+IFERROR(VLOOKUP(N2737,[1]Hoja1!$B$2:$F$52,4,0)*P2737,"")</f>
        <v/>
      </c>
      <c r="Y2737" s="8" t="e">
        <f>+VLOOKUP(M2737,[1]SKU!$B$3:$E$81,4,0)</f>
        <v>#N/A</v>
      </c>
      <c r="Z2737" s="8" t="str">
        <f t="shared" si="42"/>
        <v>FLEX</v>
      </c>
      <c r="AA2737" s="8" t="e">
        <f>+VLOOKUP(I2737,[1]SKU!$H$2:$I$97,2,0)</f>
        <v>#N/A</v>
      </c>
    </row>
    <row r="2738" spans="24:27">
      <c r="X2738" s="8" t="str">
        <f>+IFERROR(VLOOKUP(N2738,[1]Hoja1!$B$2:$F$52,4,0)*P2738,"")</f>
        <v/>
      </c>
      <c r="Y2738" s="8" t="e">
        <f>+VLOOKUP(M2738,[1]SKU!$B$3:$E$81,4,0)</f>
        <v>#N/A</v>
      </c>
      <c r="Z2738" s="8" t="str">
        <f t="shared" si="42"/>
        <v>FLEX</v>
      </c>
      <c r="AA2738" s="8" t="e">
        <f>+VLOOKUP(I2738,[1]SKU!$H$2:$I$97,2,0)</f>
        <v>#N/A</v>
      </c>
    </row>
    <row r="2739" spans="24:27">
      <c r="X2739" s="8" t="str">
        <f>+IFERROR(VLOOKUP(N2739,[1]Hoja1!$B$2:$F$52,4,0)*P2739,"")</f>
        <v/>
      </c>
      <c r="Y2739" s="8" t="e">
        <f>+VLOOKUP(M2739,[1]SKU!$B$3:$E$81,4,0)</f>
        <v>#N/A</v>
      </c>
      <c r="Z2739" s="8" t="str">
        <f t="shared" si="42"/>
        <v>FLEX</v>
      </c>
      <c r="AA2739" s="8" t="e">
        <f>+VLOOKUP(I2739,[1]SKU!$H$2:$I$97,2,0)</f>
        <v>#N/A</v>
      </c>
    </row>
    <row r="2740" spans="24:27">
      <c r="X2740" s="8" t="str">
        <f>+IFERROR(VLOOKUP(N2740,[1]Hoja1!$B$2:$F$52,4,0)*P2740,"")</f>
        <v/>
      </c>
      <c r="Y2740" s="8" t="e">
        <f>+VLOOKUP(M2740,[1]SKU!$B$3:$E$81,4,0)</f>
        <v>#N/A</v>
      </c>
      <c r="Z2740" s="8" t="str">
        <f t="shared" si="42"/>
        <v>FLEX</v>
      </c>
      <c r="AA2740" s="8" t="e">
        <f>+VLOOKUP(I2740,[1]SKU!$H$2:$I$97,2,0)</f>
        <v>#N/A</v>
      </c>
    </row>
    <row r="2741" spans="24:27">
      <c r="X2741" s="8" t="str">
        <f>+IFERROR(VLOOKUP(N2741,[1]Hoja1!$B$2:$F$52,4,0)*P2741,"")</f>
        <v/>
      </c>
      <c r="Y2741" s="8" t="e">
        <f>+VLOOKUP(M2741,[1]SKU!$B$3:$E$81,4,0)</f>
        <v>#N/A</v>
      </c>
      <c r="Z2741" s="8" t="str">
        <f t="shared" si="42"/>
        <v>FLEX</v>
      </c>
      <c r="AA2741" s="8" t="e">
        <f>+VLOOKUP(I2741,[1]SKU!$H$2:$I$97,2,0)</f>
        <v>#N/A</v>
      </c>
    </row>
    <row r="2742" spans="24:27">
      <c r="X2742" s="8" t="str">
        <f>+IFERROR(VLOOKUP(N2742,[1]Hoja1!$B$2:$F$52,4,0)*P2742,"")</f>
        <v/>
      </c>
      <c r="Y2742" s="8" t="e">
        <f>+VLOOKUP(M2742,[1]SKU!$B$3:$E$81,4,0)</f>
        <v>#N/A</v>
      </c>
      <c r="Z2742" s="8" t="str">
        <f t="shared" si="42"/>
        <v>FLEX</v>
      </c>
      <c r="AA2742" s="8" t="e">
        <f>+VLOOKUP(I2742,[1]SKU!$H$2:$I$97,2,0)</f>
        <v>#N/A</v>
      </c>
    </row>
    <row r="2743" spans="24:27">
      <c r="X2743" s="8" t="str">
        <f>+IFERROR(VLOOKUP(N2743,[1]Hoja1!$B$2:$F$52,4,0)*P2743,"")</f>
        <v/>
      </c>
      <c r="Y2743" s="8" t="e">
        <f>+VLOOKUP(M2743,[1]SKU!$B$3:$E$81,4,0)</f>
        <v>#N/A</v>
      </c>
      <c r="Z2743" s="8" t="str">
        <f t="shared" si="42"/>
        <v>FLEX</v>
      </c>
      <c r="AA2743" s="8" t="e">
        <f>+VLOOKUP(I2743,[1]SKU!$H$2:$I$97,2,0)</f>
        <v>#N/A</v>
      </c>
    </row>
    <row r="2744" spans="24:27">
      <c r="X2744" s="8" t="str">
        <f>+IFERROR(VLOOKUP(N2744,[1]Hoja1!$B$2:$F$52,4,0)*P2744,"")</f>
        <v/>
      </c>
      <c r="Y2744" s="8" t="e">
        <f>+VLOOKUP(M2744,[1]SKU!$B$3:$E$81,4,0)</f>
        <v>#N/A</v>
      </c>
      <c r="Z2744" s="8" t="str">
        <f t="shared" si="42"/>
        <v>FLEX</v>
      </c>
      <c r="AA2744" s="8" t="e">
        <f>+VLOOKUP(I2744,[1]SKU!$H$2:$I$97,2,0)</f>
        <v>#N/A</v>
      </c>
    </row>
    <row r="2745" spans="24:27">
      <c r="X2745" s="8" t="str">
        <f>+IFERROR(VLOOKUP(N2745,[1]Hoja1!$B$2:$F$52,4,0)*P2745,"")</f>
        <v/>
      </c>
      <c r="Y2745" s="8" t="e">
        <f>+VLOOKUP(M2745,[1]SKU!$B$3:$E$81,4,0)</f>
        <v>#N/A</v>
      </c>
      <c r="Z2745" s="8" t="str">
        <f t="shared" si="42"/>
        <v>FLEX</v>
      </c>
      <c r="AA2745" s="8" t="e">
        <f>+VLOOKUP(I2745,[1]SKU!$H$2:$I$97,2,0)</f>
        <v>#N/A</v>
      </c>
    </row>
    <row r="2746" spans="24:27">
      <c r="X2746" s="8" t="str">
        <f>+IFERROR(VLOOKUP(N2746,[1]Hoja1!$B$2:$F$52,4,0)*P2746,"")</f>
        <v/>
      </c>
      <c r="Y2746" s="8" t="e">
        <f>+VLOOKUP(M2746,[1]SKU!$B$3:$E$81,4,0)</f>
        <v>#N/A</v>
      </c>
      <c r="Z2746" s="8" t="str">
        <f t="shared" si="42"/>
        <v>FLEX</v>
      </c>
      <c r="AA2746" s="8" t="e">
        <f>+VLOOKUP(I2746,[1]SKU!$H$2:$I$97,2,0)</f>
        <v>#N/A</v>
      </c>
    </row>
    <row r="2747" spans="24:27">
      <c r="X2747" s="8" t="str">
        <f>+IFERROR(VLOOKUP(N2747,[1]Hoja1!$B$2:$F$52,4,0)*P2747,"")</f>
        <v/>
      </c>
      <c r="Y2747" s="8" t="e">
        <f>+VLOOKUP(M2747,[1]SKU!$B$3:$E$81,4,0)</f>
        <v>#N/A</v>
      </c>
      <c r="Z2747" s="8" t="str">
        <f t="shared" si="42"/>
        <v>FLEX</v>
      </c>
      <c r="AA2747" s="8" t="e">
        <f>+VLOOKUP(I2747,[1]SKU!$H$2:$I$97,2,0)</f>
        <v>#N/A</v>
      </c>
    </row>
    <row r="2748" spans="24:27">
      <c r="X2748" s="8" t="str">
        <f>+IFERROR(VLOOKUP(N2748,[1]Hoja1!$B$2:$F$52,4,0)*P2748,"")</f>
        <v/>
      </c>
      <c r="Y2748" s="8" t="e">
        <f>+VLOOKUP(M2748,[1]SKU!$B$3:$E$81,4,0)</f>
        <v>#N/A</v>
      </c>
      <c r="Z2748" s="8" t="str">
        <f t="shared" si="42"/>
        <v>FLEX</v>
      </c>
      <c r="AA2748" s="8" t="e">
        <f>+VLOOKUP(I2748,[1]SKU!$H$2:$I$97,2,0)</f>
        <v>#N/A</v>
      </c>
    </row>
    <row r="2749" spans="24:27">
      <c r="X2749" s="8" t="str">
        <f>+IFERROR(VLOOKUP(N2749,[1]Hoja1!$B$2:$F$52,4,0)*P2749,"")</f>
        <v/>
      </c>
      <c r="Y2749" s="8" t="e">
        <f>+VLOOKUP(M2749,[1]SKU!$B$3:$E$81,4,0)</f>
        <v>#N/A</v>
      </c>
      <c r="Z2749" s="8" t="str">
        <f t="shared" si="42"/>
        <v>FLEX</v>
      </c>
      <c r="AA2749" s="8" t="e">
        <f>+VLOOKUP(I2749,[1]SKU!$H$2:$I$97,2,0)</f>
        <v>#N/A</v>
      </c>
    </row>
    <row r="2750" spans="24:27">
      <c r="X2750" s="8" t="str">
        <f>+IFERROR(VLOOKUP(N2750,[1]Hoja1!$B$2:$F$52,4,0)*P2750,"")</f>
        <v/>
      </c>
      <c r="Y2750" s="8" t="e">
        <f>+VLOOKUP(M2750,[1]SKU!$B$3:$E$81,4,0)</f>
        <v>#N/A</v>
      </c>
      <c r="Z2750" s="8" t="str">
        <f t="shared" si="42"/>
        <v>FLEX</v>
      </c>
      <c r="AA2750" s="8" t="e">
        <f>+VLOOKUP(I2750,[1]SKU!$H$2:$I$97,2,0)</f>
        <v>#N/A</v>
      </c>
    </row>
    <row r="2751" spans="24:27">
      <c r="X2751" s="8" t="str">
        <f>+IFERROR(VLOOKUP(N2751,[1]Hoja1!$B$2:$F$52,4,0)*P2751,"")</f>
        <v/>
      </c>
      <c r="Y2751" s="8" t="e">
        <f>+VLOOKUP(M2751,[1]SKU!$B$3:$E$81,4,0)</f>
        <v>#N/A</v>
      </c>
      <c r="Z2751" s="8" t="str">
        <f t="shared" si="42"/>
        <v>FLEX</v>
      </c>
      <c r="AA2751" s="8" t="e">
        <f>+VLOOKUP(I2751,[1]SKU!$H$2:$I$97,2,0)</f>
        <v>#N/A</v>
      </c>
    </row>
    <row r="2752" spans="24:27">
      <c r="X2752" s="8" t="str">
        <f>+IFERROR(VLOOKUP(N2752,[1]Hoja1!$B$2:$F$52,4,0)*P2752,"")</f>
        <v/>
      </c>
      <c r="Y2752" s="8" t="e">
        <f>+VLOOKUP(M2752,[1]SKU!$B$3:$E$81,4,0)</f>
        <v>#N/A</v>
      </c>
      <c r="Z2752" s="8" t="str">
        <f t="shared" si="42"/>
        <v>FLEX</v>
      </c>
      <c r="AA2752" s="8" t="e">
        <f>+VLOOKUP(I2752,[1]SKU!$H$2:$I$97,2,0)</f>
        <v>#N/A</v>
      </c>
    </row>
    <row r="2753" spans="24:27">
      <c r="X2753" s="8" t="str">
        <f>+IFERROR(VLOOKUP(N2753,[1]Hoja1!$B$2:$F$52,4,0)*P2753,"")</f>
        <v/>
      </c>
      <c r="Y2753" s="8" t="e">
        <f>+VLOOKUP(M2753,[1]SKU!$B$3:$E$81,4,0)</f>
        <v>#N/A</v>
      </c>
      <c r="Z2753" s="8" t="str">
        <f t="shared" si="42"/>
        <v>FLEX</v>
      </c>
      <c r="AA2753" s="8" t="e">
        <f>+VLOOKUP(I2753,[1]SKU!$H$2:$I$97,2,0)</f>
        <v>#N/A</v>
      </c>
    </row>
    <row r="2754" spans="24:27">
      <c r="X2754" s="8" t="str">
        <f>+IFERROR(VLOOKUP(N2754,[1]Hoja1!$B$2:$F$52,4,0)*P2754,"")</f>
        <v/>
      </c>
      <c r="Y2754" s="8" t="e">
        <f>+VLOOKUP(M2754,[1]SKU!$B$3:$E$81,4,0)</f>
        <v>#N/A</v>
      </c>
      <c r="Z2754" s="8" t="str">
        <f t="shared" si="42"/>
        <v>FLEX</v>
      </c>
      <c r="AA2754" s="8" t="e">
        <f>+VLOOKUP(I2754,[1]SKU!$H$2:$I$97,2,0)</f>
        <v>#N/A</v>
      </c>
    </row>
    <row r="2755" spans="24:27">
      <c r="X2755" s="8" t="str">
        <f>+IFERROR(VLOOKUP(N2755,[1]Hoja1!$B$2:$F$52,4,0)*P2755,"")</f>
        <v/>
      </c>
      <c r="Y2755" s="8" t="e">
        <f>+VLOOKUP(M2755,[1]SKU!$B$3:$E$81,4,0)</f>
        <v>#N/A</v>
      </c>
      <c r="Z2755" s="8" t="str">
        <f t="shared" ref="Z2755:Z2818" si="43">+IF(J2755="VB01                          ","BEES","FLEX")</f>
        <v>FLEX</v>
      </c>
      <c r="AA2755" s="8" t="e">
        <f>+VLOOKUP(I2755,[1]SKU!$H$2:$I$97,2,0)</f>
        <v>#N/A</v>
      </c>
    </row>
    <row r="2756" spans="24:27">
      <c r="X2756" s="8" t="str">
        <f>+IFERROR(VLOOKUP(N2756,[1]Hoja1!$B$2:$F$52,4,0)*P2756,"")</f>
        <v/>
      </c>
      <c r="Y2756" s="8" t="e">
        <f>+VLOOKUP(M2756,[1]SKU!$B$3:$E$81,4,0)</f>
        <v>#N/A</v>
      </c>
      <c r="Z2756" s="8" t="str">
        <f t="shared" si="43"/>
        <v>FLEX</v>
      </c>
      <c r="AA2756" s="8" t="e">
        <f>+VLOOKUP(I2756,[1]SKU!$H$2:$I$97,2,0)</f>
        <v>#N/A</v>
      </c>
    </row>
    <row r="2757" spans="24:27">
      <c r="X2757" s="8" t="str">
        <f>+IFERROR(VLOOKUP(N2757,[1]Hoja1!$B$2:$F$52,4,0)*P2757,"")</f>
        <v/>
      </c>
      <c r="Y2757" s="8" t="e">
        <f>+VLOOKUP(M2757,[1]SKU!$B$3:$E$81,4,0)</f>
        <v>#N/A</v>
      </c>
      <c r="Z2757" s="8" t="str">
        <f t="shared" si="43"/>
        <v>FLEX</v>
      </c>
      <c r="AA2757" s="8" t="e">
        <f>+VLOOKUP(I2757,[1]SKU!$H$2:$I$97,2,0)</f>
        <v>#N/A</v>
      </c>
    </row>
    <row r="2758" spans="24:27">
      <c r="X2758" s="8" t="str">
        <f>+IFERROR(VLOOKUP(N2758,[1]Hoja1!$B$2:$F$52,4,0)*P2758,"")</f>
        <v/>
      </c>
      <c r="Y2758" s="8" t="e">
        <f>+VLOOKUP(M2758,[1]SKU!$B$3:$E$81,4,0)</f>
        <v>#N/A</v>
      </c>
      <c r="Z2758" s="8" t="str">
        <f t="shared" si="43"/>
        <v>FLEX</v>
      </c>
      <c r="AA2758" s="8" t="e">
        <f>+VLOOKUP(I2758,[1]SKU!$H$2:$I$97,2,0)</f>
        <v>#N/A</v>
      </c>
    </row>
    <row r="2759" spans="24:27">
      <c r="X2759" s="8" t="str">
        <f>+IFERROR(VLOOKUP(N2759,[1]Hoja1!$B$2:$F$52,4,0)*P2759,"")</f>
        <v/>
      </c>
      <c r="Y2759" s="8" t="e">
        <f>+VLOOKUP(M2759,[1]SKU!$B$3:$E$81,4,0)</f>
        <v>#N/A</v>
      </c>
      <c r="Z2759" s="8" t="str">
        <f t="shared" si="43"/>
        <v>FLEX</v>
      </c>
      <c r="AA2759" s="8" t="e">
        <f>+VLOOKUP(I2759,[1]SKU!$H$2:$I$97,2,0)</f>
        <v>#N/A</v>
      </c>
    </row>
    <row r="2760" spans="24:27">
      <c r="X2760" s="8" t="str">
        <f>+IFERROR(VLOOKUP(N2760,[1]Hoja1!$B$2:$F$52,4,0)*P2760,"")</f>
        <v/>
      </c>
      <c r="Y2760" s="8" t="e">
        <f>+VLOOKUP(M2760,[1]SKU!$B$3:$E$81,4,0)</f>
        <v>#N/A</v>
      </c>
      <c r="Z2760" s="8" t="str">
        <f t="shared" si="43"/>
        <v>FLEX</v>
      </c>
      <c r="AA2760" s="8" t="e">
        <f>+VLOOKUP(I2760,[1]SKU!$H$2:$I$97,2,0)</f>
        <v>#N/A</v>
      </c>
    </row>
    <row r="2761" spans="24:27">
      <c r="X2761" s="8" t="str">
        <f>+IFERROR(VLOOKUP(N2761,[1]Hoja1!$B$2:$F$52,4,0)*P2761,"")</f>
        <v/>
      </c>
      <c r="Y2761" s="8" t="e">
        <f>+VLOOKUP(M2761,[1]SKU!$B$3:$E$81,4,0)</f>
        <v>#N/A</v>
      </c>
      <c r="Z2761" s="8" t="str">
        <f t="shared" si="43"/>
        <v>FLEX</v>
      </c>
      <c r="AA2761" s="8" t="e">
        <f>+VLOOKUP(I2761,[1]SKU!$H$2:$I$97,2,0)</f>
        <v>#N/A</v>
      </c>
    </row>
    <row r="2762" spans="24:27">
      <c r="X2762" s="8" t="str">
        <f>+IFERROR(VLOOKUP(N2762,[1]Hoja1!$B$2:$F$52,4,0)*P2762,"")</f>
        <v/>
      </c>
      <c r="Y2762" s="8" t="e">
        <f>+VLOOKUP(M2762,[1]SKU!$B$3:$E$81,4,0)</f>
        <v>#N/A</v>
      </c>
      <c r="Z2762" s="8" t="str">
        <f t="shared" si="43"/>
        <v>FLEX</v>
      </c>
      <c r="AA2762" s="8" t="e">
        <f>+VLOOKUP(I2762,[1]SKU!$H$2:$I$97,2,0)</f>
        <v>#N/A</v>
      </c>
    </row>
    <row r="2763" spans="24:27">
      <c r="X2763" s="8" t="str">
        <f>+IFERROR(VLOOKUP(N2763,[1]Hoja1!$B$2:$F$52,4,0)*P2763,"")</f>
        <v/>
      </c>
      <c r="Y2763" s="8" t="e">
        <f>+VLOOKUP(M2763,[1]SKU!$B$3:$E$81,4,0)</f>
        <v>#N/A</v>
      </c>
      <c r="Z2763" s="8" t="str">
        <f t="shared" si="43"/>
        <v>FLEX</v>
      </c>
      <c r="AA2763" s="8" t="e">
        <f>+VLOOKUP(I2763,[1]SKU!$H$2:$I$97,2,0)</f>
        <v>#N/A</v>
      </c>
    </row>
    <row r="2764" spans="24:27">
      <c r="X2764" s="8" t="str">
        <f>+IFERROR(VLOOKUP(N2764,[1]Hoja1!$B$2:$F$52,4,0)*P2764,"")</f>
        <v/>
      </c>
      <c r="Y2764" s="8" t="e">
        <f>+VLOOKUP(M2764,[1]SKU!$B$3:$E$81,4,0)</f>
        <v>#N/A</v>
      </c>
      <c r="Z2764" s="8" t="str">
        <f t="shared" si="43"/>
        <v>FLEX</v>
      </c>
      <c r="AA2764" s="8" t="e">
        <f>+VLOOKUP(I2764,[1]SKU!$H$2:$I$97,2,0)</f>
        <v>#N/A</v>
      </c>
    </row>
    <row r="2765" spans="24:27">
      <c r="X2765" s="8" t="str">
        <f>+IFERROR(VLOOKUP(N2765,[1]Hoja1!$B$2:$F$52,4,0)*P2765,"")</f>
        <v/>
      </c>
      <c r="Y2765" s="8" t="e">
        <f>+VLOOKUP(M2765,[1]SKU!$B$3:$E$81,4,0)</f>
        <v>#N/A</v>
      </c>
      <c r="Z2765" s="8" t="str">
        <f t="shared" si="43"/>
        <v>FLEX</v>
      </c>
      <c r="AA2765" s="8" t="e">
        <f>+VLOOKUP(I2765,[1]SKU!$H$2:$I$97,2,0)</f>
        <v>#N/A</v>
      </c>
    </row>
    <row r="2766" spans="24:27">
      <c r="X2766" s="8" t="str">
        <f>+IFERROR(VLOOKUP(N2766,[1]Hoja1!$B$2:$F$52,4,0)*P2766,"")</f>
        <v/>
      </c>
      <c r="Y2766" s="8" t="e">
        <f>+VLOOKUP(M2766,[1]SKU!$B$3:$E$81,4,0)</f>
        <v>#N/A</v>
      </c>
      <c r="Z2766" s="8" t="str">
        <f t="shared" si="43"/>
        <v>FLEX</v>
      </c>
      <c r="AA2766" s="8" t="e">
        <f>+VLOOKUP(I2766,[1]SKU!$H$2:$I$97,2,0)</f>
        <v>#N/A</v>
      </c>
    </row>
    <row r="2767" spans="24:27">
      <c r="X2767" s="8" t="str">
        <f>+IFERROR(VLOOKUP(N2767,[1]Hoja1!$B$2:$F$52,4,0)*P2767,"")</f>
        <v/>
      </c>
      <c r="Y2767" s="8" t="e">
        <f>+VLOOKUP(M2767,[1]SKU!$B$3:$E$81,4,0)</f>
        <v>#N/A</v>
      </c>
      <c r="Z2767" s="8" t="str">
        <f t="shared" si="43"/>
        <v>FLEX</v>
      </c>
      <c r="AA2767" s="8" t="e">
        <f>+VLOOKUP(I2767,[1]SKU!$H$2:$I$97,2,0)</f>
        <v>#N/A</v>
      </c>
    </row>
    <row r="2768" spans="24:27">
      <c r="X2768" s="8" t="str">
        <f>+IFERROR(VLOOKUP(N2768,[1]Hoja1!$B$2:$F$52,4,0)*P2768,"")</f>
        <v/>
      </c>
      <c r="Y2768" s="8" t="e">
        <f>+VLOOKUP(M2768,[1]SKU!$B$3:$E$81,4,0)</f>
        <v>#N/A</v>
      </c>
      <c r="Z2768" s="8" t="str">
        <f t="shared" si="43"/>
        <v>FLEX</v>
      </c>
      <c r="AA2768" s="8" t="e">
        <f>+VLOOKUP(I2768,[1]SKU!$H$2:$I$97,2,0)</f>
        <v>#N/A</v>
      </c>
    </row>
    <row r="2769" spans="24:27">
      <c r="X2769" s="8" t="str">
        <f>+IFERROR(VLOOKUP(N2769,[1]Hoja1!$B$2:$F$52,4,0)*P2769,"")</f>
        <v/>
      </c>
      <c r="Y2769" s="8" t="e">
        <f>+VLOOKUP(M2769,[1]SKU!$B$3:$E$81,4,0)</f>
        <v>#N/A</v>
      </c>
      <c r="Z2769" s="8" t="str">
        <f t="shared" si="43"/>
        <v>FLEX</v>
      </c>
      <c r="AA2769" s="8" t="e">
        <f>+VLOOKUP(I2769,[1]SKU!$H$2:$I$97,2,0)</f>
        <v>#N/A</v>
      </c>
    </row>
    <row r="2770" spans="24:27">
      <c r="X2770" s="8" t="str">
        <f>+IFERROR(VLOOKUP(N2770,[1]Hoja1!$B$2:$F$52,4,0)*P2770,"")</f>
        <v/>
      </c>
      <c r="Y2770" s="8" t="e">
        <f>+VLOOKUP(M2770,[1]SKU!$B$3:$E$81,4,0)</f>
        <v>#N/A</v>
      </c>
      <c r="Z2770" s="8" t="str">
        <f t="shared" si="43"/>
        <v>FLEX</v>
      </c>
      <c r="AA2770" s="8" t="e">
        <f>+VLOOKUP(I2770,[1]SKU!$H$2:$I$97,2,0)</f>
        <v>#N/A</v>
      </c>
    </row>
    <row r="2771" spans="24:27">
      <c r="X2771" s="8" t="str">
        <f>+IFERROR(VLOOKUP(N2771,[1]Hoja1!$B$2:$F$52,4,0)*P2771,"")</f>
        <v/>
      </c>
      <c r="Y2771" s="8" t="e">
        <f>+VLOOKUP(M2771,[1]SKU!$B$3:$E$81,4,0)</f>
        <v>#N/A</v>
      </c>
      <c r="Z2771" s="8" t="str">
        <f t="shared" si="43"/>
        <v>FLEX</v>
      </c>
      <c r="AA2771" s="8" t="e">
        <f>+VLOOKUP(I2771,[1]SKU!$H$2:$I$97,2,0)</f>
        <v>#N/A</v>
      </c>
    </row>
    <row r="2772" spans="24:27">
      <c r="X2772" s="8" t="str">
        <f>+IFERROR(VLOOKUP(N2772,[1]Hoja1!$B$2:$F$52,4,0)*P2772,"")</f>
        <v/>
      </c>
      <c r="Y2772" s="8" t="e">
        <f>+VLOOKUP(M2772,[1]SKU!$B$3:$E$81,4,0)</f>
        <v>#N/A</v>
      </c>
      <c r="Z2772" s="8" t="str">
        <f t="shared" si="43"/>
        <v>FLEX</v>
      </c>
      <c r="AA2772" s="8" t="e">
        <f>+VLOOKUP(I2772,[1]SKU!$H$2:$I$97,2,0)</f>
        <v>#N/A</v>
      </c>
    </row>
    <row r="2773" spans="24:27">
      <c r="X2773" s="8" t="str">
        <f>+IFERROR(VLOOKUP(N2773,[1]Hoja1!$B$2:$F$52,4,0)*P2773,"")</f>
        <v/>
      </c>
      <c r="Y2773" s="8" t="e">
        <f>+VLOOKUP(M2773,[1]SKU!$B$3:$E$81,4,0)</f>
        <v>#N/A</v>
      </c>
      <c r="Z2773" s="8" t="str">
        <f t="shared" si="43"/>
        <v>FLEX</v>
      </c>
      <c r="AA2773" s="8" t="e">
        <f>+VLOOKUP(I2773,[1]SKU!$H$2:$I$97,2,0)</f>
        <v>#N/A</v>
      </c>
    </row>
    <row r="2774" spans="24:27">
      <c r="X2774" s="8" t="str">
        <f>+IFERROR(VLOOKUP(N2774,[1]Hoja1!$B$2:$F$52,4,0)*P2774,"")</f>
        <v/>
      </c>
      <c r="Y2774" s="8" t="e">
        <f>+VLOOKUP(M2774,[1]SKU!$B$3:$E$81,4,0)</f>
        <v>#N/A</v>
      </c>
      <c r="Z2774" s="8" t="str">
        <f t="shared" si="43"/>
        <v>FLEX</v>
      </c>
      <c r="AA2774" s="8" t="e">
        <f>+VLOOKUP(I2774,[1]SKU!$H$2:$I$97,2,0)</f>
        <v>#N/A</v>
      </c>
    </row>
    <row r="2775" spans="24:27">
      <c r="X2775" s="8" t="str">
        <f>+IFERROR(VLOOKUP(N2775,[1]Hoja1!$B$2:$F$52,4,0)*P2775,"")</f>
        <v/>
      </c>
      <c r="Y2775" s="8" t="e">
        <f>+VLOOKUP(M2775,[1]SKU!$B$3:$E$81,4,0)</f>
        <v>#N/A</v>
      </c>
      <c r="Z2775" s="8" t="str">
        <f t="shared" si="43"/>
        <v>FLEX</v>
      </c>
      <c r="AA2775" s="8" t="e">
        <f>+VLOOKUP(I2775,[1]SKU!$H$2:$I$97,2,0)</f>
        <v>#N/A</v>
      </c>
    </row>
    <row r="2776" spans="24:27">
      <c r="X2776" s="8" t="str">
        <f>+IFERROR(VLOOKUP(N2776,[1]Hoja1!$B$2:$F$52,4,0)*P2776,"")</f>
        <v/>
      </c>
      <c r="Y2776" s="8" t="e">
        <f>+VLOOKUP(M2776,[1]SKU!$B$3:$E$81,4,0)</f>
        <v>#N/A</v>
      </c>
      <c r="Z2776" s="8" t="str">
        <f t="shared" si="43"/>
        <v>FLEX</v>
      </c>
      <c r="AA2776" s="8" t="e">
        <f>+VLOOKUP(I2776,[1]SKU!$H$2:$I$97,2,0)</f>
        <v>#N/A</v>
      </c>
    </row>
    <row r="2777" spans="24:27">
      <c r="X2777" s="8" t="str">
        <f>+IFERROR(VLOOKUP(N2777,[1]Hoja1!$B$2:$F$52,4,0)*P2777,"")</f>
        <v/>
      </c>
      <c r="Y2777" s="8" t="e">
        <f>+VLOOKUP(M2777,[1]SKU!$B$3:$E$81,4,0)</f>
        <v>#N/A</v>
      </c>
      <c r="Z2777" s="8" t="str">
        <f t="shared" si="43"/>
        <v>FLEX</v>
      </c>
      <c r="AA2777" s="8" t="e">
        <f>+VLOOKUP(I2777,[1]SKU!$H$2:$I$97,2,0)</f>
        <v>#N/A</v>
      </c>
    </row>
    <row r="2778" spans="24:27">
      <c r="X2778" s="8" t="str">
        <f>+IFERROR(VLOOKUP(N2778,[1]Hoja1!$B$2:$F$52,4,0)*P2778,"")</f>
        <v/>
      </c>
      <c r="Y2778" s="8" t="e">
        <f>+VLOOKUP(M2778,[1]SKU!$B$3:$E$81,4,0)</f>
        <v>#N/A</v>
      </c>
      <c r="Z2778" s="8" t="str">
        <f t="shared" si="43"/>
        <v>FLEX</v>
      </c>
      <c r="AA2778" s="8" t="e">
        <f>+VLOOKUP(I2778,[1]SKU!$H$2:$I$97,2,0)</f>
        <v>#N/A</v>
      </c>
    </row>
    <row r="2779" spans="24:27">
      <c r="X2779" s="8" t="str">
        <f>+IFERROR(VLOOKUP(N2779,[1]Hoja1!$B$2:$F$52,4,0)*P2779,"")</f>
        <v/>
      </c>
      <c r="Y2779" s="8" t="e">
        <f>+VLOOKUP(M2779,[1]SKU!$B$3:$E$81,4,0)</f>
        <v>#N/A</v>
      </c>
      <c r="Z2779" s="8" t="str">
        <f t="shared" si="43"/>
        <v>FLEX</v>
      </c>
      <c r="AA2779" s="8" t="e">
        <f>+VLOOKUP(I2779,[1]SKU!$H$2:$I$97,2,0)</f>
        <v>#N/A</v>
      </c>
    </row>
    <row r="2780" spans="24:27">
      <c r="X2780" s="8" t="str">
        <f>+IFERROR(VLOOKUP(N2780,[1]Hoja1!$B$2:$F$52,4,0)*P2780,"")</f>
        <v/>
      </c>
      <c r="Y2780" s="8" t="e">
        <f>+VLOOKUP(M2780,[1]SKU!$B$3:$E$81,4,0)</f>
        <v>#N/A</v>
      </c>
      <c r="Z2780" s="8" t="str">
        <f t="shared" si="43"/>
        <v>FLEX</v>
      </c>
      <c r="AA2780" s="8" t="e">
        <f>+VLOOKUP(I2780,[1]SKU!$H$2:$I$97,2,0)</f>
        <v>#N/A</v>
      </c>
    </row>
    <row r="2781" spans="24:27">
      <c r="X2781" s="8" t="str">
        <f>+IFERROR(VLOOKUP(N2781,[1]Hoja1!$B$2:$F$52,4,0)*P2781,"")</f>
        <v/>
      </c>
      <c r="Y2781" s="8" t="e">
        <f>+VLOOKUP(M2781,[1]SKU!$B$3:$E$81,4,0)</f>
        <v>#N/A</v>
      </c>
      <c r="Z2781" s="8" t="str">
        <f t="shared" si="43"/>
        <v>FLEX</v>
      </c>
      <c r="AA2781" s="8" t="e">
        <f>+VLOOKUP(I2781,[1]SKU!$H$2:$I$97,2,0)</f>
        <v>#N/A</v>
      </c>
    </row>
    <row r="2782" spans="24:27">
      <c r="X2782" s="8" t="str">
        <f>+IFERROR(VLOOKUP(N2782,[1]Hoja1!$B$2:$F$52,4,0)*P2782,"")</f>
        <v/>
      </c>
      <c r="Y2782" s="8" t="e">
        <f>+VLOOKUP(M2782,[1]SKU!$B$3:$E$81,4,0)</f>
        <v>#N/A</v>
      </c>
      <c r="Z2782" s="8" t="str">
        <f t="shared" si="43"/>
        <v>FLEX</v>
      </c>
      <c r="AA2782" s="8" t="e">
        <f>+VLOOKUP(I2782,[1]SKU!$H$2:$I$97,2,0)</f>
        <v>#N/A</v>
      </c>
    </row>
    <row r="2783" spans="24:27">
      <c r="X2783" s="8" t="str">
        <f>+IFERROR(VLOOKUP(N2783,[1]Hoja1!$B$2:$F$52,4,0)*P2783,"")</f>
        <v/>
      </c>
      <c r="Y2783" s="8" t="e">
        <f>+VLOOKUP(M2783,[1]SKU!$B$3:$E$81,4,0)</f>
        <v>#N/A</v>
      </c>
      <c r="Z2783" s="8" t="str">
        <f t="shared" si="43"/>
        <v>FLEX</v>
      </c>
      <c r="AA2783" s="8" t="e">
        <f>+VLOOKUP(I2783,[1]SKU!$H$2:$I$97,2,0)</f>
        <v>#N/A</v>
      </c>
    </row>
    <row r="2784" spans="24:27">
      <c r="X2784" s="8" t="str">
        <f>+IFERROR(VLOOKUP(N2784,[1]Hoja1!$B$2:$F$52,4,0)*P2784,"")</f>
        <v/>
      </c>
      <c r="Y2784" s="8" t="e">
        <f>+VLOOKUP(M2784,[1]SKU!$B$3:$E$81,4,0)</f>
        <v>#N/A</v>
      </c>
      <c r="Z2784" s="8" t="str">
        <f t="shared" si="43"/>
        <v>FLEX</v>
      </c>
      <c r="AA2784" s="8" t="e">
        <f>+VLOOKUP(I2784,[1]SKU!$H$2:$I$97,2,0)</f>
        <v>#N/A</v>
      </c>
    </row>
    <row r="2785" spans="24:27">
      <c r="X2785" s="8" t="str">
        <f>+IFERROR(VLOOKUP(N2785,[1]Hoja1!$B$2:$F$52,4,0)*P2785,"")</f>
        <v/>
      </c>
      <c r="Y2785" s="8" t="e">
        <f>+VLOOKUP(M2785,[1]SKU!$B$3:$E$81,4,0)</f>
        <v>#N/A</v>
      </c>
      <c r="Z2785" s="8" t="str">
        <f t="shared" si="43"/>
        <v>FLEX</v>
      </c>
      <c r="AA2785" s="8" t="e">
        <f>+VLOOKUP(I2785,[1]SKU!$H$2:$I$97,2,0)</f>
        <v>#N/A</v>
      </c>
    </row>
    <row r="2786" spans="24:27">
      <c r="X2786" s="8" t="str">
        <f>+IFERROR(VLOOKUP(N2786,[1]Hoja1!$B$2:$F$52,4,0)*P2786,"")</f>
        <v/>
      </c>
      <c r="Y2786" s="8" t="e">
        <f>+VLOOKUP(M2786,[1]SKU!$B$3:$E$81,4,0)</f>
        <v>#N/A</v>
      </c>
      <c r="Z2786" s="8" t="str">
        <f t="shared" si="43"/>
        <v>FLEX</v>
      </c>
      <c r="AA2786" s="8" t="e">
        <f>+VLOOKUP(I2786,[1]SKU!$H$2:$I$97,2,0)</f>
        <v>#N/A</v>
      </c>
    </row>
    <row r="2787" spans="24:27">
      <c r="X2787" s="8" t="str">
        <f>+IFERROR(VLOOKUP(N2787,[1]Hoja1!$B$2:$F$52,4,0)*P2787,"")</f>
        <v/>
      </c>
      <c r="Y2787" s="8" t="e">
        <f>+VLOOKUP(M2787,[1]SKU!$B$3:$E$81,4,0)</f>
        <v>#N/A</v>
      </c>
      <c r="Z2787" s="8" t="str">
        <f t="shared" si="43"/>
        <v>FLEX</v>
      </c>
      <c r="AA2787" s="8" t="e">
        <f>+VLOOKUP(I2787,[1]SKU!$H$2:$I$97,2,0)</f>
        <v>#N/A</v>
      </c>
    </row>
    <row r="2788" spans="24:27">
      <c r="X2788" s="8" t="str">
        <f>+IFERROR(VLOOKUP(N2788,[1]Hoja1!$B$2:$F$52,4,0)*P2788,"")</f>
        <v/>
      </c>
      <c r="Y2788" s="8" t="e">
        <f>+VLOOKUP(M2788,[1]SKU!$B$3:$E$81,4,0)</f>
        <v>#N/A</v>
      </c>
      <c r="Z2788" s="8" t="str">
        <f t="shared" si="43"/>
        <v>FLEX</v>
      </c>
      <c r="AA2788" s="8" t="e">
        <f>+VLOOKUP(I2788,[1]SKU!$H$2:$I$97,2,0)</f>
        <v>#N/A</v>
      </c>
    </row>
    <row r="2789" spans="24:27">
      <c r="X2789" s="8" t="str">
        <f>+IFERROR(VLOOKUP(N2789,[1]Hoja1!$B$2:$F$52,4,0)*P2789,"")</f>
        <v/>
      </c>
      <c r="Y2789" s="8" t="e">
        <f>+VLOOKUP(M2789,[1]SKU!$B$3:$E$81,4,0)</f>
        <v>#N/A</v>
      </c>
      <c r="Z2789" s="8" t="str">
        <f t="shared" si="43"/>
        <v>FLEX</v>
      </c>
      <c r="AA2789" s="8" t="e">
        <f>+VLOOKUP(I2789,[1]SKU!$H$2:$I$97,2,0)</f>
        <v>#N/A</v>
      </c>
    </row>
    <row r="2790" spans="24:27">
      <c r="X2790" s="8" t="str">
        <f>+IFERROR(VLOOKUP(N2790,[1]Hoja1!$B$2:$F$52,4,0)*P2790,"")</f>
        <v/>
      </c>
      <c r="Y2790" s="8" t="e">
        <f>+VLOOKUP(M2790,[1]SKU!$B$3:$E$81,4,0)</f>
        <v>#N/A</v>
      </c>
      <c r="Z2790" s="8" t="str">
        <f t="shared" si="43"/>
        <v>FLEX</v>
      </c>
      <c r="AA2790" s="8" t="e">
        <f>+VLOOKUP(I2790,[1]SKU!$H$2:$I$97,2,0)</f>
        <v>#N/A</v>
      </c>
    </row>
    <row r="2791" spans="24:27">
      <c r="X2791" s="8" t="str">
        <f>+IFERROR(VLOOKUP(N2791,[1]Hoja1!$B$2:$F$52,4,0)*P2791,"")</f>
        <v/>
      </c>
      <c r="Y2791" s="8" t="e">
        <f>+VLOOKUP(M2791,[1]SKU!$B$3:$E$81,4,0)</f>
        <v>#N/A</v>
      </c>
      <c r="Z2791" s="8" t="str">
        <f t="shared" si="43"/>
        <v>FLEX</v>
      </c>
      <c r="AA2791" s="8" t="e">
        <f>+VLOOKUP(I2791,[1]SKU!$H$2:$I$97,2,0)</f>
        <v>#N/A</v>
      </c>
    </row>
    <row r="2792" spans="24:27">
      <c r="X2792" s="8" t="str">
        <f>+IFERROR(VLOOKUP(N2792,[1]Hoja1!$B$2:$F$52,4,0)*P2792,"")</f>
        <v/>
      </c>
      <c r="Y2792" s="8" t="e">
        <f>+VLOOKUP(M2792,[1]SKU!$B$3:$E$81,4,0)</f>
        <v>#N/A</v>
      </c>
      <c r="Z2792" s="8" t="str">
        <f t="shared" si="43"/>
        <v>FLEX</v>
      </c>
      <c r="AA2792" s="8" t="e">
        <f>+VLOOKUP(I2792,[1]SKU!$H$2:$I$97,2,0)</f>
        <v>#N/A</v>
      </c>
    </row>
    <row r="2793" spans="24:27">
      <c r="X2793" s="8" t="str">
        <f>+IFERROR(VLOOKUP(N2793,[1]Hoja1!$B$2:$F$52,4,0)*P2793,"")</f>
        <v/>
      </c>
      <c r="Y2793" s="8" t="e">
        <f>+VLOOKUP(M2793,[1]SKU!$B$3:$E$81,4,0)</f>
        <v>#N/A</v>
      </c>
      <c r="Z2793" s="8" t="str">
        <f t="shared" si="43"/>
        <v>FLEX</v>
      </c>
      <c r="AA2793" s="8" t="e">
        <f>+VLOOKUP(I2793,[1]SKU!$H$2:$I$97,2,0)</f>
        <v>#N/A</v>
      </c>
    </row>
    <row r="2794" spans="24:27">
      <c r="X2794" s="8" t="str">
        <f>+IFERROR(VLOOKUP(N2794,[1]Hoja1!$B$2:$F$52,4,0)*P2794,"")</f>
        <v/>
      </c>
      <c r="Y2794" s="8" t="e">
        <f>+VLOOKUP(M2794,[1]SKU!$B$3:$E$81,4,0)</f>
        <v>#N/A</v>
      </c>
      <c r="Z2794" s="8" t="str">
        <f t="shared" si="43"/>
        <v>FLEX</v>
      </c>
      <c r="AA2794" s="8" t="e">
        <f>+VLOOKUP(I2794,[1]SKU!$H$2:$I$97,2,0)</f>
        <v>#N/A</v>
      </c>
    </row>
    <row r="2795" spans="24:27">
      <c r="X2795" s="8" t="str">
        <f>+IFERROR(VLOOKUP(N2795,[1]Hoja1!$B$2:$F$52,4,0)*P2795,"")</f>
        <v/>
      </c>
      <c r="Y2795" s="8" t="e">
        <f>+VLOOKUP(M2795,[1]SKU!$B$3:$E$81,4,0)</f>
        <v>#N/A</v>
      </c>
      <c r="Z2795" s="8" t="str">
        <f t="shared" si="43"/>
        <v>FLEX</v>
      </c>
      <c r="AA2795" s="8" t="e">
        <f>+VLOOKUP(I2795,[1]SKU!$H$2:$I$97,2,0)</f>
        <v>#N/A</v>
      </c>
    </row>
    <row r="2796" spans="24:27">
      <c r="X2796" s="8" t="str">
        <f>+IFERROR(VLOOKUP(N2796,[1]Hoja1!$B$2:$F$52,4,0)*P2796,"")</f>
        <v/>
      </c>
      <c r="Y2796" s="8" t="e">
        <f>+VLOOKUP(M2796,[1]SKU!$B$3:$E$81,4,0)</f>
        <v>#N/A</v>
      </c>
      <c r="Z2796" s="8" t="str">
        <f t="shared" si="43"/>
        <v>FLEX</v>
      </c>
      <c r="AA2796" s="8" t="e">
        <f>+VLOOKUP(I2796,[1]SKU!$H$2:$I$97,2,0)</f>
        <v>#N/A</v>
      </c>
    </row>
    <row r="2797" spans="24:27">
      <c r="X2797" s="8" t="str">
        <f>+IFERROR(VLOOKUP(N2797,[1]Hoja1!$B$2:$F$52,4,0)*P2797,"")</f>
        <v/>
      </c>
      <c r="Y2797" s="8" t="e">
        <f>+VLOOKUP(M2797,[1]SKU!$B$3:$E$81,4,0)</f>
        <v>#N/A</v>
      </c>
      <c r="Z2797" s="8" t="str">
        <f t="shared" si="43"/>
        <v>FLEX</v>
      </c>
      <c r="AA2797" s="8" t="e">
        <f>+VLOOKUP(I2797,[1]SKU!$H$2:$I$97,2,0)</f>
        <v>#N/A</v>
      </c>
    </row>
    <row r="2798" spans="24:27">
      <c r="X2798" s="8" t="str">
        <f>+IFERROR(VLOOKUP(N2798,[1]Hoja1!$B$2:$F$52,4,0)*P2798,"")</f>
        <v/>
      </c>
      <c r="Y2798" s="8" t="e">
        <f>+VLOOKUP(M2798,[1]SKU!$B$3:$E$81,4,0)</f>
        <v>#N/A</v>
      </c>
      <c r="Z2798" s="8" t="str">
        <f t="shared" si="43"/>
        <v>FLEX</v>
      </c>
      <c r="AA2798" s="8" t="e">
        <f>+VLOOKUP(I2798,[1]SKU!$H$2:$I$97,2,0)</f>
        <v>#N/A</v>
      </c>
    </row>
    <row r="2799" spans="24:27">
      <c r="X2799" s="8" t="str">
        <f>+IFERROR(VLOOKUP(N2799,[1]Hoja1!$B$2:$F$52,4,0)*P2799,"")</f>
        <v/>
      </c>
      <c r="Y2799" s="8" t="e">
        <f>+VLOOKUP(M2799,[1]SKU!$B$3:$E$81,4,0)</f>
        <v>#N/A</v>
      </c>
      <c r="Z2799" s="8" t="str">
        <f t="shared" si="43"/>
        <v>FLEX</v>
      </c>
      <c r="AA2799" s="8" t="e">
        <f>+VLOOKUP(I2799,[1]SKU!$H$2:$I$97,2,0)</f>
        <v>#N/A</v>
      </c>
    </row>
    <row r="2800" spans="24:27">
      <c r="X2800" s="8" t="str">
        <f>+IFERROR(VLOOKUP(N2800,[1]Hoja1!$B$2:$F$52,4,0)*P2800,"")</f>
        <v/>
      </c>
      <c r="Y2800" s="8" t="e">
        <f>+VLOOKUP(M2800,[1]SKU!$B$3:$E$81,4,0)</f>
        <v>#N/A</v>
      </c>
      <c r="Z2800" s="8" t="str">
        <f t="shared" si="43"/>
        <v>FLEX</v>
      </c>
      <c r="AA2800" s="8" t="e">
        <f>+VLOOKUP(I2800,[1]SKU!$H$2:$I$97,2,0)</f>
        <v>#N/A</v>
      </c>
    </row>
    <row r="2801" spans="24:27">
      <c r="X2801" s="8" t="str">
        <f>+IFERROR(VLOOKUP(N2801,[1]Hoja1!$B$2:$F$52,4,0)*P2801,"")</f>
        <v/>
      </c>
      <c r="Y2801" s="8" t="e">
        <f>+VLOOKUP(M2801,[1]SKU!$B$3:$E$81,4,0)</f>
        <v>#N/A</v>
      </c>
      <c r="Z2801" s="8" t="str">
        <f t="shared" si="43"/>
        <v>FLEX</v>
      </c>
      <c r="AA2801" s="8" t="e">
        <f>+VLOOKUP(I2801,[1]SKU!$H$2:$I$97,2,0)</f>
        <v>#N/A</v>
      </c>
    </row>
    <row r="2802" spans="24:27">
      <c r="X2802" s="8" t="str">
        <f>+IFERROR(VLOOKUP(N2802,[1]Hoja1!$B$2:$F$52,4,0)*P2802,"")</f>
        <v/>
      </c>
      <c r="Y2802" s="8" t="e">
        <f>+VLOOKUP(M2802,[1]SKU!$B$3:$E$81,4,0)</f>
        <v>#N/A</v>
      </c>
      <c r="Z2802" s="8" t="str">
        <f t="shared" si="43"/>
        <v>FLEX</v>
      </c>
      <c r="AA2802" s="8" t="e">
        <f>+VLOOKUP(I2802,[1]SKU!$H$2:$I$97,2,0)</f>
        <v>#N/A</v>
      </c>
    </row>
    <row r="2803" spans="24:27">
      <c r="X2803" s="8" t="str">
        <f>+IFERROR(VLOOKUP(N2803,[1]Hoja1!$B$2:$F$52,4,0)*P2803,"")</f>
        <v/>
      </c>
      <c r="Y2803" s="8" t="e">
        <f>+VLOOKUP(M2803,[1]SKU!$B$3:$E$81,4,0)</f>
        <v>#N/A</v>
      </c>
      <c r="Z2803" s="8" t="str">
        <f t="shared" si="43"/>
        <v>FLEX</v>
      </c>
      <c r="AA2803" s="8" t="e">
        <f>+VLOOKUP(I2803,[1]SKU!$H$2:$I$97,2,0)</f>
        <v>#N/A</v>
      </c>
    </row>
    <row r="2804" spans="24:27">
      <c r="X2804" s="8" t="str">
        <f>+IFERROR(VLOOKUP(N2804,[1]Hoja1!$B$2:$F$52,4,0)*P2804,"")</f>
        <v/>
      </c>
      <c r="Y2804" s="8" t="e">
        <f>+VLOOKUP(M2804,[1]SKU!$B$3:$E$81,4,0)</f>
        <v>#N/A</v>
      </c>
      <c r="Z2804" s="8" t="str">
        <f t="shared" si="43"/>
        <v>FLEX</v>
      </c>
      <c r="AA2804" s="8" t="e">
        <f>+VLOOKUP(I2804,[1]SKU!$H$2:$I$97,2,0)</f>
        <v>#N/A</v>
      </c>
    </row>
    <row r="2805" spans="24:27">
      <c r="X2805" s="8" t="str">
        <f>+IFERROR(VLOOKUP(N2805,[1]Hoja1!$B$2:$F$52,4,0)*P2805,"")</f>
        <v/>
      </c>
      <c r="Y2805" s="8" t="e">
        <f>+VLOOKUP(M2805,[1]SKU!$B$3:$E$81,4,0)</f>
        <v>#N/A</v>
      </c>
      <c r="Z2805" s="8" t="str">
        <f t="shared" si="43"/>
        <v>FLEX</v>
      </c>
      <c r="AA2805" s="8" t="e">
        <f>+VLOOKUP(I2805,[1]SKU!$H$2:$I$97,2,0)</f>
        <v>#N/A</v>
      </c>
    </row>
    <row r="2806" spans="24:27">
      <c r="X2806" s="8" t="str">
        <f>+IFERROR(VLOOKUP(N2806,[1]Hoja1!$B$2:$F$52,4,0)*P2806,"")</f>
        <v/>
      </c>
      <c r="Y2806" s="8" t="e">
        <f>+VLOOKUP(M2806,[1]SKU!$B$3:$E$81,4,0)</f>
        <v>#N/A</v>
      </c>
      <c r="Z2806" s="8" t="str">
        <f t="shared" si="43"/>
        <v>FLEX</v>
      </c>
      <c r="AA2806" s="8" t="e">
        <f>+VLOOKUP(I2806,[1]SKU!$H$2:$I$97,2,0)</f>
        <v>#N/A</v>
      </c>
    </row>
    <row r="2807" spans="24:27">
      <c r="X2807" s="8" t="str">
        <f>+IFERROR(VLOOKUP(N2807,[1]Hoja1!$B$2:$F$52,4,0)*P2807,"")</f>
        <v/>
      </c>
      <c r="Y2807" s="8" t="e">
        <f>+VLOOKUP(M2807,[1]SKU!$B$3:$E$81,4,0)</f>
        <v>#N/A</v>
      </c>
      <c r="Z2807" s="8" t="str">
        <f t="shared" si="43"/>
        <v>FLEX</v>
      </c>
      <c r="AA2807" s="8" t="e">
        <f>+VLOOKUP(I2807,[1]SKU!$H$2:$I$97,2,0)</f>
        <v>#N/A</v>
      </c>
    </row>
    <row r="2808" spans="24:27">
      <c r="X2808" s="8" t="str">
        <f>+IFERROR(VLOOKUP(N2808,[1]Hoja1!$B$2:$F$52,4,0)*P2808,"")</f>
        <v/>
      </c>
      <c r="Y2808" s="8" t="e">
        <f>+VLOOKUP(M2808,[1]SKU!$B$3:$E$81,4,0)</f>
        <v>#N/A</v>
      </c>
      <c r="Z2808" s="8" t="str">
        <f t="shared" si="43"/>
        <v>FLEX</v>
      </c>
      <c r="AA2808" s="8" t="e">
        <f>+VLOOKUP(I2808,[1]SKU!$H$2:$I$97,2,0)</f>
        <v>#N/A</v>
      </c>
    </row>
    <row r="2809" spans="24:27">
      <c r="X2809" s="8" t="str">
        <f>+IFERROR(VLOOKUP(N2809,[1]Hoja1!$B$2:$F$52,4,0)*P2809,"")</f>
        <v/>
      </c>
      <c r="Y2809" s="8" t="e">
        <f>+VLOOKUP(M2809,[1]SKU!$B$3:$E$81,4,0)</f>
        <v>#N/A</v>
      </c>
      <c r="Z2809" s="8" t="str">
        <f t="shared" si="43"/>
        <v>FLEX</v>
      </c>
      <c r="AA2809" s="8" t="e">
        <f>+VLOOKUP(I2809,[1]SKU!$H$2:$I$97,2,0)</f>
        <v>#N/A</v>
      </c>
    </row>
    <row r="2810" spans="24:27">
      <c r="X2810" s="8" t="str">
        <f>+IFERROR(VLOOKUP(N2810,[1]Hoja1!$B$2:$F$52,4,0)*P2810,"")</f>
        <v/>
      </c>
      <c r="Y2810" s="8" t="e">
        <f>+VLOOKUP(M2810,[1]SKU!$B$3:$E$81,4,0)</f>
        <v>#N/A</v>
      </c>
      <c r="Z2810" s="8" t="str">
        <f t="shared" si="43"/>
        <v>FLEX</v>
      </c>
      <c r="AA2810" s="8" t="e">
        <f>+VLOOKUP(I2810,[1]SKU!$H$2:$I$97,2,0)</f>
        <v>#N/A</v>
      </c>
    </row>
    <row r="2811" spans="24:27">
      <c r="X2811" s="8" t="str">
        <f>+IFERROR(VLOOKUP(N2811,[1]Hoja1!$B$2:$F$52,4,0)*P2811,"")</f>
        <v/>
      </c>
      <c r="Y2811" s="8" t="e">
        <f>+VLOOKUP(M2811,[1]SKU!$B$3:$E$81,4,0)</f>
        <v>#N/A</v>
      </c>
      <c r="Z2811" s="8" t="str">
        <f t="shared" si="43"/>
        <v>FLEX</v>
      </c>
      <c r="AA2811" s="8" t="e">
        <f>+VLOOKUP(I2811,[1]SKU!$H$2:$I$97,2,0)</f>
        <v>#N/A</v>
      </c>
    </row>
    <row r="2812" spans="24:27">
      <c r="X2812" s="8" t="str">
        <f>+IFERROR(VLOOKUP(N2812,[1]Hoja1!$B$2:$F$52,4,0)*P2812,"")</f>
        <v/>
      </c>
      <c r="Y2812" s="8" t="e">
        <f>+VLOOKUP(M2812,[1]SKU!$B$3:$E$81,4,0)</f>
        <v>#N/A</v>
      </c>
      <c r="Z2812" s="8" t="str">
        <f t="shared" si="43"/>
        <v>FLEX</v>
      </c>
      <c r="AA2812" s="8" t="e">
        <f>+VLOOKUP(I2812,[1]SKU!$H$2:$I$97,2,0)</f>
        <v>#N/A</v>
      </c>
    </row>
    <row r="2813" spans="24:27">
      <c r="X2813" s="8" t="str">
        <f>+IFERROR(VLOOKUP(N2813,[1]Hoja1!$B$2:$F$52,4,0)*P2813,"")</f>
        <v/>
      </c>
      <c r="Y2813" s="8" t="e">
        <f>+VLOOKUP(M2813,[1]SKU!$B$3:$E$81,4,0)</f>
        <v>#N/A</v>
      </c>
      <c r="Z2813" s="8" t="str">
        <f t="shared" si="43"/>
        <v>FLEX</v>
      </c>
      <c r="AA2813" s="8" t="e">
        <f>+VLOOKUP(I2813,[1]SKU!$H$2:$I$97,2,0)</f>
        <v>#N/A</v>
      </c>
    </row>
    <row r="2814" spans="24:27">
      <c r="X2814" s="8" t="str">
        <f>+IFERROR(VLOOKUP(N2814,[1]Hoja1!$B$2:$F$52,4,0)*P2814,"")</f>
        <v/>
      </c>
      <c r="Y2814" s="8" t="e">
        <f>+VLOOKUP(M2814,[1]SKU!$B$3:$E$81,4,0)</f>
        <v>#N/A</v>
      </c>
      <c r="Z2814" s="8" t="str">
        <f t="shared" si="43"/>
        <v>FLEX</v>
      </c>
      <c r="AA2814" s="8" t="e">
        <f>+VLOOKUP(I2814,[1]SKU!$H$2:$I$97,2,0)</f>
        <v>#N/A</v>
      </c>
    </row>
    <row r="2815" spans="24:27">
      <c r="X2815" s="8" t="str">
        <f>+IFERROR(VLOOKUP(N2815,[1]Hoja1!$B$2:$F$52,4,0)*P2815,"")</f>
        <v/>
      </c>
      <c r="Y2815" s="8" t="e">
        <f>+VLOOKUP(M2815,[1]SKU!$B$3:$E$81,4,0)</f>
        <v>#N/A</v>
      </c>
      <c r="Z2815" s="8" t="str">
        <f t="shared" si="43"/>
        <v>FLEX</v>
      </c>
      <c r="AA2815" s="8" t="e">
        <f>+VLOOKUP(I2815,[1]SKU!$H$2:$I$97,2,0)</f>
        <v>#N/A</v>
      </c>
    </row>
    <row r="2816" spans="24:27">
      <c r="X2816" s="8" t="str">
        <f>+IFERROR(VLOOKUP(N2816,[1]Hoja1!$B$2:$F$52,4,0)*P2816,"")</f>
        <v/>
      </c>
      <c r="Y2816" s="8" t="e">
        <f>+VLOOKUP(M2816,[1]SKU!$B$3:$E$81,4,0)</f>
        <v>#N/A</v>
      </c>
      <c r="Z2816" s="8" t="str">
        <f t="shared" si="43"/>
        <v>FLEX</v>
      </c>
      <c r="AA2816" s="8" t="e">
        <f>+VLOOKUP(I2816,[1]SKU!$H$2:$I$97,2,0)</f>
        <v>#N/A</v>
      </c>
    </row>
    <row r="2817" spans="24:27">
      <c r="X2817" s="8" t="str">
        <f>+IFERROR(VLOOKUP(N2817,[1]Hoja1!$B$2:$F$52,4,0)*P2817,"")</f>
        <v/>
      </c>
      <c r="Y2817" s="8" t="e">
        <f>+VLOOKUP(M2817,[1]SKU!$B$3:$E$81,4,0)</f>
        <v>#N/A</v>
      </c>
      <c r="Z2817" s="8" t="str">
        <f t="shared" si="43"/>
        <v>FLEX</v>
      </c>
      <c r="AA2817" s="8" t="e">
        <f>+VLOOKUP(I2817,[1]SKU!$H$2:$I$97,2,0)</f>
        <v>#N/A</v>
      </c>
    </row>
    <row r="2818" spans="24:27">
      <c r="X2818" s="8" t="str">
        <f>+IFERROR(VLOOKUP(N2818,[1]Hoja1!$B$2:$F$52,4,0)*P2818,"")</f>
        <v/>
      </c>
      <c r="Y2818" s="8" t="e">
        <f>+VLOOKUP(M2818,[1]SKU!$B$3:$E$81,4,0)</f>
        <v>#N/A</v>
      </c>
      <c r="Z2818" s="8" t="str">
        <f t="shared" si="43"/>
        <v>FLEX</v>
      </c>
      <c r="AA2818" s="8" t="e">
        <f>+VLOOKUP(I2818,[1]SKU!$H$2:$I$97,2,0)</f>
        <v>#N/A</v>
      </c>
    </row>
    <row r="2819" spans="24:27">
      <c r="X2819" s="8" t="str">
        <f>+IFERROR(VLOOKUP(N2819,[1]Hoja1!$B$2:$F$52,4,0)*P2819,"")</f>
        <v/>
      </c>
      <c r="Y2819" s="8" t="e">
        <f>+VLOOKUP(M2819,[1]SKU!$B$3:$E$81,4,0)</f>
        <v>#N/A</v>
      </c>
      <c r="Z2819" s="8" t="str">
        <f t="shared" ref="Z2819:Z2882" si="44">+IF(J2819="VB01                          ","BEES","FLEX")</f>
        <v>FLEX</v>
      </c>
      <c r="AA2819" s="8" t="e">
        <f>+VLOOKUP(I2819,[1]SKU!$H$2:$I$97,2,0)</f>
        <v>#N/A</v>
      </c>
    </row>
    <row r="2820" spans="24:27">
      <c r="X2820" s="8" t="str">
        <f>+IFERROR(VLOOKUP(N2820,[1]Hoja1!$B$2:$F$52,4,0)*P2820,"")</f>
        <v/>
      </c>
      <c r="Y2820" s="8" t="e">
        <f>+VLOOKUP(M2820,[1]SKU!$B$3:$E$81,4,0)</f>
        <v>#N/A</v>
      </c>
      <c r="Z2820" s="8" t="str">
        <f t="shared" si="44"/>
        <v>FLEX</v>
      </c>
      <c r="AA2820" s="8" t="e">
        <f>+VLOOKUP(I2820,[1]SKU!$H$2:$I$97,2,0)</f>
        <v>#N/A</v>
      </c>
    </row>
    <row r="2821" spans="24:27">
      <c r="X2821" s="8" t="str">
        <f>+IFERROR(VLOOKUP(N2821,[1]Hoja1!$B$2:$F$52,4,0)*P2821,"")</f>
        <v/>
      </c>
      <c r="Y2821" s="8" t="e">
        <f>+VLOOKUP(M2821,[1]SKU!$B$3:$E$81,4,0)</f>
        <v>#N/A</v>
      </c>
      <c r="Z2821" s="8" t="str">
        <f t="shared" si="44"/>
        <v>FLEX</v>
      </c>
      <c r="AA2821" s="8" t="e">
        <f>+VLOOKUP(I2821,[1]SKU!$H$2:$I$97,2,0)</f>
        <v>#N/A</v>
      </c>
    </row>
    <row r="2822" spans="24:27">
      <c r="X2822" s="8" t="str">
        <f>+IFERROR(VLOOKUP(N2822,[1]Hoja1!$B$2:$F$52,4,0)*P2822,"")</f>
        <v/>
      </c>
      <c r="Y2822" s="8" t="e">
        <f>+VLOOKUP(M2822,[1]SKU!$B$3:$E$81,4,0)</f>
        <v>#N/A</v>
      </c>
      <c r="Z2822" s="8" t="str">
        <f t="shared" si="44"/>
        <v>FLEX</v>
      </c>
      <c r="AA2822" s="8" t="e">
        <f>+VLOOKUP(I2822,[1]SKU!$H$2:$I$97,2,0)</f>
        <v>#N/A</v>
      </c>
    </row>
    <row r="2823" spans="24:27">
      <c r="X2823" s="8" t="str">
        <f>+IFERROR(VLOOKUP(N2823,[1]Hoja1!$B$2:$F$52,4,0)*P2823,"")</f>
        <v/>
      </c>
      <c r="Y2823" s="8" t="e">
        <f>+VLOOKUP(M2823,[1]SKU!$B$3:$E$81,4,0)</f>
        <v>#N/A</v>
      </c>
      <c r="Z2823" s="8" t="str">
        <f t="shared" si="44"/>
        <v>FLEX</v>
      </c>
      <c r="AA2823" s="8" t="e">
        <f>+VLOOKUP(I2823,[1]SKU!$H$2:$I$97,2,0)</f>
        <v>#N/A</v>
      </c>
    </row>
    <row r="2824" spans="24:27">
      <c r="X2824" s="8" t="str">
        <f>+IFERROR(VLOOKUP(N2824,[1]Hoja1!$B$2:$F$52,4,0)*P2824,"")</f>
        <v/>
      </c>
      <c r="Y2824" s="8" t="e">
        <f>+VLOOKUP(M2824,[1]SKU!$B$3:$E$81,4,0)</f>
        <v>#N/A</v>
      </c>
      <c r="Z2824" s="8" t="str">
        <f t="shared" si="44"/>
        <v>FLEX</v>
      </c>
      <c r="AA2824" s="8" t="e">
        <f>+VLOOKUP(I2824,[1]SKU!$H$2:$I$97,2,0)</f>
        <v>#N/A</v>
      </c>
    </row>
    <row r="2825" spans="24:27">
      <c r="X2825" s="8" t="str">
        <f>+IFERROR(VLOOKUP(N2825,[1]Hoja1!$B$2:$F$52,4,0)*P2825,"")</f>
        <v/>
      </c>
      <c r="Y2825" s="8" t="e">
        <f>+VLOOKUP(M2825,[1]SKU!$B$3:$E$81,4,0)</f>
        <v>#N/A</v>
      </c>
      <c r="Z2825" s="8" t="str">
        <f t="shared" si="44"/>
        <v>FLEX</v>
      </c>
      <c r="AA2825" s="8" t="e">
        <f>+VLOOKUP(I2825,[1]SKU!$H$2:$I$97,2,0)</f>
        <v>#N/A</v>
      </c>
    </row>
    <row r="2826" spans="24:27">
      <c r="X2826" s="8" t="str">
        <f>+IFERROR(VLOOKUP(N2826,[1]Hoja1!$B$2:$F$52,4,0)*P2826,"")</f>
        <v/>
      </c>
      <c r="Y2826" s="8" t="e">
        <f>+VLOOKUP(M2826,[1]SKU!$B$3:$E$81,4,0)</f>
        <v>#N/A</v>
      </c>
      <c r="Z2826" s="8" t="str">
        <f t="shared" si="44"/>
        <v>FLEX</v>
      </c>
      <c r="AA2826" s="8" t="e">
        <f>+VLOOKUP(I2826,[1]SKU!$H$2:$I$97,2,0)</f>
        <v>#N/A</v>
      </c>
    </row>
    <row r="2827" spans="24:27">
      <c r="X2827" s="8" t="str">
        <f>+IFERROR(VLOOKUP(N2827,[1]Hoja1!$B$2:$F$52,4,0)*P2827,"")</f>
        <v/>
      </c>
      <c r="Y2827" s="8" t="e">
        <f>+VLOOKUP(M2827,[1]SKU!$B$3:$E$81,4,0)</f>
        <v>#N/A</v>
      </c>
      <c r="Z2827" s="8" t="str">
        <f t="shared" si="44"/>
        <v>FLEX</v>
      </c>
      <c r="AA2827" s="8" t="e">
        <f>+VLOOKUP(I2827,[1]SKU!$H$2:$I$97,2,0)</f>
        <v>#N/A</v>
      </c>
    </row>
    <row r="2828" spans="24:27">
      <c r="X2828" s="8" t="str">
        <f>+IFERROR(VLOOKUP(N2828,[1]Hoja1!$B$2:$F$52,4,0)*P2828,"")</f>
        <v/>
      </c>
      <c r="Y2828" s="8" t="e">
        <f>+VLOOKUP(M2828,[1]SKU!$B$3:$E$81,4,0)</f>
        <v>#N/A</v>
      </c>
      <c r="Z2828" s="8" t="str">
        <f t="shared" si="44"/>
        <v>FLEX</v>
      </c>
      <c r="AA2828" s="8" t="e">
        <f>+VLOOKUP(I2828,[1]SKU!$H$2:$I$97,2,0)</f>
        <v>#N/A</v>
      </c>
    </row>
    <row r="2829" spans="24:27">
      <c r="X2829" s="8" t="str">
        <f>+IFERROR(VLOOKUP(N2829,[1]Hoja1!$B$2:$F$52,4,0)*P2829,"")</f>
        <v/>
      </c>
      <c r="Y2829" s="8" t="e">
        <f>+VLOOKUP(M2829,[1]SKU!$B$3:$E$81,4,0)</f>
        <v>#N/A</v>
      </c>
      <c r="Z2829" s="8" t="str">
        <f t="shared" si="44"/>
        <v>FLEX</v>
      </c>
      <c r="AA2829" s="8" t="e">
        <f>+VLOOKUP(I2829,[1]SKU!$H$2:$I$97,2,0)</f>
        <v>#N/A</v>
      </c>
    </row>
    <row r="2830" spans="24:27">
      <c r="X2830" s="8" t="str">
        <f>+IFERROR(VLOOKUP(N2830,[1]Hoja1!$B$2:$F$52,4,0)*P2830,"")</f>
        <v/>
      </c>
      <c r="Y2830" s="8" t="e">
        <f>+VLOOKUP(M2830,[1]SKU!$B$3:$E$81,4,0)</f>
        <v>#N/A</v>
      </c>
      <c r="Z2830" s="8" t="str">
        <f t="shared" si="44"/>
        <v>FLEX</v>
      </c>
      <c r="AA2830" s="8" t="e">
        <f>+VLOOKUP(I2830,[1]SKU!$H$2:$I$97,2,0)</f>
        <v>#N/A</v>
      </c>
    </row>
    <row r="2831" spans="24:27">
      <c r="X2831" s="8" t="str">
        <f>+IFERROR(VLOOKUP(N2831,[1]Hoja1!$B$2:$F$52,4,0)*P2831,"")</f>
        <v/>
      </c>
      <c r="Y2831" s="8" t="e">
        <f>+VLOOKUP(M2831,[1]SKU!$B$3:$E$81,4,0)</f>
        <v>#N/A</v>
      </c>
      <c r="Z2831" s="8" t="str">
        <f t="shared" si="44"/>
        <v>FLEX</v>
      </c>
      <c r="AA2831" s="8" t="e">
        <f>+VLOOKUP(I2831,[1]SKU!$H$2:$I$97,2,0)</f>
        <v>#N/A</v>
      </c>
    </row>
    <row r="2832" spans="24:27">
      <c r="X2832" s="8" t="str">
        <f>+IFERROR(VLOOKUP(N2832,[1]Hoja1!$B$2:$F$52,4,0)*P2832,"")</f>
        <v/>
      </c>
      <c r="Y2832" s="8" t="e">
        <f>+VLOOKUP(M2832,[1]SKU!$B$3:$E$81,4,0)</f>
        <v>#N/A</v>
      </c>
      <c r="Z2832" s="8" t="str">
        <f t="shared" si="44"/>
        <v>FLEX</v>
      </c>
      <c r="AA2832" s="8" t="e">
        <f>+VLOOKUP(I2832,[1]SKU!$H$2:$I$97,2,0)</f>
        <v>#N/A</v>
      </c>
    </row>
    <row r="2833" spans="24:27">
      <c r="X2833" s="8" t="str">
        <f>+IFERROR(VLOOKUP(N2833,[1]Hoja1!$B$2:$F$52,4,0)*P2833,"")</f>
        <v/>
      </c>
      <c r="Y2833" s="8" t="e">
        <f>+VLOOKUP(M2833,[1]SKU!$B$3:$E$81,4,0)</f>
        <v>#N/A</v>
      </c>
      <c r="Z2833" s="8" t="str">
        <f t="shared" si="44"/>
        <v>FLEX</v>
      </c>
      <c r="AA2833" s="8" t="e">
        <f>+VLOOKUP(I2833,[1]SKU!$H$2:$I$97,2,0)</f>
        <v>#N/A</v>
      </c>
    </row>
    <row r="2834" spans="24:27">
      <c r="X2834" s="8" t="str">
        <f>+IFERROR(VLOOKUP(N2834,[1]Hoja1!$B$2:$F$52,4,0)*P2834,"")</f>
        <v/>
      </c>
      <c r="Y2834" s="8" t="e">
        <f>+VLOOKUP(M2834,[1]SKU!$B$3:$E$81,4,0)</f>
        <v>#N/A</v>
      </c>
      <c r="Z2834" s="8" t="str">
        <f t="shared" si="44"/>
        <v>FLEX</v>
      </c>
      <c r="AA2834" s="8" t="e">
        <f>+VLOOKUP(I2834,[1]SKU!$H$2:$I$97,2,0)</f>
        <v>#N/A</v>
      </c>
    </row>
    <row r="2835" spans="24:27">
      <c r="X2835" s="8" t="str">
        <f>+IFERROR(VLOOKUP(N2835,[1]Hoja1!$B$2:$F$52,4,0)*P2835,"")</f>
        <v/>
      </c>
      <c r="Y2835" s="8" t="e">
        <f>+VLOOKUP(M2835,[1]SKU!$B$3:$E$81,4,0)</f>
        <v>#N/A</v>
      </c>
      <c r="Z2835" s="8" t="str">
        <f t="shared" si="44"/>
        <v>FLEX</v>
      </c>
      <c r="AA2835" s="8" t="e">
        <f>+VLOOKUP(I2835,[1]SKU!$H$2:$I$97,2,0)</f>
        <v>#N/A</v>
      </c>
    </row>
    <row r="2836" spans="24:27">
      <c r="X2836" s="8" t="str">
        <f>+IFERROR(VLOOKUP(N2836,[1]Hoja1!$B$2:$F$52,4,0)*P2836,"")</f>
        <v/>
      </c>
      <c r="Y2836" s="8" t="e">
        <f>+VLOOKUP(M2836,[1]SKU!$B$3:$E$81,4,0)</f>
        <v>#N/A</v>
      </c>
      <c r="Z2836" s="8" t="str">
        <f t="shared" si="44"/>
        <v>FLEX</v>
      </c>
      <c r="AA2836" s="8" t="e">
        <f>+VLOOKUP(I2836,[1]SKU!$H$2:$I$97,2,0)</f>
        <v>#N/A</v>
      </c>
    </row>
    <row r="2837" spans="24:27">
      <c r="X2837" s="8" t="str">
        <f>+IFERROR(VLOOKUP(N2837,[1]Hoja1!$B$2:$F$52,4,0)*P2837,"")</f>
        <v/>
      </c>
      <c r="Y2837" s="8" t="e">
        <f>+VLOOKUP(M2837,[1]SKU!$B$3:$E$81,4,0)</f>
        <v>#N/A</v>
      </c>
      <c r="Z2837" s="8" t="str">
        <f t="shared" si="44"/>
        <v>FLEX</v>
      </c>
      <c r="AA2837" s="8" t="e">
        <f>+VLOOKUP(I2837,[1]SKU!$H$2:$I$97,2,0)</f>
        <v>#N/A</v>
      </c>
    </row>
    <row r="2838" spans="24:27">
      <c r="X2838" s="8" t="str">
        <f>+IFERROR(VLOOKUP(N2838,[1]Hoja1!$B$2:$F$52,4,0)*P2838,"")</f>
        <v/>
      </c>
      <c r="Y2838" s="8" t="e">
        <f>+VLOOKUP(M2838,[1]SKU!$B$3:$E$81,4,0)</f>
        <v>#N/A</v>
      </c>
      <c r="Z2838" s="8" t="str">
        <f t="shared" si="44"/>
        <v>FLEX</v>
      </c>
      <c r="AA2838" s="8" t="e">
        <f>+VLOOKUP(I2838,[1]SKU!$H$2:$I$97,2,0)</f>
        <v>#N/A</v>
      </c>
    </row>
    <row r="2839" spans="24:27">
      <c r="X2839" s="8" t="str">
        <f>+IFERROR(VLOOKUP(N2839,[1]Hoja1!$B$2:$F$52,4,0)*P2839,"")</f>
        <v/>
      </c>
      <c r="Y2839" s="8" t="e">
        <f>+VLOOKUP(M2839,[1]SKU!$B$3:$E$81,4,0)</f>
        <v>#N/A</v>
      </c>
      <c r="Z2839" s="8" t="str">
        <f t="shared" si="44"/>
        <v>FLEX</v>
      </c>
      <c r="AA2839" s="8" t="e">
        <f>+VLOOKUP(I2839,[1]SKU!$H$2:$I$97,2,0)</f>
        <v>#N/A</v>
      </c>
    </row>
    <row r="2840" spans="24:27">
      <c r="X2840" s="8" t="str">
        <f>+IFERROR(VLOOKUP(N2840,[1]Hoja1!$B$2:$F$52,4,0)*P2840,"")</f>
        <v/>
      </c>
      <c r="Y2840" s="8" t="e">
        <f>+VLOOKUP(M2840,[1]SKU!$B$3:$E$81,4,0)</f>
        <v>#N/A</v>
      </c>
      <c r="Z2840" s="8" t="str">
        <f t="shared" si="44"/>
        <v>FLEX</v>
      </c>
      <c r="AA2840" s="8" t="e">
        <f>+VLOOKUP(I2840,[1]SKU!$H$2:$I$97,2,0)</f>
        <v>#N/A</v>
      </c>
    </row>
    <row r="2841" spans="24:27">
      <c r="X2841" s="8" t="str">
        <f>+IFERROR(VLOOKUP(N2841,[1]Hoja1!$B$2:$F$52,4,0)*P2841,"")</f>
        <v/>
      </c>
      <c r="Y2841" s="8" t="e">
        <f>+VLOOKUP(M2841,[1]SKU!$B$3:$E$81,4,0)</f>
        <v>#N/A</v>
      </c>
      <c r="Z2841" s="8" t="str">
        <f t="shared" si="44"/>
        <v>FLEX</v>
      </c>
      <c r="AA2841" s="8" t="e">
        <f>+VLOOKUP(I2841,[1]SKU!$H$2:$I$97,2,0)</f>
        <v>#N/A</v>
      </c>
    </row>
    <row r="2842" spans="24:27">
      <c r="X2842" s="8" t="str">
        <f>+IFERROR(VLOOKUP(N2842,[1]Hoja1!$B$2:$F$52,4,0)*P2842,"")</f>
        <v/>
      </c>
      <c r="Y2842" s="8" t="e">
        <f>+VLOOKUP(M2842,[1]SKU!$B$3:$E$81,4,0)</f>
        <v>#N/A</v>
      </c>
      <c r="Z2842" s="8" t="str">
        <f t="shared" si="44"/>
        <v>FLEX</v>
      </c>
      <c r="AA2842" s="8" t="e">
        <f>+VLOOKUP(I2842,[1]SKU!$H$2:$I$97,2,0)</f>
        <v>#N/A</v>
      </c>
    </row>
    <row r="2843" spans="24:27">
      <c r="X2843" s="8" t="str">
        <f>+IFERROR(VLOOKUP(N2843,[1]Hoja1!$B$2:$F$52,4,0)*P2843,"")</f>
        <v/>
      </c>
      <c r="Y2843" s="8" t="e">
        <f>+VLOOKUP(M2843,[1]SKU!$B$3:$E$81,4,0)</f>
        <v>#N/A</v>
      </c>
      <c r="Z2843" s="8" t="str">
        <f t="shared" si="44"/>
        <v>FLEX</v>
      </c>
      <c r="AA2843" s="8" t="e">
        <f>+VLOOKUP(I2843,[1]SKU!$H$2:$I$97,2,0)</f>
        <v>#N/A</v>
      </c>
    </row>
    <row r="2844" spans="24:27">
      <c r="X2844" s="8" t="str">
        <f>+IFERROR(VLOOKUP(N2844,[1]Hoja1!$B$2:$F$52,4,0)*P2844,"")</f>
        <v/>
      </c>
      <c r="Y2844" s="8" t="e">
        <f>+VLOOKUP(M2844,[1]SKU!$B$3:$E$81,4,0)</f>
        <v>#N/A</v>
      </c>
      <c r="Z2844" s="8" t="str">
        <f t="shared" si="44"/>
        <v>FLEX</v>
      </c>
      <c r="AA2844" s="8" t="e">
        <f>+VLOOKUP(I2844,[1]SKU!$H$2:$I$97,2,0)</f>
        <v>#N/A</v>
      </c>
    </row>
    <row r="2845" spans="24:27">
      <c r="X2845" s="8" t="str">
        <f>+IFERROR(VLOOKUP(N2845,[1]Hoja1!$B$2:$F$52,4,0)*P2845,"")</f>
        <v/>
      </c>
      <c r="Y2845" s="8" t="e">
        <f>+VLOOKUP(M2845,[1]SKU!$B$3:$E$81,4,0)</f>
        <v>#N/A</v>
      </c>
      <c r="Z2845" s="8" t="str">
        <f t="shared" si="44"/>
        <v>FLEX</v>
      </c>
      <c r="AA2845" s="8" t="e">
        <f>+VLOOKUP(I2845,[1]SKU!$H$2:$I$97,2,0)</f>
        <v>#N/A</v>
      </c>
    </row>
    <row r="2846" spans="24:27">
      <c r="X2846" s="8" t="str">
        <f>+IFERROR(VLOOKUP(N2846,[1]Hoja1!$B$2:$F$52,4,0)*P2846,"")</f>
        <v/>
      </c>
      <c r="Y2846" s="8" t="e">
        <f>+VLOOKUP(M2846,[1]SKU!$B$3:$E$81,4,0)</f>
        <v>#N/A</v>
      </c>
      <c r="Z2846" s="8" t="str">
        <f t="shared" si="44"/>
        <v>FLEX</v>
      </c>
      <c r="AA2846" s="8" t="e">
        <f>+VLOOKUP(I2846,[1]SKU!$H$2:$I$97,2,0)</f>
        <v>#N/A</v>
      </c>
    </row>
    <row r="2847" spans="24:27">
      <c r="X2847" s="8" t="str">
        <f>+IFERROR(VLOOKUP(N2847,[1]Hoja1!$B$2:$F$52,4,0)*P2847,"")</f>
        <v/>
      </c>
      <c r="Y2847" s="8" t="e">
        <f>+VLOOKUP(M2847,[1]SKU!$B$3:$E$81,4,0)</f>
        <v>#N/A</v>
      </c>
      <c r="Z2847" s="8" t="str">
        <f t="shared" si="44"/>
        <v>FLEX</v>
      </c>
      <c r="AA2847" s="8" t="e">
        <f>+VLOOKUP(I2847,[1]SKU!$H$2:$I$97,2,0)</f>
        <v>#N/A</v>
      </c>
    </row>
    <row r="2848" spans="24:27">
      <c r="X2848" s="8" t="str">
        <f>+IFERROR(VLOOKUP(N2848,[1]Hoja1!$B$2:$F$52,4,0)*P2848,"")</f>
        <v/>
      </c>
      <c r="Y2848" s="8" t="e">
        <f>+VLOOKUP(M2848,[1]SKU!$B$3:$E$81,4,0)</f>
        <v>#N/A</v>
      </c>
      <c r="Z2848" s="8" t="str">
        <f t="shared" si="44"/>
        <v>FLEX</v>
      </c>
      <c r="AA2848" s="8" t="e">
        <f>+VLOOKUP(I2848,[1]SKU!$H$2:$I$97,2,0)</f>
        <v>#N/A</v>
      </c>
    </row>
    <row r="2849" spans="24:27">
      <c r="X2849" s="8" t="str">
        <f>+IFERROR(VLOOKUP(N2849,[1]Hoja1!$B$2:$F$52,4,0)*P2849,"")</f>
        <v/>
      </c>
      <c r="Y2849" s="8" t="e">
        <f>+VLOOKUP(M2849,[1]SKU!$B$3:$E$81,4,0)</f>
        <v>#N/A</v>
      </c>
      <c r="Z2849" s="8" t="str">
        <f t="shared" si="44"/>
        <v>FLEX</v>
      </c>
      <c r="AA2849" s="8" t="e">
        <f>+VLOOKUP(I2849,[1]SKU!$H$2:$I$97,2,0)</f>
        <v>#N/A</v>
      </c>
    </row>
    <row r="2850" spans="24:27">
      <c r="X2850" s="8" t="str">
        <f>+IFERROR(VLOOKUP(N2850,[1]Hoja1!$B$2:$F$52,4,0)*P2850,"")</f>
        <v/>
      </c>
      <c r="Y2850" s="8" t="e">
        <f>+VLOOKUP(M2850,[1]SKU!$B$3:$E$81,4,0)</f>
        <v>#N/A</v>
      </c>
      <c r="Z2850" s="8" t="str">
        <f t="shared" si="44"/>
        <v>FLEX</v>
      </c>
      <c r="AA2850" s="8" t="e">
        <f>+VLOOKUP(I2850,[1]SKU!$H$2:$I$97,2,0)</f>
        <v>#N/A</v>
      </c>
    </row>
    <row r="2851" spans="24:27">
      <c r="X2851" s="8" t="str">
        <f>+IFERROR(VLOOKUP(N2851,[1]Hoja1!$B$2:$F$52,4,0)*P2851,"")</f>
        <v/>
      </c>
      <c r="Y2851" s="8" t="e">
        <f>+VLOOKUP(M2851,[1]SKU!$B$3:$E$81,4,0)</f>
        <v>#N/A</v>
      </c>
      <c r="Z2851" s="8" t="str">
        <f t="shared" si="44"/>
        <v>FLEX</v>
      </c>
      <c r="AA2851" s="8" t="e">
        <f>+VLOOKUP(I2851,[1]SKU!$H$2:$I$97,2,0)</f>
        <v>#N/A</v>
      </c>
    </row>
    <row r="2852" spans="24:27">
      <c r="X2852" s="8" t="str">
        <f>+IFERROR(VLOOKUP(N2852,[1]Hoja1!$B$2:$F$52,4,0)*P2852,"")</f>
        <v/>
      </c>
      <c r="Y2852" s="8" t="e">
        <f>+VLOOKUP(M2852,[1]SKU!$B$3:$E$81,4,0)</f>
        <v>#N/A</v>
      </c>
      <c r="Z2852" s="8" t="str">
        <f t="shared" si="44"/>
        <v>FLEX</v>
      </c>
      <c r="AA2852" s="8" t="e">
        <f>+VLOOKUP(I2852,[1]SKU!$H$2:$I$97,2,0)</f>
        <v>#N/A</v>
      </c>
    </row>
    <row r="2853" spans="24:27">
      <c r="X2853" s="8" t="str">
        <f>+IFERROR(VLOOKUP(N2853,[1]Hoja1!$B$2:$F$52,4,0)*P2853,"")</f>
        <v/>
      </c>
      <c r="Y2853" s="8" t="e">
        <f>+VLOOKUP(M2853,[1]SKU!$B$3:$E$81,4,0)</f>
        <v>#N/A</v>
      </c>
      <c r="Z2853" s="8" t="str">
        <f t="shared" si="44"/>
        <v>FLEX</v>
      </c>
      <c r="AA2853" s="8" t="e">
        <f>+VLOOKUP(I2853,[1]SKU!$H$2:$I$97,2,0)</f>
        <v>#N/A</v>
      </c>
    </row>
    <row r="2854" spans="24:27">
      <c r="X2854" s="8" t="str">
        <f>+IFERROR(VLOOKUP(N2854,[1]Hoja1!$B$2:$F$52,4,0)*P2854,"")</f>
        <v/>
      </c>
      <c r="Y2854" s="8" t="e">
        <f>+VLOOKUP(M2854,[1]SKU!$B$3:$E$81,4,0)</f>
        <v>#N/A</v>
      </c>
      <c r="Z2854" s="8" t="str">
        <f t="shared" si="44"/>
        <v>FLEX</v>
      </c>
      <c r="AA2854" s="8" t="e">
        <f>+VLOOKUP(I2854,[1]SKU!$H$2:$I$97,2,0)</f>
        <v>#N/A</v>
      </c>
    </row>
    <row r="2855" spans="24:27">
      <c r="X2855" s="8" t="str">
        <f>+IFERROR(VLOOKUP(N2855,[1]Hoja1!$B$2:$F$52,4,0)*P2855,"")</f>
        <v/>
      </c>
      <c r="Y2855" s="8" t="e">
        <f>+VLOOKUP(M2855,[1]SKU!$B$3:$E$81,4,0)</f>
        <v>#N/A</v>
      </c>
      <c r="Z2855" s="8" t="str">
        <f t="shared" si="44"/>
        <v>FLEX</v>
      </c>
      <c r="AA2855" s="8" t="e">
        <f>+VLOOKUP(I2855,[1]SKU!$H$2:$I$97,2,0)</f>
        <v>#N/A</v>
      </c>
    </row>
    <row r="2856" spans="24:27">
      <c r="X2856" s="8" t="str">
        <f>+IFERROR(VLOOKUP(N2856,[1]Hoja1!$B$2:$F$52,4,0)*P2856,"")</f>
        <v/>
      </c>
      <c r="Y2856" s="8" t="e">
        <f>+VLOOKUP(M2856,[1]SKU!$B$3:$E$81,4,0)</f>
        <v>#N/A</v>
      </c>
      <c r="Z2856" s="8" t="str">
        <f t="shared" si="44"/>
        <v>FLEX</v>
      </c>
      <c r="AA2856" s="8" t="e">
        <f>+VLOOKUP(I2856,[1]SKU!$H$2:$I$97,2,0)</f>
        <v>#N/A</v>
      </c>
    </row>
    <row r="2857" spans="24:27">
      <c r="X2857" s="8" t="str">
        <f>+IFERROR(VLOOKUP(N2857,[1]Hoja1!$B$2:$F$52,4,0)*P2857,"")</f>
        <v/>
      </c>
      <c r="Y2857" s="8" t="e">
        <f>+VLOOKUP(M2857,[1]SKU!$B$3:$E$81,4,0)</f>
        <v>#N/A</v>
      </c>
      <c r="Z2857" s="8" t="str">
        <f t="shared" si="44"/>
        <v>FLEX</v>
      </c>
      <c r="AA2857" s="8" t="e">
        <f>+VLOOKUP(I2857,[1]SKU!$H$2:$I$97,2,0)</f>
        <v>#N/A</v>
      </c>
    </row>
    <row r="2858" spans="24:27">
      <c r="X2858" s="8" t="str">
        <f>+IFERROR(VLOOKUP(N2858,[1]Hoja1!$B$2:$F$52,4,0)*P2858,"")</f>
        <v/>
      </c>
      <c r="Y2858" s="8" t="e">
        <f>+VLOOKUP(M2858,[1]SKU!$B$3:$E$81,4,0)</f>
        <v>#N/A</v>
      </c>
      <c r="Z2858" s="8" t="str">
        <f t="shared" si="44"/>
        <v>FLEX</v>
      </c>
      <c r="AA2858" s="8" t="e">
        <f>+VLOOKUP(I2858,[1]SKU!$H$2:$I$97,2,0)</f>
        <v>#N/A</v>
      </c>
    </row>
    <row r="2859" spans="24:27">
      <c r="X2859" s="8" t="str">
        <f>+IFERROR(VLOOKUP(N2859,[1]Hoja1!$B$2:$F$52,4,0)*P2859,"")</f>
        <v/>
      </c>
      <c r="Y2859" s="8" t="e">
        <f>+VLOOKUP(M2859,[1]SKU!$B$3:$E$81,4,0)</f>
        <v>#N/A</v>
      </c>
      <c r="Z2859" s="8" t="str">
        <f t="shared" si="44"/>
        <v>FLEX</v>
      </c>
      <c r="AA2859" s="8" t="e">
        <f>+VLOOKUP(I2859,[1]SKU!$H$2:$I$97,2,0)</f>
        <v>#N/A</v>
      </c>
    </row>
    <row r="2860" spans="24:27">
      <c r="X2860" s="8" t="str">
        <f>+IFERROR(VLOOKUP(N2860,[1]Hoja1!$B$2:$F$52,4,0)*P2860,"")</f>
        <v/>
      </c>
      <c r="Y2860" s="8" t="e">
        <f>+VLOOKUP(M2860,[1]SKU!$B$3:$E$81,4,0)</f>
        <v>#N/A</v>
      </c>
      <c r="Z2860" s="8" t="str">
        <f t="shared" si="44"/>
        <v>FLEX</v>
      </c>
      <c r="AA2860" s="8" t="e">
        <f>+VLOOKUP(I2860,[1]SKU!$H$2:$I$97,2,0)</f>
        <v>#N/A</v>
      </c>
    </row>
    <row r="2861" spans="24:27">
      <c r="X2861" s="8" t="str">
        <f>+IFERROR(VLOOKUP(N2861,[1]Hoja1!$B$2:$F$52,4,0)*P2861,"")</f>
        <v/>
      </c>
      <c r="Y2861" s="8" t="e">
        <f>+VLOOKUP(M2861,[1]SKU!$B$3:$E$81,4,0)</f>
        <v>#N/A</v>
      </c>
      <c r="Z2861" s="8" t="str">
        <f t="shared" si="44"/>
        <v>FLEX</v>
      </c>
      <c r="AA2861" s="8" t="e">
        <f>+VLOOKUP(I2861,[1]SKU!$H$2:$I$97,2,0)</f>
        <v>#N/A</v>
      </c>
    </row>
    <row r="2862" spans="24:27">
      <c r="X2862" s="8" t="str">
        <f>+IFERROR(VLOOKUP(N2862,[1]Hoja1!$B$2:$F$52,4,0)*P2862,"")</f>
        <v/>
      </c>
      <c r="Y2862" s="8" t="e">
        <f>+VLOOKUP(M2862,[1]SKU!$B$3:$E$81,4,0)</f>
        <v>#N/A</v>
      </c>
      <c r="Z2862" s="8" t="str">
        <f t="shared" si="44"/>
        <v>FLEX</v>
      </c>
      <c r="AA2862" s="8" t="e">
        <f>+VLOOKUP(I2862,[1]SKU!$H$2:$I$97,2,0)</f>
        <v>#N/A</v>
      </c>
    </row>
    <row r="2863" spans="24:27">
      <c r="X2863" s="8" t="str">
        <f>+IFERROR(VLOOKUP(N2863,[1]Hoja1!$B$2:$F$52,4,0)*P2863,"")</f>
        <v/>
      </c>
      <c r="Y2863" s="8" t="e">
        <f>+VLOOKUP(M2863,[1]SKU!$B$3:$E$81,4,0)</f>
        <v>#N/A</v>
      </c>
      <c r="Z2863" s="8" t="str">
        <f t="shared" si="44"/>
        <v>FLEX</v>
      </c>
      <c r="AA2863" s="8" t="e">
        <f>+VLOOKUP(I2863,[1]SKU!$H$2:$I$97,2,0)</f>
        <v>#N/A</v>
      </c>
    </row>
    <row r="2864" spans="24:27">
      <c r="X2864" s="8" t="str">
        <f>+IFERROR(VLOOKUP(N2864,[1]Hoja1!$B$2:$F$52,4,0)*P2864,"")</f>
        <v/>
      </c>
      <c r="Y2864" s="8" t="e">
        <f>+VLOOKUP(M2864,[1]SKU!$B$3:$E$81,4,0)</f>
        <v>#N/A</v>
      </c>
      <c r="Z2864" s="8" t="str">
        <f t="shared" si="44"/>
        <v>FLEX</v>
      </c>
      <c r="AA2864" s="8" t="e">
        <f>+VLOOKUP(I2864,[1]SKU!$H$2:$I$97,2,0)</f>
        <v>#N/A</v>
      </c>
    </row>
    <row r="2865" spans="24:27">
      <c r="X2865" s="8" t="str">
        <f>+IFERROR(VLOOKUP(N2865,[1]Hoja1!$B$2:$F$52,4,0)*P2865,"")</f>
        <v/>
      </c>
      <c r="Y2865" s="8" t="e">
        <f>+VLOOKUP(M2865,[1]SKU!$B$3:$E$81,4,0)</f>
        <v>#N/A</v>
      </c>
      <c r="Z2865" s="8" t="str">
        <f t="shared" si="44"/>
        <v>FLEX</v>
      </c>
      <c r="AA2865" s="8" t="e">
        <f>+VLOOKUP(I2865,[1]SKU!$H$2:$I$97,2,0)</f>
        <v>#N/A</v>
      </c>
    </row>
    <row r="2866" spans="24:27">
      <c r="X2866" s="8" t="str">
        <f>+IFERROR(VLOOKUP(N2866,[1]Hoja1!$B$2:$F$52,4,0)*P2866,"")</f>
        <v/>
      </c>
      <c r="Y2866" s="8" t="e">
        <f>+VLOOKUP(M2866,[1]SKU!$B$3:$E$81,4,0)</f>
        <v>#N/A</v>
      </c>
      <c r="Z2866" s="8" t="str">
        <f t="shared" si="44"/>
        <v>FLEX</v>
      </c>
      <c r="AA2866" s="8" t="e">
        <f>+VLOOKUP(I2866,[1]SKU!$H$2:$I$97,2,0)</f>
        <v>#N/A</v>
      </c>
    </row>
    <row r="2867" spans="24:27">
      <c r="X2867" s="8" t="str">
        <f>+IFERROR(VLOOKUP(N2867,[1]Hoja1!$B$2:$F$52,4,0)*P2867,"")</f>
        <v/>
      </c>
      <c r="Y2867" s="8" t="e">
        <f>+VLOOKUP(M2867,[1]SKU!$B$3:$E$81,4,0)</f>
        <v>#N/A</v>
      </c>
      <c r="Z2867" s="8" t="str">
        <f t="shared" si="44"/>
        <v>FLEX</v>
      </c>
      <c r="AA2867" s="8" t="e">
        <f>+VLOOKUP(I2867,[1]SKU!$H$2:$I$97,2,0)</f>
        <v>#N/A</v>
      </c>
    </row>
    <row r="2868" spans="24:27">
      <c r="X2868" s="8" t="str">
        <f>+IFERROR(VLOOKUP(N2868,[1]Hoja1!$B$2:$F$52,4,0)*P2868,"")</f>
        <v/>
      </c>
      <c r="Y2868" s="8" t="e">
        <f>+VLOOKUP(M2868,[1]SKU!$B$3:$E$81,4,0)</f>
        <v>#N/A</v>
      </c>
      <c r="Z2868" s="8" t="str">
        <f t="shared" si="44"/>
        <v>FLEX</v>
      </c>
      <c r="AA2868" s="8" t="e">
        <f>+VLOOKUP(I2868,[1]SKU!$H$2:$I$97,2,0)</f>
        <v>#N/A</v>
      </c>
    </row>
    <row r="2869" spans="24:27">
      <c r="X2869" s="8" t="str">
        <f>+IFERROR(VLOOKUP(N2869,[1]Hoja1!$B$2:$F$52,4,0)*P2869,"")</f>
        <v/>
      </c>
      <c r="Y2869" s="8" t="e">
        <f>+VLOOKUP(M2869,[1]SKU!$B$3:$E$81,4,0)</f>
        <v>#N/A</v>
      </c>
      <c r="Z2869" s="8" t="str">
        <f t="shared" si="44"/>
        <v>FLEX</v>
      </c>
      <c r="AA2869" s="8" t="e">
        <f>+VLOOKUP(I2869,[1]SKU!$H$2:$I$97,2,0)</f>
        <v>#N/A</v>
      </c>
    </row>
    <row r="2870" spans="24:27">
      <c r="X2870" s="8" t="str">
        <f>+IFERROR(VLOOKUP(N2870,[1]Hoja1!$B$2:$F$52,4,0)*P2870,"")</f>
        <v/>
      </c>
      <c r="Y2870" s="8" t="e">
        <f>+VLOOKUP(M2870,[1]SKU!$B$3:$E$81,4,0)</f>
        <v>#N/A</v>
      </c>
      <c r="Z2870" s="8" t="str">
        <f t="shared" si="44"/>
        <v>FLEX</v>
      </c>
      <c r="AA2870" s="8" t="e">
        <f>+VLOOKUP(I2870,[1]SKU!$H$2:$I$97,2,0)</f>
        <v>#N/A</v>
      </c>
    </row>
    <row r="2871" spans="24:27">
      <c r="X2871" s="8" t="str">
        <f>+IFERROR(VLOOKUP(N2871,[1]Hoja1!$B$2:$F$52,4,0)*P2871,"")</f>
        <v/>
      </c>
      <c r="Y2871" s="8" t="e">
        <f>+VLOOKUP(M2871,[1]SKU!$B$3:$E$81,4,0)</f>
        <v>#N/A</v>
      </c>
      <c r="Z2871" s="8" t="str">
        <f t="shared" si="44"/>
        <v>FLEX</v>
      </c>
      <c r="AA2871" s="8" t="e">
        <f>+VLOOKUP(I2871,[1]SKU!$H$2:$I$97,2,0)</f>
        <v>#N/A</v>
      </c>
    </row>
    <row r="2872" spans="24:27">
      <c r="X2872" s="8" t="str">
        <f>+IFERROR(VLOOKUP(N2872,[1]Hoja1!$B$2:$F$52,4,0)*P2872,"")</f>
        <v/>
      </c>
      <c r="Y2872" s="8" t="e">
        <f>+VLOOKUP(M2872,[1]SKU!$B$3:$E$81,4,0)</f>
        <v>#N/A</v>
      </c>
      <c r="Z2872" s="8" t="str">
        <f t="shared" si="44"/>
        <v>FLEX</v>
      </c>
      <c r="AA2872" s="8" t="e">
        <f>+VLOOKUP(I2872,[1]SKU!$H$2:$I$97,2,0)</f>
        <v>#N/A</v>
      </c>
    </row>
    <row r="2873" spans="24:27">
      <c r="X2873" s="8" t="str">
        <f>+IFERROR(VLOOKUP(N2873,[1]Hoja1!$B$2:$F$52,4,0)*P2873,"")</f>
        <v/>
      </c>
      <c r="Y2873" s="8" t="e">
        <f>+VLOOKUP(M2873,[1]SKU!$B$3:$E$81,4,0)</f>
        <v>#N/A</v>
      </c>
      <c r="Z2873" s="8" t="str">
        <f t="shared" si="44"/>
        <v>FLEX</v>
      </c>
      <c r="AA2873" s="8" t="e">
        <f>+VLOOKUP(I2873,[1]SKU!$H$2:$I$97,2,0)</f>
        <v>#N/A</v>
      </c>
    </row>
    <row r="2874" spans="24:27">
      <c r="X2874" s="8" t="str">
        <f>+IFERROR(VLOOKUP(N2874,[1]Hoja1!$B$2:$F$52,4,0)*P2874,"")</f>
        <v/>
      </c>
      <c r="Y2874" s="8" t="e">
        <f>+VLOOKUP(M2874,[1]SKU!$B$3:$E$81,4,0)</f>
        <v>#N/A</v>
      </c>
      <c r="Z2874" s="8" t="str">
        <f t="shared" si="44"/>
        <v>FLEX</v>
      </c>
      <c r="AA2874" s="8" t="e">
        <f>+VLOOKUP(I2874,[1]SKU!$H$2:$I$97,2,0)</f>
        <v>#N/A</v>
      </c>
    </row>
    <row r="2875" spans="24:27">
      <c r="X2875" s="8" t="str">
        <f>+IFERROR(VLOOKUP(N2875,[1]Hoja1!$B$2:$F$52,4,0)*P2875,"")</f>
        <v/>
      </c>
      <c r="Y2875" s="8" t="e">
        <f>+VLOOKUP(M2875,[1]SKU!$B$3:$E$81,4,0)</f>
        <v>#N/A</v>
      </c>
      <c r="Z2875" s="8" t="str">
        <f t="shared" si="44"/>
        <v>FLEX</v>
      </c>
      <c r="AA2875" s="8" t="e">
        <f>+VLOOKUP(I2875,[1]SKU!$H$2:$I$97,2,0)</f>
        <v>#N/A</v>
      </c>
    </row>
    <row r="2876" spans="24:27">
      <c r="X2876" s="8" t="str">
        <f>+IFERROR(VLOOKUP(N2876,[1]Hoja1!$B$2:$F$52,4,0)*P2876,"")</f>
        <v/>
      </c>
      <c r="Y2876" s="8" t="e">
        <f>+VLOOKUP(M2876,[1]SKU!$B$3:$E$81,4,0)</f>
        <v>#N/A</v>
      </c>
      <c r="Z2876" s="8" t="str">
        <f t="shared" si="44"/>
        <v>FLEX</v>
      </c>
      <c r="AA2876" s="8" t="e">
        <f>+VLOOKUP(I2876,[1]SKU!$H$2:$I$97,2,0)</f>
        <v>#N/A</v>
      </c>
    </row>
    <row r="2877" spans="24:27">
      <c r="X2877" s="8" t="str">
        <f>+IFERROR(VLOOKUP(N2877,[1]Hoja1!$B$2:$F$52,4,0)*P2877,"")</f>
        <v/>
      </c>
      <c r="Y2877" s="8" t="e">
        <f>+VLOOKUP(M2877,[1]SKU!$B$3:$E$81,4,0)</f>
        <v>#N/A</v>
      </c>
      <c r="Z2877" s="8" t="str">
        <f t="shared" si="44"/>
        <v>FLEX</v>
      </c>
      <c r="AA2877" s="8" t="e">
        <f>+VLOOKUP(I2877,[1]SKU!$H$2:$I$97,2,0)</f>
        <v>#N/A</v>
      </c>
    </row>
    <row r="2878" spans="24:27">
      <c r="X2878" s="8" t="str">
        <f>+IFERROR(VLOOKUP(N2878,[1]Hoja1!$B$2:$F$52,4,0)*P2878,"")</f>
        <v/>
      </c>
      <c r="Y2878" s="8" t="e">
        <f>+VLOOKUP(M2878,[1]SKU!$B$3:$E$81,4,0)</f>
        <v>#N/A</v>
      </c>
      <c r="Z2878" s="8" t="str">
        <f t="shared" si="44"/>
        <v>FLEX</v>
      </c>
      <c r="AA2878" s="8" t="e">
        <f>+VLOOKUP(I2878,[1]SKU!$H$2:$I$97,2,0)</f>
        <v>#N/A</v>
      </c>
    </row>
    <row r="2879" spans="24:27">
      <c r="X2879" s="8" t="str">
        <f>+IFERROR(VLOOKUP(N2879,[1]Hoja1!$B$2:$F$52,4,0)*P2879,"")</f>
        <v/>
      </c>
      <c r="Y2879" s="8" t="e">
        <f>+VLOOKUP(M2879,[1]SKU!$B$3:$E$81,4,0)</f>
        <v>#N/A</v>
      </c>
      <c r="Z2879" s="8" t="str">
        <f t="shared" si="44"/>
        <v>FLEX</v>
      </c>
      <c r="AA2879" s="8" t="e">
        <f>+VLOOKUP(I2879,[1]SKU!$H$2:$I$97,2,0)</f>
        <v>#N/A</v>
      </c>
    </row>
    <row r="2880" spans="24:27">
      <c r="X2880" s="8" t="str">
        <f>+IFERROR(VLOOKUP(N2880,[1]Hoja1!$B$2:$F$52,4,0)*P2880,"")</f>
        <v/>
      </c>
      <c r="Y2880" s="8" t="e">
        <f>+VLOOKUP(M2880,[1]SKU!$B$3:$E$81,4,0)</f>
        <v>#N/A</v>
      </c>
      <c r="Z2880" s="8" t="str">
        <f t="shared" si="44"/>
        <v>FLEX</v>
      </c>
      <c r="AA2880" s="8" t="e">
        <f>+VLOOKUP(I2880,[1]SKU!$H$2:$I$97,2,0)</f>
        <v>#N/A</v>
      </c>
    </row>
    <row r="2881" spans="24:27">
      <c r="X2881" s="8" t="str">
        <f>+IFERROR(VLOOKUP(N2881,[1]Hoja1!$B$2:$F$52,4,0)*P2881,"")</f>
        <v/>
      </c>
      <c r="Y2881" s="8" t="e">
        <f>+VLOOKUP(M2881,[1]SKU!$B$3:$E$81,4,0)</f>
        <v>#N/A</v>
      </c>
      <c r="Z2881" s="8" t="str">
        <f t="shared" si="44"/>
        <v>FLEX</v>
      </c>
      <c r="AA2881" s="8" t="e">
        <f>+VLOOKUP(I2881,[1]SKU!$H$2:$I$97,2,0)</f>
        <v>#N/A</v>
      </c>
    </row>
    <row r="2882" spans="24:27">
      <c r="X2882" s="8" t="str">
        <f>+IFERROR(VLOOKUP(N2882,[1]Hoja1!$B$2:$F$52,4,0)*P2882,"")</f>
        <v/>
      </c>
      <c r="Y2882" s="8" t="e">
        <f>+VLOOKUP(M2882,[1]SKU!$B$3:$E$81,4,0)</f>
        <v>#N/A</v>
      </c>
      <c r="Z2882" s="8" t="str">
        <f t="shared" si="44"/>
        <v>FLEX</v>
      </c>
      <c r="AA2882" s="8" t="e">
        <f>+VLOOKUP(I2882,[1]SKU!$H$2:$I$97,2,0)</f>
        <v>#N/A</v>
      </c>
    </row>
    <row r="2883" spans="24:27">
      <c r="X2883" s="8" t="str">
        <f>+IFERROR(VLOOKUP(N2883,[1]Hoja1!$B$2:$F$52,4,0)*P2883,"")</f>
        <v/>
      </c>
      <c r="Y2883" s="8" t="e">
        <f>+VLOOKUP(M2883,[1]SKU!$B$3:$E$81,4,0)</f>
        <v>#N/A</v>
      </c>
      <c r="Z2883" s="8" t="str">
        <f t="shared" ref="Z2883:Z2946" si="45">+IF(J2883="VB01                          ","BEES","FLEX")</f>
        <v>FLEX</v>
      </c>
      <c r="AA2883" s="8" t="e">
        <f>+VLOOKUP(I2883,[1]SKU!$H$2:$I$97,2,0)</f>
        <v>#N/A</v>
      </c>
    </row>
    <row r="2884" spans="24:27">
      <c r="X2884" s="8" t="str">
        <f>+IFERROR(VLOOKUP(N2884,[1]Hoja1!$B$2:$F$52,4,0)*P2884,"")</f>
        <v/>
      </c>
      <c r="Y2884" s="8" t="e">
        <f>+VLOOKUP(M2884,[1]SKU!$B$3:$E$81,4,0)</f>
        <v>#N/A</v>
      </c>
      <c r="Z2884" s="8" t="str">
        <f t="shared" si="45"/>
        <v>FLEX</v>
      </c>
      <c r="AA2884" s="8" t="e">
        <f>+VLOOKUP(I2884,[1]SKU!$H$2:$I$97,2,0)</f>
        <v>#N/A</v>
      </c>
    </row>
    <row r="2885" spans="24:27">
      <c r="X2885" s="8" t="str">
        <f>+IFERROR(VLOOKUP(N2885,[1]Hoja1!$B$2:$F$52,4,0)*P2885,"")</f>
        <v/>
      </c>
      <c r="Y2885" s="8" t="e">
        <f>+VLOOKUP(M2885,[1]SKU!$B$3:$E$81,4,0)</f>
        <v>#N/A</v>
      </c>
      <c r="Z2885" s="8" t="str">
        <f t="shared" si="45"/>
        <v>FLEX</v>
      </c>
      <c r="AA2885" s="8" t="e">
        <f>+VLOOKUP(I2885,[1]SKU!$H$2:$I$97,2,0)</f>
        <v>#N/A</v>
      </c>
    </row>
    <row r="2886" spans="24:27">
      <c r="X2886" s="8" t="str">
        <f>+IFERROR(VLOOKUP(N2886,[1]Hoja1!$B$2:$F$52,4,0)*P2886,"")</f>
        <v/>
      </c>
      <c r="Y2886" s="8" t="e">
        <f>+VLOOKUP(M2886,[1]SKU!$B$3:$E$81,4,0)</f>
        <v>#N/A</v>
      </c>
      <c r="Z2886" s="8" t="str">
        <f t="shared" si="45"/>
        <v>FLEX</v>
      </c>
      <c r="AA2886" s="8" t="e">
        <f>+VLOOKUP(I2886,[1]SKU!$H$2:$I$97,2,0)</f>
        <v>#N/A</v>
      </c>
    </row>
    <row r="2887" spans="24:27">
      <c r="X2887" s="8" t="str">
        <f>+IFERROR(VLOOKUP(N2887,[1]Hoja1!$B$2:$F$52,4,0)*P2887,"")</f>
        <v/>
      </c>
      <c r="Y2887" s="8" t="e">
        <f>+VLOOKUP(M2887,[1]SKU!$B$3:$E$81,4,0)</f>
        <v>#N/A</v>
      </c>
      <c r="Z2887" s="8" t="str">
        <f t="shared" si="45"/>
        <v>FLEX</v>
      </c>
      <c r="AA2887" s="8" t="e">
        <f>+VLOOKUP(I2887,[1]SKU!$H$2:$I$97,2,0)</f>
        <v>#N/A</v>
      </c>
    </row>
    <row r="2888" spans="24:27">
      <c r="X2888" s="8" t="str">
        <f>+IFERROR(VLOOKUP(N2888,[1]Hoja1!$B$2:$F$52,4,0)*P2888,"")</f>
        <v/>
      </c>
      <c r="Y2888" s="8" t="e">
        <f>+VLOOKUP(M2888,[1]SKU!$B$3:$E$81,4,0)</f>
        <v>#N/A</v>
      </c>
      <c r="Z2888" s="8" t="str">
        <f t="shared" si="45"/>
        <v>FLEX</v>
      </c>
      <c r="AA2888" s="8" t="e">
        <f>+VLOOKUP(I2888,[1]SKU!$H$2:$I$97,2,0)</f>
        <v>#N/A</v>
      </c>
    </row>
    <row r="2889" spans="24:27">
      <c r="X2889" s="8" t="str">
        <f>+IFERROR(VLOOKUP(N2889,[1]Hoja1!$B$2:$F$52,4,0)*P2889,"")</f>
        <v/>
      </c>
      <c r="Y2889" s="8" t="e">
        <f>+VLOOKUP(M2889,[1]SKU!$B$3:$E$81,4,0)</f>
        <v>#N/A</v>
      </c>
      <c r="Z2889" s="8" t="str">
        <f t="shared" si="45"/>
        <v>FLEX</v>
      </c>
      <c r="AA2889" s="8" t="e">
        <f>+VLOOKUP(I2889,[1]SKU!$H$2:$I$97,2,0)</f>
        <v>#N/A</v>
      </c>
    </row>
    <row r="2890" spans="24:27">
      <c r="X2890" s="8" t="str">
        <f>+IFERROR(VLOOKUP(N2890,[1]Hoja1!$B$2:$F$52,4,0)*P2890,"")</f>
        <v/>
      </c>
      <c r="Y2890" s="8" t="e">
        <f>+VLOOKUP(M2890,[1]SKU!$B$3:$E$81,4,0)</f>
        <v>#N/A</v>
      </c>
      <c r="Z2890" s="8" t="str">
        <f t="shared" si="45"/>
        <v>FLEX</v>
      </c>
      <c r="AA2890" s="8" t="e">
        <f>+VLOOKUP(I2890,[1]SKU!$H$2:$I$97,2,0)</f>
        <v>#N/A</v>
      </c>
    </row>
    <row r="2891" spans="24:27">
      <c r="X2891" s="8" t="str">
        <f>+IFERROR(VLOOKUP(N2891,[1]Hoja1!$B$2:$F$52,4,0)*P2891,"")</f>
        <v/>
      </c>
      <c r="Y2891" s="8" t="e">
        <f>+VLOOKUP(M2891,[1]SKU!$B$3:$E$81,4,0)</f>
        <v>#N/A</v>
      </c>
      <c r="Z2891" s="8" t="str">
        <f t="shared" si="45"/>
        <v>FLEX</v>
      </c>
      <c r="AA2891" s="8" t="e">
        <f>+VLOOKUP(I2891,[1]SKU!$H$2:$I$97,2,0)</f>
        <v>#N/A</v>
      </c>
    </row>
    <row r="2892" spans="24:27">
      <c r="X2892" s="8" t="str">
        <f>+IFERROR(VLOOKUP(N2892,[1]Hoja1!$B$2:$F$52,4,0)*P2892,"")</f>
        <v/>
      </c>
      <c r="Y2892" s="8" t="e">
        <f>+VLOOKUP(M2892,[1]SKU!$B$3:$E$81,4,0)</f>
        <v>#N/A</v>
      </c>
      <c r="Z2892" s="8" t="str">
        <f t="shared" si="45"/>
        <v>FLEX</v>
      </c>
      <c r="AA2892" s="8" t="e">
        <f>+VLOOKUP(I2892,[1]SKU!$H$2:$I$97,2,0)</f>
        <v>#N/A</v>
      </c>
    </row>
    <row r="2893" spans="24:27">
      <c r="X2893" s="8" t="str">
        <f>+IFERROR(VLOOKUP(N2893,[1]Hoja1!$B$2:$F$52,4,0)*P2893,"")</f>
        <v/>
      </c>
      <c r="Y2893" s="8" t="e">
        <f>+VLOOKUP(M2893,[1]SKU!$B$3:$E$81,4,0)</f>
        <v>#N/A</v>
      </c>
      <c r="Z2893" s="8" t="str">
        <f t="shared" si="45"/>
        <v>FLEX</v>
      </c>
      <c r="AA2893" s="8" t="e">
        <f>+VLOOKUP(I2893,[1]SKU!$H$2:$I$97,2,0)</f>
        <v>#N/A</v>
      </c>
    </row>
    <row r="2894" spans="24:27">
      <c r="X2894" s="8" t="str">
        <f>+IFERROR(VLOOKUP(N2894,[1]Hoja1!$B$2:$F$52,4,0)*P2894,"")</f>
        <v/>
      </c>
      <c r="Y2894" s="8" t="e">
        <f>+VLOOKUP(M2894,[1]SKU!$B$3:$E$81,4,0)</f>
        <v>#N/A</v>
      </c>
      <c r="Z2894" s="8" t="str">
        <f t="shared" si="45"/>
        <v>FLEX</v>
      </c>
      <c r="AA2894" s="8" t="e">
        <f>+VLOOKUP(I2894,[1]SKU!$H$2:$I$97,2,0)</f>
        <v>#N/A</v>
      </c>
    </row>
    <row r="2895" spans="24:27">
      <c r="X2895" s="8" t="str">
        <f>+IFERROR(VLOOKUP(N2895,[1]Hoja1!$B$2:$F$52,4,0)*P2895,"")</f>
        <v/>
      </c>
      <c r="Y2895" s="8" t="e">
        <f>+VLOOKUP(M2895,[1]SKU!$B$3:$E$81,4,0)</f>
        <v>#N/A</v>
      </c>
      <c r="Z2895" s="8" t="str">
        <f t="shared" si="45"/>
        <v>FLEX</v>
      </c>
      <c r="AA2895" s="8" t="e">
        <f>+VLOOKUP(I2895,[1]SKU!$H$2:$I$97,2,0)</f>
        <v>#N/A</v>
      </c>
    </row>
    <row r="2896" spans="24:27">
      <c r="X2896" s="8" t="str">
        <f>+IFERROR(VLOOKUP(N2896,[1]Hoja1!$B$2:$F$52,4,0)*P2896,"")</f>
        <v/>
      </c>
      <c r="Y2896" s="8" t="e">
        <f>+VLOOKUP(M2896,[1]SKU!$B$3:$E$81,4,0)</f>
        <v>#N/A</v>
      </c>
      <c r="Z2896" s="8" t="str">
        <f t="shared" si="45"/>
        <v>FLEX</v>
      </c>
      <c r="AA2896" s="8" t="e">
        <f>+VLOOKUP(I2896,[1]SKU!$H$2:$I$97,2,0)</f>
        <v>#N/A</v>
      </c>
    </row>
    <row r="2897" spans="24:27">
      <c r="X2897" s="8" t="str">
        <f>+IFERROR(VLOOKUP(N2897,[1]Hoja1!$B$2:$F$52,4,0)*P2897,"")</f>
        <v/>
      </c>
      <c r="Y2897" s="8" t="e">
        <f>+VLOOKUP(M2897,[1]SKU!$B$3:$E$81,4,0)</f>
        <v>#N/A</v>
      </c>
      <c r="Z2897" s="8" t="str">
        <f t="shared" si="45"/>
        <v>FLEX</v>
      </c>
      <c r="AA2897" s="8" t="e">
        <f>+VLOOKUP(I2897,[1]SKU!$H$2:$I$97,2,0)</f>
        <v>#N/A</v>
      </c>
    </row>
    <row r="2898" spans="24:27">
      <c r="X2898" s="8" t="str">
        <f>+IFERROR(VLOOKUP(N2898,[1]Hoja1!$B$2:$F$52,4,0)*P2898,"")</f>
        <v/>
      </c>
      <c r="Y2898" s="8" t="e">
        <f>+VLOOKUP(M2898,[1]SKU!$B$3:$E$81,4,0)</f>
        <v>#N/A</v>
      </c>
      <c r="Z2898" s="8" t="str">
        <f t="shared" si="45"/>
        <v>FLEX</v>
      </c>
      <c r="AA2898" s="8" t="e">
        <f>+VLOOKUP(I2898,[1]SKU!$H$2:$I$97,2,0)</f>
        <v>#N/A</v>
      </c>
    </row>
    <row r="2899" spans="24:27">
      <c r="X2899" s="8" t="str">
        <f>+IFERROR(VLOOKUP(N2899,[1]Hoja1!$B$2:$F$52,4,0)*P2899,"")</f>
        <v/>
      </c>
      <c r="Y2899" s="8" t="e">
        <f>+VLOOKUP(M2899,[1]SKU!$B$3:$E$81,4,0)</f>
        <v>#N/A</v>
      </c>
      <c r="Z2899" s="8" t="str">
        <f t="shared" si="45"/>
        <v>FLEX</v>
      </c>
      <c r="AA2899" s="8" t="e">
        <f>+VLOOKUP(I2899,[1]SKU!$H$2:$I$97,2,0)</f>
        <v>#N/A</v>
      </c>
    </row>
    <row r="2900" spans="24:27">
      <c r="X2900" s="8" t="str">
        <f>+IFERROR(VLOOKUP(N2900,[1]Hoja1!$B$2:$F$52,4,0)*P2900,"")</f>
        <v/>
      </c>
      <c r="Y2900" s="8" t="e">
        <f>+VLOOKUP(M2900,[1]SKU!$B$3:$E$81,4,0)</f>
        <v>#N/A</v>
      </c>
      <c r="Z2900" s="8" t="str">
        <f t="shared" si="45"/>
        <v>FLEX</v>
      </c>
      <c r="AA2900" s="8" t="e">
        <f>+VLOOKUP(I2900,[1]SKU!$H$2:$I$97,2,0)</f>
        <v>#N/A</v>
      </c>
    </row>
    <row r="2901" spans="24:27">
      <c r="X2901" s="8" t="str">
        <f>+IFERROR(VLOOKUP(N2901,[1]Hoja1!$B$2:$F$52,4,0)*P2901,"")</f>
        <v/>
      </c>
      <c r="Y2901" s="8" t="e">
        <f>+VLOOKUP(M2901,[1]SKU!$B$3:$E$81,4,0)</f>
        <v>#N/A</v>
      </c>
      <c r="Z2901" s="8" t="str">
        <f t="shared" si="45"/>
        <v>FLEX</v>
      </c>
      <c r="AA2901" s="8" t="e">
        <f>+VLOOKUP(I2901,[1]SKU!$H$2:$I$97,2,0)</f>
        <v>#N/A</v>
      </c>
    </row>
    <row r="2902" spans="24:27">
      <c r="X2902" s="8" t="str">
        <f>+IFERROR(VLOOKUP(N2902,[1]Hoja1!$B$2:$F$52,4,0)*P2902,"")</f>
        <v/>
      </c>
      <c r="Y2902" s="8" t="e">
        <f>+VLOOKUP(M2902,[1]SKU!$B$3:$E$81,4,0)</f>
        <v>#N/A</v>
      </c>
      <c r="Z2902" s="8" t="str">
        <f t="shared" si="45"/>
        <v>FLEX</v>
      </c>
      <c r="AA2902" s="8" t="e">
        <f>+VLOOKUP(I2902,[1]SKU!$H$2:$I$97,2,0)</f>
        <v>#N/A</v>
      </c>
    </row>
    <row r="2903" spans="24:27">
      <c r="X2903" s="8" t="str">
        <f>+IFERROR(VLOOKUP(N2903,[1]Hoja1!$B$2:$F$52,4,0)*P2903,"")</f>
        <v/>
      </c>
      <c r="Y2903" s="8" t="e">
        <f>+VLOOKUP(M2903,[1]SKU!$B$3:$E$81,4,0)</f>
        <v>#N/A</v>
      </c>
      <c r="Z2903" s="8" t="str">
        <f t="shared" si="45"/>
        <v>FLEX</v>
      </c>
      <c r="AA2903" s="8" t="e">
        <f>+VLOOKUP(I2903,[1]SKU!$H$2:$I$97,2,0)</f>
        <v>#N/A</v>
      </c>
    </row>
    <row r="2904" spans="24:27">
      <c r="X2904" s="8" t="str">
        <f>+IFERROR(VLOOKUP(N2904,[1]Hoja1!$B$2:$F$52,4,0)*P2904,"")</f>
        <v/>
      </c>
      <c r="Y2904" s="8" t="e">
        <f>+VLOOKUP(M2904,[1]SKU!$B$3:$E$81,4,0)</f>
        <v>#N/A</v>
      </c>
      <c r="Z2904" s="8" t="str">
        <f t="shared" si="45"/>
        <v>FLEX</v>
      </c>
      <c r="AA2904" s="8" t="e">
        <f>+VLOOKUP(I2904,[1]SKU!$H$2:$I$97,2,0)</f>
        <v>#N/A</v>
      </c>
    </row>
    <row r="2905" spans="24:27">
      <c r="X2905" s="8" t="str">
        <f>+IFERROR(VLOOKUP(N2905,[1]Hoja1!$B$2:$F$52,4,0)*P2905,"")</f>
        <v/>
      </c>
      <c r="Y2905" s="8" t="e">
        <f>+VLOOKUP(M2905,[1]SKU!$B$3:$E$81,4,0)</f>
        <v>#N/A</v>
      </c>
      <c r="Z2905" s="8" t="str">
        <f t="shared" si="45"/>
        <v>FLEX</v>
      </c>
      <c r="AA2905" s="8" t="e">
        <f>+VLOOKUP(I2905,[1]SKU!$H$2:$I$97,2,0)</f>
        <v>#N/A</v>
      </c>
    </row>
    <row r="2906" spans="24:27">
      <c r="X2906" s="8" t="str">
        <f>+IFERROR(VLOOKUP(N2906,[1]Hoja1!$B$2:$F$52,4,0)*P2906,"")</f>
        <v/>
      </c>
      <c r="Y2906" s="8" t="e">
        <f>+VLOOKUP(M2906,[1]SKU!$B$3:$E$81,4,0)</f>
        <v>#N/A</v>
      </c>
      <c r="Z2906" s="8" t="str">
        <f t="shared" si="45"/>
        <v>FLEX</v>
      </c>
      <c r="AA2906" s="8" t="e">
        <f>+VLOOKUP(I2906,[1]SKU!$H$2:$I$97,2,0)</f>
        <v>#N/A</v>
      </c>
    </row>
    <row r="2907" spans="24:27">
      <c r="X2907" s="8" t="str">
        <f>+IFERROR(VLOOKUP(N2907,[1]Hoja1!$B$2:$F$52,4,0)*P2907,"")</f>
        <v/>
      </c>
      <c r="Y2907" s="8" t="e">
        <f>+VLOOKUP(M2907,[1]SKU!$B$3:$E$81,4,0)</f>
        <v>#N/A</v>
      </c>
      <c r="Z2907" s="8" t="str">
        <f t="shared" si="45"/>
        <v>FLEX</v>
      </c>
      <c r="AA2907" s="8" t="e">
        <f>+VLOOKUP(I2907,[1]SKU!$H$2:$I$97,2,0)</f>
        <v>#N/A</v>
      </c>
    </row>
    <row r="2908" spans="24:27">
      <c r="X2908" s="8" t="str">
        <f>+IFERROR(VLOOKUP(N2908,[1]Hoja1!$B$2:$F$52,4,0)*P2908,"")</f>
        <v/>
      </c>
      <c r="Y2908" s="8" t="e">
        <f>+VLOOKUP(M2908,[1]SKU!$B$3:$E$81,4,0)</f>
        <v>#N/A</v>
      </c>
      <c r="Z2908" s="8" t="str">
        <f t="shared" si="45"/>
        <v>FLEX</v>
      </c>
      <c r="AA2908" s="8" t="e">
        <f>+VLOOKUP(I2908,[1]SKU!$H$2:$I$97,2,0)</f>
        <v>#N/A</v>
      </c>
    </row>
    <row r="2909" spans="24:27">
      <c r="X2909" s="8" t="str">
        <f>+IFERROR(VLOOKUP(N2909,[1]Hoja1!$B$2:$F$52,4,0)*P2909,"")</f>
        <v/>
      </c>
      <c r="Y2909" s="8" t="e">
        <f>+VLOOKUP(M2909,[1]SKU!$B$3:$E$81,4,0)</f>
        <v>#N/A</v>
      </c>
      <c r="Z2909" s="8" t="str">
        <f t="shared" si="45"/>
        <v>FLEX</v>
      </c>
      <c r="AA2909" s="8" t="e">
        <f>+VLOOKUP(I2909,[1]SKU!$H$2:$I$97,2,0)</f>
        <v>#N/A</v>
      </c>
    </row>
    <row r="2910" spans="24:27">
      <c r="X2910" s="8" t="str">
        <f>+IFERROR(VLOOKUP(N2910,[1]Hoja1!$B$2:$F$52,4,0)*P2910,"")</f>
        <v/>
      </c>
      <c r="Y2910" s="8" t="e">
        <f>+VLOOKUP(M2910,[1]SKU!$B$3:$E$81,4,0)</f>
        <v>#N/A</v>
      </c>
      <c r="Z2910" s="8" t="str">
        <f t="shared" si="45"/>
        <v>FLEX</v>
      </c>
      <c r="AA2910" s="8" t="e">
        <f>+VLOOKUP(I2910,[1]SKU!$H$2:$I$97,2,0)</f>
        <v>#N/A</v>
      </c>
    </row>
    <row r="2911" spans="24:27">
      <c r="X2911" s="8" t="str">
        <f>+IFERROR(VLOOKUP(N2911,[1]Hoja1!$B$2:$F$52,4,0)*P2911,"")</f>
        <v/>
      </c>
      <c r="Y2911" s="8" t="e">
        <f>+VLOOKUP(M2911,[1]SKU!$B$3:$E$81,4,0)</f>
        <v>#N/A</v>
      </c>
      <c r="Z2911" s="8" t="str">
        <f t="shared" si="45"/>
        <v>FLEX</v>
      </c>
      <c r="AA2911" s="8" t="e">
        <f>+VLOOKUP(I2911,[1]SKU!$H$2:$I$97,2,0)</f>
        <v>#N/A</v>
      </c>
    </row>
    <row r="2912" spans="24:27">
      <c r="X2912" s="8" t="str">
        <f>+IFERROR(VLOOKUP(N2912,[1]Hoja1!$B$2:$F$52,4,0)*P2912,"")</f>
        <v/>
      </c>
      <c r="Y2912" s="8" t="e">
        <f>+VLOOKUP(M2912,[1]SKU!$B$3:$E$81,4,0)</f>
        <v>#N/A</v>
      </c>
      <c r="Z2912" s="8" t="str">
        <f t="shared" si="45"/>
        <v>FLEX</v>
      </c>
      <c r="AA2912" s="8" t="e">
        <f>+VLOOKUP(I2912,[1]SKU!$H$2:$I$97,2,0)</f>
        <v>#N/A</v>
      </c>
    </row>
    <row r="2913" spans="24:27">
      <c r="X2913" s="8" t="str">
        <f>+IFERROR(VLOOKUP(N2913,[1]Hoja1!$B$2:$F$52,4,0)*P2913,"")</f>
        <v/>
      </c>
      <c r="Y2913" s="8" t="e">
        <f>+VLOOKUP(M2913,[1]SKU!$B$3:$E$81,4,0)</f>
        <v>#N/A</v>
      </c>
      <c r="Z2913" s="8" t="str">
        <f t="shared" si="45"/>
        <v>FLEX</v>
      </c>
      <c r="AA2913" s="8" t="e">
        <f>+VLOOKUP(I2913,[1]SKU!$H$2:$I$97,2,0)</f>
        <v>#N/A</v>
      </c>
    </row>
    <row r="2914" spans="24:27">
      <c r="X2914" s="8" t="str">
        <f>+IFERROR(VLOOKUP(N2914,[1]Hoja1!$B$2:$F$52,4,0)*P2914,"")</f>
        <v/>
      </c>
      <c r="Y2914" s="8" t="e">
        <f>+VLOOKUP(M2914,[1]SKU!$B$3:$E$81,4,0)</f>
        <v>#N/A</v>
      </c>
      <c r="Z2914" s="8" t="str">
        <f t="shared" si="45"/>
        <v>FLEX</v>
      </c>
      <c r="AA2914" s="8" t="e">
        <f>+VLOOKUP(I2914,[1]SKU!$H$2:$I$97,2,0)</f>
        <v>#N/A</v>
      </c>
    </row>
    <row r="2915" spans="24:27">
      <c r="X2915" s="8" t="str">
        <f>+IFERROR(VLOOKUP(N2915,[1]Hoja1!$B$2:$F$52,4,0)*P2915,"")</f>
        <v/>
      </c>
      <c r="Y2915" s="8" t="e">
        <f>+VLOOKUP(M2915,[1]SKU!$B$3:$E$81,4,0)</f>
        <v>#N/A</v>
      </c>
      <c r="Z2915" s="8" t="str">
        <f t="shared" si="45"/>
        <v>FLEX</v>
      </c>
      <c r="AA2915" s="8" t="e">
        <f>+VLOOKUP(I2915,[1]SKU!$H$2:$I$97,2,0)</f>
        <v>#N/A</v>
      </c>
    </row>
    <row r="2916" spans="24:27">
      <c r="X2916" s="8" t="str">
        <f>+IFERROR(VLOOKUP(N2916,[1]Hoja1!$B$2:$F$52,4,0)*P2916,"")</f>
        <v/>
      </c>
      <c r="Y2916" s="8" t="e">
        <f>+VLOOKUP(M2916,[1]SKU!$B$3:$E$81,4,0)</f>
        <v>#N/A</v>
      </c>
      <c r="Z2916" s="8" t="str">
        <f t="shared" si="45"/>
        <v>FLEX</v>
      </c>
      <c r="AA2916" s="8" t="e">
        <f>+VLOOKUP(I2916,[1]SKU!$H$2:$I$97,2,0)</f>
        <v>#N/A</v>
      </c>
    </row>
    <row r="2917" spans="24:27">
      <c r="X2917" s="8" t="str">
        <f>+IFERROR(VLOOKUP(N2917,[1]Hoja1!$B$2:$F$52,4,0)*P2917,"")</f>
        <v/>
      </c>
      <c r="Y2917" s="8" t="e">
        <f>+VLOOKUP(M2917,[1]SKU!$B$3:$E$81,4,0)</f>
        <v>#N/A</v>
      </c>
      <c r="Z2917" s="8" t="str">
        <f t="shared" si="45"/>
        <v>FLEX</v>
      </c>
      <c r="AA2917" s="8" t="e">
        <f>+VLOOKUP(I2917,[1]SKU!$H$2:$I$97,2,0)</f>
        <v>#N/A</v>
      </c>
    </row>
    <row r="2918" spans="24:27">
      <c r="X2918" s="8" t="str">
        <f>+IFERROR(VLOOKUP(N2918,[1]Hoja1!$B$2:$F$52,4,0)*P2918,"")</f>
        <v/>
      </c>
      <c r="Y2918" s="8" t="e">
        <f>+VLOOKUP(M2918,[1]SKU!$B$3:$E$81,4,0)</f>
        <v>#N/A</v>
      </c>
      <c r="Z2918" s="8" t="str">
        <f t="shared" si="45"/>
        <v>FLEX</v>
      </c>
      <c r="AA2918" s="8" t="e">
        <f>+VLOOKUP(I2918,[1]SKU!$H$2:$I$97,2,0)</f>
        <v>#N/A</v>
      </c>
    </row>
    <row r="2919" spans="24:27">
      <c r="X2919" s="8" t="str">
        <f>+IFERROR(VLOOKUP(N2919,[1]Hoja1!$B$2:$F$52,4,0)*P2919,"")</f>
        <v/>
      </c>
      <c r="Y2919" s="8" t="e">
        <f>+VLOOKUP(M2919,[1]SKU!$B$3:$E$81,4,0)</f>
        <v>#N/A</v>
      </c>
      <c r="Z2919" s="8" t="str">
        <f t="shared" si="45"/>
        <v>FLEX</v>
      </c>
      <c r="AA2919" s="8" t="e">
        <f>+VLOOKUP(I2919,[1]SKU!$H$2:$I$97,2,0)</f>
        <v>#N/A</v>
      </c>
    </row>
    <row r="2920" spans="24:27">
      <c r="X2920" s="8" t="str">
        <f>+IFERROR(VLOOKUP(N2920,[1]Hoja1!$B$2:$F$52,4,0)*P2920,"")</f>
        <v/>
      </c>
      <c r="Y2920" s="8" t="e">
        <f>+VLOOKUP(M2920,[1]SKU!$B$3:$E$81,4,0)</f>
        <v>#N/A</v>
      </c>
      <c r="Z2920" s="8" t="str">
        <f t="shared" si="45"/>
        <v>FLEX</v>
      </c>
      <c r="AA2920" s="8" t="e">
        <f>+VLOOKUP(I2920,[1]SKU!$H$2:$I$97,2,0)</f>
        <v>#N/A</v>
      </c>
    </row>
    <row r="2921" spans="24:27">
      <c r="X2921" s="8" t="str">
        <f>+IFERROR(VLOOKUP(N2921,[1]Hoja1!$B$2:$F$52,4,0)*P2921,"")</f>
        <v/>
      </c>
      <c r="Y2921" s="8" t="e">
        <f>+VLOOKUP(M2921,[1]SKU!$B$3:$E$81,4,0)</f>
        <v>#N/A</v>
      </c>
      <c r="Z2921" s="8" t="str">
        <f t="shared" si="45"/>
        <v>FLEX</v>
      </c>
      <c r="AA2921" s="8" t="e">
        <f>+VLOOKUP(I2921,[1]SKU!$H$2:$I$97,2,0)</f>
        <v>#N/A</v>
      </c>
    </row>
    <row r="2922" spans="24:27">
      <c r="X2922" s="8" t="str">
        <f>+IFERROR(VLOOKUP(N2922,[1]Hoja1!$B$2:$F$52,4,0)*P2922,"")</f>
        <v/>
      </c>
      <c r="Y2922" s="8" t="e">
        <f>+VLOOKUP(M2922,[1]SKU!$B$3:$E$81,4,0)</f>
        <v>#N/A</v>
      </c>
      <c r="Z2922" s="8" t="str">
        <f t="shared" si="45"/>
        <v>FLEX</v>
      </c>
      <c r="AA2922" s="8" t="e">
        <f>+VLOOKUP(I2922,[1]SKU!$H$2:$I$97,2,0)</f>
        <v>#N/A</v>
      </c>
    </row>
    <row r="2923" spans="24:27">
      <c r="X2923" s="8" t="str">
        <f>+IFERROR(VLOOKUP(N2923,[1]Hoja1!$B$2:$F$52,4,0)*P2923,"")</f>
        <v/>
      </c>
      <c r="Y2923" s="8" t="e">
        <f>+VLOOKUP(M2923,[1]SKU!$B$3:$E$81,4,0)</f>
        <v>#N/A</v>
      </c>
      <c r="Z2923" s="8" t="str">
        <f t="shared" si="45"/>
        <v>FLEX</v>
      </c>
      <c r="AA2923" s="8" t="e">
        <f>+VLOOKUP(I2923,[1]SKU!$H$2:$I$97,2,0)</f>
        <v>#N/A</v>
      </c>
    </row>
    <row r="2924" spans="24:27">
      <c r="X2924" s="8" t="str">
        <f>+IFERROR(VLOOKUP(N2924,[1]Hoja1!$B$2:$F$52,4,0)*P2924,"")</f>
        <v/>
      </c>
      <c r="Y2924" s="8" t="e">
        <f>+VLOOKUP(M2924,[1]SKU!$B$3:$E$81,4,0)</f>
        <v>#N/A</v>
      </c>
      <c r="Z2924" s="8" t="str">
        <f t="shared" si="45"/>
        <v>FLEX</v>
      </c>
      <c r="AA2924" s="8" t="e">
        <f>+VLOOKUP(I2924,[1]SKU!$H$2:$I$97,2,0)</f>
        <v>#N/A</v>
      </c>
    </row>
    <row r="2925" spans="24:27">
      <c r="X2925" s="8" t="str">
        <f>+IFERROR(VLOOKUP(N2925,[1]Hoja1!$B$2:$F$52,4,0)*P2925,"")</f>
        <v/>
      </c>
      <c r="Y2925" s="8" t="e">
        <f>+VLOOKUP(M2925,[1]SKU!$B$3:$E$81,4,0)</f>
        <v>#N/A</v>
      </c>
      <c r="Z2925" s="8" t="str">
        <f t="shared" si="45"/>
        <v>FLEX</v>
      </c>
      <c r="AA2925" s="8" t="e">
        <f>+VLOOKUP(I2925,[1]SKU!$H$2:$I$97,2,0)</f>
        <v>#N/A</v>
      </c>
    </row>
    <row r="2926" spans="24:27">
      <c r="X2926" s="8" t="str">
        <f>+IFERROR(VLOOKUP(N2926,[1]Hoja1!$B$2:$F$52,4,0)*P2926,"")</f>
        <v/>
      </c>
      <c r="Y2926" s="8" t="e">
        <f>+VLOOKUP(M2926,[1]SKU!$B$3:$E$81,4,0)</f>
        <v>#N/A</v>
      </c>
      <c r="Z2926" s="8" t="str">
        <f t="shared" si="45"/>
        <v>FLEX</v>
      </c>
      <c r="AA2926" s="8" t="e">
        <f>+VLOOKUP(I2926,[1]SKU!$H$2:$I$97,2,0)</f>
        <v>#N/A</v>
      </c>
    </row>
    <row r="2927" spans="24:27">
      <c r="X2927" s="8" t="str">
        <f>+IFERROR(VLOOKUP(N2927,[1]Hoja1!$B$2:$F$52,4,0)*P2927,"")</f>
        <v/>
      </c>
      <c r="Y2927" s="8" t="e">
        <f>+VLOOKUP(M2927,[1]SKU!$B$3:$E$81,4,0)</f>
        <v>#N/A</v>
      </c>
      <c r="Z2927" s="8" t="str">
        <f t="shared" si="45"/>
        <v>FLEX</v>
      </c>
      <c r="AA2927" s="8" t="e">
        <f>+VLOOKUP(I2927,[1]SKU!$H$2:$I$97,2,0)</f>
        <v>#N/A</v>
      </c>
    </row>
    <row r="2928" spans="24:27">
      <c r="X2928" s="8" t="str">
        <f>+IFERROR(VLOOKUP(N2928,[1]Hoja1!$B$2:$F$52,4,0)*P2928,"")</f>
        <v/>
      </c>
      <c r="Y2928" s="8" t="e">
        <f>+VLOOKUP(M2928,[1]SKU!$B$3:$E$81,4,0)</f>
        <v>#N/A</v>
      </c>
      <c r="Z2928" s="8" t="str">
        <f t="shared" si="45"/>
        <v>FLEX</v>
      </c>
      <c r="AA2928" s="8" t="e">
        <f>+VLOOKUP(I2928,[1]SKU!$H$2:$I$97,2,0)</f>
        <v>#N/A</v>
      </c>
    </row>
    <row r="2929" spans="24:27">
      <c r="X2929" s="8" t="str">
        <f>+IFERROR(VLOOKUP(N2929,[1]Hoja1!$B$2:$F$52,4,0)*P2929,"")</f>
        <v/>
      </c>
      <c r="Y2929" s="8" t="e">
        <f>+VLOOKUP(M2929,[1]SKU!$B$3:$E$81,4,0)</f>
        <v>#N/A</v>
      </c>
      <c r="Z2929" s="8" t="str">
        <f t="shared" si="45"/>
        <v>FLEX</v>
      </c>
      <c r="AA2929" s="8" t="e">
        <f>+VLOOKUP(I2929,[1]SKU!$H$2:$I$97,2,0)</f>
        <v>#N/A</v>
      </c>
    </row>
    <row r="2930" spans="24:27">
      <c r="X2930" s="8" t="str">
        <f>+IFERROR(VLOOKUP(N2930,[1]Hoja1!$B$2:$F$52,4,0)*P2930,"")</f>
        <v/>
      </c>
      <c r="Y2930" s="8" t="e">
        <f>+VLOOKUP(M2930,[1]SKU!$B$3:$E$81,4,0)</f>
        <v>#N/A</v>
      </c>
      <c r="Z2930" s="8" t="str">
        <f t="shared" si="45"/>
        <v>FLEX</v>
      </c>
      <c r="AA2930" s="8" t="e">
        <f>+VLOOKUP(I2930,[1]SKU!$H$2:$I$97,2,0)</f>
        <v>#N/A</v>
      </c>
    </row>
    <row r="2931" spans="24:27">
      <c r="X2931" s="8" t="str">
        <f>+IFERROR(VLOOKUP(N2931,[1]Hoja1!$B$2:$F$52,4,0)*P2931,"")</f>
        <v/>
      </c>
      <c r="Y2931" s="8" t="e">
        <f>+VLOOKUP(M2931,[1]SKU!$B$3:$E$81,4,0)</f>
        <v>#N/A</v>
      </c>
      <c r="Z2931" s="8" t="str">
        <f t="shared" si="45"/>
        <v>FLEX</v>
      </c>
      <c r="AA2931" s="8" t="e">
        <f>+VLOOKUP(I2931,[1]SKU!$H$2:$I$97,2,0)</f>
        <v>#N/A</v>
      </c>
    </row>
    <row r="2932" spans="24:27">
      <c r="X2932" s="8" t="str">
        <f>+IFERROR(VLOOKUP(N2932,[1]Hoja1!$B$2:$F$52,4,0)*P2932,"")</f>
        <v/>
      </c>
      <c r="Y2932" s="8" t="e">
        <f>+VLOOKUP(M2932,[1]SKU!$B$3:$E$81,4,0)</f>
        <v>#N/A</v>
      </c>
      <c r="Z2932" s="8" t="str">
        <f t="shared" si="45"/>
        <v>FLEX</v>
      </c>
      <c r="AA2932" s="8" t="e">
        <f>+VLOOKUP(I2932,[1]SKU!$H$2:$I$97,2,0)</f>
        <v>#N/A</v>
      </c>
    </row>
    <row r="2933" spans="24:27">
      <c r="X2933" s="8" t="str">
        <f>+IFERROR(VLOOKUP(N2933,[1]Hoja1!$B$2:$F$52,4,0)*P2933,"")</f>
        <v/>
      </c>
      <c r="Y2933" s="8" t="e">
        <f>+VLOOKUP(M2933,[1]SKU!$B$3:$E$81,4,0)</f>
        <v>#N/A</v>
      </c>
      <c r="Z2933" s="8" t="str">
        <f t="shared" si="45"/>
        <v>FLEX</v>
      </c>
      <c r="AA2933" s="8" t="e">
        <f>+VLOOKUP(I2933,[1]SKU!$H$2:$I$97,2,0)</f>
        <v>#N/A</v>
      </c>
    </row>
    <row r="2934" spans="24:27">
      <c r="X2934" s="8" t="str">
        <f>+IFERROR(VLOOKUP(N2934,[1]Hoja1!$B$2:$F$52,4,0)*P2934,"")</f>
        <v/>
      </c>
      <c r="Y2934" s="8" t="e">
        <f>+VLOOKUP(M2934,[1]SKU!$B$3:$E$81,4,0)</f>
        <v>#N/A</v>
      </c>
      <c r="Z2934" s="8" t="str">
        <f t="shared" si="45"/>
        <v>FLEX</v>
      </c>
      <c r="AA2934" s="8" t="e">
        <f>+VLOOKUP(I2934,[1]SKU!$H$2:$I$97,2,0)</f>
        <v>#N/A</v>
      </c>
    </row>
    <row r="2935" spans="24:27">
      <c r="X2935" s="8" t="str">
        <f>+IFERROR(VLOOKUP(N2935,[1]Hoja1!$B$2:$F$52,4,0)*P2935,"")</f>
        <v/>
      </c>
      <c r="Y2935" s="8" t="e">
        <f>+VLOOKUP(M2935,[1]SKU!$B$3:$E$81,4,0)</f>
        <v>#N/A</v>
      </c>
      <c r="Z2935" s="8" t="str">
        <f t="shared" si="45"/>
        <v>FLEX</v>
      </c>
      <c r="AA2935" s="8" t="e">
        <f>+VLOOKUP(I2935,[1]SKU!$H$2:$I$97,2,0)</f>
        <v>#N/A</v>
      </c>
    </row>
    <row r="2936" spans="24:27">
      <c r="X2936" s="8" t="str">
        <f>+IFERROR(VLOOKUP(N2936,[1]Hoja1!$B$2:$F$52,4,0)*P2936,"")</f>
        <v/>
      </c>
      <c r="Y2936" s="8" t="e">
        <f>+VLOOKUP(M2936,[1]SKU!$B$3:$E$81,4,0)</f>
        <v>#N/A</v>
      </c>
      <c r="Z2936" s="8" t="str">
        <f t="shared" si="45"/>
        <v>FLEX</v>
      </c>
      <c r="AA2936" s="8" t="e">
        <f>+VLOOKUP(I2936,[1]SKU!$H$2:$I$97,2,0)</f>
        <v>#N/A</v>
      </c>
    </row>
    <row r="2937" spans="24:27">
      <c r="X2937" s="8" t="str">
        <f>+IFERROR(VLOOKUP(N2937,[1]Hoja1!$B$2:$F$52,4,0)*P2937,"")</f>
        <v/>
      </c>
      <c r="Y2937" s="8" t="e">
        <f>+VLOOKUP(M2937,[1]SKU!$B$3:$E$81,4,0)</f>
        <v>#N/A</v>
      </c>
      <c r="Z2937" s="8" t="str">
        <f t="shared" si="45"/>
        <v>FLEX</v>
      </c>
      <c r="AA2937" s="8" t="e">
        <f>+VLOOKUP(I2937,[1]SKU!$H$2:$I$97,2,0)</f>
        <v>#N/A</v>
      </c>
    </row>
    <row r="2938" spans="24:27">
      <c r="X2938" s="8" t="str">
        <f>+IFERROR(VLOOKUP(N2938,[1]Hoja1!$B$2:$F$52,4,0)*P2938,"")</f>
        <v/>
      </c>
      <c r="Y2938" s="8" t="e">
        <f>+VLOOKUP(M2938,[1]SKU!$B$3:$E$81,4,0)</f>
        <v>#N/A</v>
      </c>
      <c r="Z2938" s="8" t="str">
        <f t="shared" si="45"/>
        <v>FLEX</v>
      </c>
      <c r="AA2938" s="8" t="e">
        <f>+VLOOKUP(I2938,[1]SKU!$H$2:$I$97,2,0)</f>
        <v>#N/A</v>
      </c>
    </row>
    <row r="2939" spans="24:27">
      <c r="X2939" s="8" t="str">
        <f>+IFERROR(VLOOKUP(N2939,[1]Hoja1!$B$2:$F$52,4,0)*P2939,"")</f>
        <v/>
      </c>
      <c r="Y2939" s="8" t="e">
        <f>+VLOOKUP(M2939,[1]SKU!$B$3:$E$81,4,0)</f>
        <v>#N/A</v>
      </c>
      <c r="Z2939" s="8" t="str">
        <f t="shared" si="45"/>
        <v>FLEX</v>
      </c>
      <c r="AA2939" s="8" t="e">
        <f>+VLOOKUP(I2939,[1]SKU!$H$2:$I$97,2,0)</f>
        <v>#N/A</v>
      </c>
    </row>
    <row r="2940" spans="24:27">
      <c r="X2940" s="8" t="str">
        <f>+IFERROR(VLOOKUP(N2940,[1]Hoja1!$B$2:$F$52,4,0)*P2940,"")</f>
        <v/>
      </c>
      <c r="Y2940" s="8" t="e">
        <f>+VLOOKUP(M2940,[1]SKU!$B$3:$E$81,4,0)</f>
        <v>#N/A</v>
      </c>
      <c r="Z2940" s="8" t="str">
        <f t="shared" si="45"/>
        <v>FLEX</v>
      </c>
      <c r="AA2940" s="8" t="e">
        <f>+VLOOKUP(I2940,[1]SKU!$H$2:$I$97,2,0)</f>
        <v>#N/A</v>
      </c>
    </row>
    <row r="2941" spans="24:27">
      <c r="X2941" s="8" t="str">
        <f>+IFERROR(VLOOKUP(N2941,[1]Hoja1!$B$2:$F$52,4,0)*P2941,"")</f>
        <v/>
      </c>
      <c r="Y2941" s="8" t="e">
        <f>+VLOOKUP(M2941,[1]SKU!$B$3:$E$81,4,0)</f>
        <v>#N/A</v>
      </c>
      <c r="Z2941" s="8" t="str">
        <f t="shared" si="45"/>
        <v>FLEX</v>
      </c>
      <c r="AA2941" s="8" t="e">
        <f>+VLOOKUP(I2941,[1]SKU!$H$2:$I$97,2,0)</f>
        <v>#N/A</v>
      </c>
    </row>
    <row r="2942" spans="24:27">
      <c r="X2942" s="8" t="str">
        <f>+IFERROR(VLOOKUP(N2942,[1]Hoja1!$B$2:$F$52,4,0)*P2942,"")</f>
        <v/>
      </c>
      <c r="Y2942" s="8" t="e">
        <f>+VLOOKUP(M2942,[1]SKU!$B$3:$E$81,4,0)</f>
        <v>#N/A</v>
      </c>
      <c r="Z2942" s="8" t="str">
        <f t="shared" si="45"/>
        <v>FLEX</v>
      </c>
      <c r="AA2942" s="8" t="e">
        <f>+VLOOKUP(I2942,[1]SKU!$H$2:$I$97,2,0)</f>
        <v>#N/A</v>
      </c>
    </row>
    <row r="2943" spans="24:27">
      <c r="X2943" s="8" t="str">
        <f>+IFERROR(VLOOKUP(N2943,[1]Hoja1!$B$2:$F$52,4,0)*P2943,"")</f>
        <v/>
      </c>
      <c r="Y2943" s="8" t="e">
        <f>+VLOOKUP(M2943,[1]SKU!$B$3:$E$81,4,0)</f>
        <v>#N/A</v>
      </c>
      <c r="Z2943" s="8" t="str">
        <f t="shared" si="45"/>
        <v>FLEX</v>
      </c>
      <c r="AA2943" s="8" t="e">
        <f>+VLOOKUP(I2943,[1]SKU!$H$2:$I$97,2,0)</f>
        <v>#N/A</v>
      </c>
    </row>
    <row r="2944" spans="24:27">
      <c r="X2944" s="8" t="str">
        <f>+IFERROR(VLOOKUP(N2944,[1]Hoja1!$B$2:$F$52,4,0)*P2944,"")</f>
        <v/>
      </c>
      <c r="Y2944" s="8" t="e">
        <f>+VLOOKUP(M2944,[1]SKU!$B$3:$E$81,4,0)</f>
        <v>#N/A</v>
      </c>
      <c r="Z2944" s="8" t="str">
        <f t="shared" si="45"/>
        <v>FLEX</v>
      </c>
      <c r="AA2944" s="8" t="e">
        <f>+VLOOKUP(I2944,[1]SKU!$H$2:$I$97,2,0)</f>
        <v>#N/A</v>
      </c>
    </row>
    <row r="2945" spans="24:27">
      <c r="X2945" s="8" t="str">
        <f>+IFERROR(VLOOKUP(N2945,[1]Hoja1!$B$2:$F$52,4,0)*P2945,"")</f>
        <v/>
      </c>
      <c r="Y2945" s="8" t="e">
        <f>+VLOOKUP(M2945,[1]SKU!$B$3:$E$81,4,0)</f>
        <v>#N/A</v>
      </c>
      <c r="Z2945" s="8" t="str">
        <f t="shared" si="45"/>
        <v>FLEX</v>
      </c>
      <c r="AA2945" s="8" t="e">
        <f>+VLOOKUP(I2945,[1]SKU!$H$2:$I$97,2,0)</f>
        <v>#N/A</v>
      </c>
    </row>
    <row r="2946" spans="24:27">
      <c r="X2946" s="8" t="str">
        <f>+IFERROR(VLOOKUP(N2946,[1]Hoja1!$B$2:$F$52,4,0)*P2946,"")</f>
        <v/>
      </c>
      <c r="Y2946" s="8" t="e">
        <f>+VLOOKUP(M2946,[1]SKU!$B$3:$E$81,4,0)</f>
        <v>#N/A</v>
      </c>
      <c r="Z2946" s="8" t="str">
        <f t="shared" si="45"/>
        <v>FLEX</v>
      </c>
      <c r="AA2946" s="8" t="e">
        <f>+VLOOKUP(I2946,[1]SKU!$H$2:$I$97,2,0)</f>
        <v>#N/A</v>
      </c>
    </row>
    <row r="2947" spans="24:27">
      <c r="X2947" s="8" t="str">
        <f>+IFERROR(VLOOKUP(N2947,[1]Hoja1!$B$2:$F$52,4,0)*P2947,"")</f>
        <v/>
      </c>
      <c r="Y2947" s="8" t="e">
        <f>+VLOOKUP(M2947,[1]SKU!$B$3:$E$81,4,0)</f>
        <v>#N/A</v>
      </c>
      <c r="Z2947" s="8" t="str">
        <f t="shared" ref="Z2947:Z3010" si="46">+IF(J2947="VB01                          ","BEES","FLEX")</f>
        <v>FLEX</v>
      </c>
      <c r="AA2947" s="8" t="e">
        <f>+VLOOKUP(I2947,[1]SKU!$H$2:$I$97,2,0)</f>
        <v>#N/A</v>
      </c>
    </row>
    <row r="2948" spans="24:27">
      <c r="X2948" s="8" t="str">
        <f>+IFERROR(VLOOKUP(N2948,[1]Hoja1!$B$2:$F$52,4,0)*P2948,"")</f>
        <v/>
      </c>
      <c r="Y2948" s="8" t="e">
        <f>+VLOOKUP(M2948,[1]SKU!$B$3:$E$81,4,0)</f>
        <v>#N/A</v>
      </c>
      <c r="Z2948" s="8" t="str">
        <f t="shared" si="46"/>
        <v>FLEX</v>
      </c>
      <c r="AA2948" s="8" t="e">
        <f>+VLOOKUP(I2948,[1]SKU!$H$2:$I$97,2,0)</f>
        <v>#N/A</v>
      </c>
    </row>
    <row r="2949" spans="24:27">
      <c r="X2949" s="8" t="str">
        <f>+IFERROR(VLOOKUP(N2949,[1]Hoja1!$B$2:$F$52,4,0)*P2949,"")</f>
        <v/>
      </c>
      <c r="Y2949" s="8" t="e">
        <f>+VLOOKUP(M2949,[1]SKU!$B$3:$E$81,4,0)</f>
        <v>#N/A</v>
      </c>
      <c r="Z2949" s="8" t="str">
        <f t="shared" si="46"/>
        <v>FLEX</v>
      </c>
      <c r="AA2949" s="8" t="e">
        <f>+VLOOKUP(I2949,[1]SKU!$H$2:$I$97,2,0)</f>
        <v>#N/A</v>
      </c>
    </row>
    <row r="2950" spans="24:27">
      <c r="X2950" s="8" t="str">
        <f>+IFERROR(VLOOKUP(N2950,[1]Hoja1!$B$2:$F$52,4,0)*P2950,"")</f>
        <v/>
      </c>
      <c r="Y2950" s="8" t="e">
        <f>+VLOOKUP(M2950,[1]SKU!$B$3:$E$81,4,0)</f>
        <v>#N/A</v>
      </c>
      <c r="Z2950" s="8" t="str">
        <f t="shared" si="46"/>
        <v>FLEX</v>
      </c>
      <c r="AA2950" s="8" t="e">
        <f>+VLOOKUP(I2950,[1]SKU!$H$2:$I$97,2,0)</f>
        <v>#N/A</v>
      </c>
    </row>
    <row r="2951" spans="24:27">
      <c r="X2951" s="8" t="str">
        <f>+IFERROR(VLOOKUP(N2951,[1]Hoja1!$B$2:$F$52,4,0)*P2951,"")</f>
        <v/>
      </c>
      <c r="Y2951" s="8" t="e">
        <f>+VLOOKUP(M2951,[1]SKU!$B$3:$E$81,4,0)</f>
        <v>#N/A</v>
      </c>
      <c r="Z2951" s="8" t="str">
        <f t="shared" si="46"/>
        <v>FLEX</v>
      </c>
      <c r="AA2951" s="8" t="e">
        <f>+VLOOKUP(I2951,[1]SKU!$H$2:$I$97,2,0)</f>
        <v>#N/A</v>
      </c>
    </row>
    <row r="2952" spans="24:27">
      <c r="X2952" s="8" t="str">
        <f>+IFERROR(VLOOKUP(N2952,[1]Hoja1!$B$2:$F$52,4,0)*P2952,"")</f>
        <v/>
      </c>
      <c r="Y2952" s="8" t="e">
        <f>+VLOOKUP(M2952,[1]SKU!$B$3:$E$81,4,0)</f>
        <v>#N/A</v>
      </c>
      <c r="Z2952" s="8" t="str">
        <f t="shared" si="46"/>
        <v>FLEX</v>
      </c>
      <c r="AA2952" s="8" t="e">
        <f>+VLOOKUP(I2952,[1]SKU!$H$2:$I$97,2,0)</f>
        <v>#N/A</v>
      </c>
    </row>
    <row r="2953" spans="24:27">
      <c r="X2953" s="8" t="str">
        <f>+IFERROR(VLOOKUP(N2953,[1]Hoja1!$B$2:$F$52,4,0)*P2953,"")</f>
        <v/>
      </c>
      <c r="Y2953" s="8" t="e">
        <f>+VLOOKUP(M2953,[1]SKU!$B$3:$E$81,4,0)</f>
        <v>#N/A</v>
      </c>
      <c r="Z2953" s="8" t="str">
        <f t="shared" si="46"/>
        <v>FLEX</v>
      </c>
      <c r="AA2953" s="8" t="e">
        <f>+VLOOKUP(I2953,[1]SKU!$H$2:$I$97,2,0)</f>
        <v>#N/A</v>
      </c>
    </row>
    <row r="2954" spans="24:27">
      <c r="X2954" s="8" t="str">
        <f>+IFERROR(VLOOKUP(N2954,[1]Hoja1!$B$2:$F$52,4,0)*P2954,"")</f>
        <v/>
      </c>
      <c r="Y2954" s="8" t="e">
        <f>+VLOOKUP(M2954,[1]SKU!$B$3:$E$81,4,0)</f>
        <v>#N/A</v>
      </c>
      <c r="Z2954" s="8" t="str">
        <f t="shared" si="46"/>
        <v>FLEX</v>
      </c>
      <c r="AA2954" s="8" t="e">
        <f>+VLOOKUP(I2954,[1]SKU!$H$2:$I$97,2,0)</f>
        <v>#N/A</v>
      </c>
    </row>
    <row r="2955" spans="24:27">
      <c r="X2955" s="8" t="str">
        <f>+IFERROR(VLOOKUP(N2955,[1]Hoja1!$B$2:$F$52,4,0)*P2955,"")</f>
        <v/>
      </c>
      <c r="Y2955" s="8" t="e">
        <f>+VLOOKUP(M2955,[1]SKU!$B$3:$E$81,4,0)</f>
        <v>#N/A</v>
      </c>
      <c r="Z2955" s="8" t="str">
        <f t="shared" si="46"/>
        <v>FLEX</v>
      </c>
      <c r="AA2955" s="8" t="e">
        <f>+VLOOKUP(I2955,[1]SKU!$H$2:$I$97,2,0)</f>
        <v>#N/A</v>
      </c>
    </row>
    <row r="2956" spans="24:27">
      <c r="X2956" s="8" t="str">
        <f>+IFERROR(VLOOKUP(N2956,[1]Hoja1!$B$2:$F$52,4,0)*P2956,"")</f>
        <v/>
      </c>
      <c r="Y2956" s="8" t="e">
        <f>+VLOOKUP(M2956,[1]SKU!$B$3:$E$81,4,0)</f>
        <v>#N/A</v>
      </c>
      <c r="Z2956" s="8" t="str">
        <f t="shared" si="46"/>
        <v>FLEX</v>
      </c>
      <c r="AA2956" s="8" t="e">
        <f>+VLOOKUP(I2956,[1]SKU!$H$2:$I$97,2,0)</f>
        <v>#N/A</v>
      </c>
    </row>
    <row r="2957" spans="24:27">
      <c r="X2957" s="8" t="str">
        <f>+IFERROR(VLOOKUP(N2957,[1]Hoja1!$B$2:$F$52,4,0)*P2957,"")</f>
        <v/>
      </c>
      <c r="Y2957" s="8" t="e">
        <f>+VLOOKUP(M2957,[1]SKU!$B$3:$E$81,4,0)</f>
        <v>#N/A</v>
      </c>
      <c r="Z2957" s="8" t="str">
        <f t="shared" si="46"/>
        <v>FLEX</v>
      </c>
      <c r="AA2957" s="8" t="e">
        <f>+VLOOKUP(I2957,[1]SKU!$H$2:$I$97,2,0)</f>
        <v>#N/A</v>
      </c>
    </row>
    <row r="2958" spans="24:27">
      <c r="X2958" s="8" t="str">
        <f>+IFERROR(VLOOKUP(N2958,[1]Hoja1!$B$2:$F$52,4,0)*P2958,"")</f>
        <v/>
      </c>
      <c r="Y2958" s="8" t="e">
        <f>+VLOOKUP(M2958,[1]SKU!$B$3:$E$81,4,0)</f>
        <v>#N/A</v>
      </c>
      <c r="Z2958" s="8" t="str">
        <f t="shared" si="46"/>
        <v>FLEX</v>
      </c>
      <c r="AA2958" s="8" t="e">
        <f>+VLOOKUP(I2958,[1]SKU!$H$2:$I$97,2,0)</f>
        <v>#N/A</v>
      </c>
    </row>
    <row r="2959" spans="24:27">
      <c r="X2959" s="8" t="str">
        <f>+IFERROR(VLOOKUP(N2959,[1]Hoja1!$B$2:$F$52,4,0)*P2959,"")</f>
        <v/>
      </c>
      <c r="Y2959" s="8" t="e">
        <f>+VLOOKUP(M2959,[1]SKU!$B$3:$E$81,4,0)</f>
        <v>#N/A</v>
      </c>
      <c r="Z2959" s="8" t="str">
        <f t="shared" si="46"/>
        <v>FLEX</v>
      </c>
      <c r="AA2959" s="8" t="e">
        <f>+VLOOKUP(I2959,[1]SKU!$H$2:$I$97,2,0)</f>
        <v>#N/A</v>
      </c>
    </row>
    <row r="2960" spans="24:27">
      <c r="X2960" s="8" t="str">
        <f>+IFERROR(VLOOKUP(N2960,[1]Hoja1!$B$2:$F$52,4,0)*P2960,"")</f>
        <v/>
      </c>
      <c r="Y2960" s="8" t="e">
        <f>+VLOOKUP(M2960,[1]SKU!$B$3:$E$81,4,0)</f>
        <v>#N/A</v>
      </c>
      <c r="Z2960" s="8" t="str">
        <f t="shared" si="46"/>
        <v>FLEX</v>
      </c>
      <c r="AA2960" s="8" t="e">
        <f>+VLOOKUP(I2960,[1]SKU!$H$2:$I$97,2,0)</f>
        <v>#N/A</v>
      </c>
    </row>
    <row r="2961" spans="24:27">
      <c r="X2961" s="8" t="str">
        <f>+IFERROR(VLOOKUP(N2961,[1]Hoja1!$B$2:$F$52,4,0)*P2961,"")</f>
        <v/>
      </c>
      <c r="Y2961" s="8" t="e">
        <f>+VLOOKUP(M2961,[1]SKU!$B$3:$E$81,4,0)</f>
        <v>#N/A</v>
      </c>
      <c r="Z2961" s="8" t="str">
        <f t="shared" si="46"/>
        <v>FLEX</v>
      </c>
      <c r="AA2961" s="8" t="e">
        <f>+VLOOKUP(I2961,[1]SKU!$H$2:$I$97,2,0)</f>
        <v>#N/A</v>
      </c>
    </row>
    <row r="2962" spans="24:27">
      <c r="X2962" s="8" t="str">
        <f>+IFERROR(VLOOKUP(N2962,[1]Hoja1!$B$2:$F$52,4,0)*P2962,"")</f>
        <v/>
      </c>
      <c r="Y2962" s="8" t="e">
        <f>+VLOOKUP(M2962,[1]SKU!$B$3:$E$81,4,0)</f>
        <v>#N/A</v>
      </c>
      <c r="Z2962" s="8" t="str">
        <f t="shared" si="46"/>
        <v>FLEX</v>
      </c>
      <c r="AA2962" s="8" t="e">
        <f>+VLOOKUP(I2962,[1]SKU!$H$2:$I$97,2,0)</f>
        <v>#N/A</v>
      </c>
    </row>
    <row r="2963" spans="24:27">
      <c r="X2963" s="8" t="str">
        <f>+IFERROR(VLOOKUP(N2963,[1]Hoja1!$B$2:$F$52,4,0)*P2963,"")</f>
        <v/>
      </c>
      <c r="Y2963" s="8" t="e">
        <f>+VLOOKUP(M2963,[1]SKU!$B$3:$E$81,4,0)</f>
        <v>#N/A</v>
      </c>
      <c r="Z2963" s="8" t="str">
        <f t="shared" si="46"/>
        <v>FLEX</v>
      </c>
      <c r="AA2963" s="8" t="e">
        <f>+VLOOKUP(I2963,[1]SKU!$H$2:$I$97,2,0)</f>
        <v>#N/A</v>
      </c>
    </row>
    <row r="2964" spans="24:27">
      <c r="X2964" s="8" t="str">
        <f>+IFERROR(VLOOKUP(N2964,[1]Hoja1!$B$2:$F$52,4,0)*P2964,"")</f>
        <v/>
      </c>
      <c r="Y2964" s="8" t="e">
        <f>+VLOOKUP(M2964,[1]SKU!$B$3:$E$81,4,0)</f>
        <v>#N/A</v>
      </c>
      <c r="Z2964" s="8" t="str">
        <f t="shared" si="46"/>
        <v>FLEX</v>
      </c>
      <c r="AA2964" s="8" t="e">
        <f>+VLOOKUP(I2964,[1]SKU!$H$2:$I$97,2,0)</f>
        <v>#N/A</v>
      </c>
    </row>
    <row r="2965" spans="24:27">
      <c r="X2965" s="8" t="str">
        <f>+IFERROR(VLOOKUP(N2965,[1]Hoja1!$B$2:$F$52,4,0)*P2965,"")</f>
        <v/>
      </c>
      <c r="Y2965" s="8" t="e">
        <f>+VLOOKUP(M2965,[1]SKU!$B$3:$E$81,4,0)</f>
        <v>#N/A</v>
      </c>
      <c r="Z2965" s="8" t="str">
        <f t="shared" si="46"/>
        <v>FLEX</v>
      </c>
      <c r="AA2965" s="8" t="e">
        <f>+VLOOKUP(I2965,[1]SKU!$H$2:$I$97,2,0)</f>
        <v>#N/A</v>
      </c>
    </row>
    <row r="2966" spans="24:27">
      <c r="X2966" s="8" t="str">
        <f>+IFERROR(VLOOKUP(N2966,[1]Hoja1!$B$2:$F$52,4,0)*P2966,"")</f>
        <v/>
      </c>
      <c r="Y2966" s="8" t="e">
        <f>+VLOOKUP(M2966,[1]SKU!$B$3:$E$81,4,0)</f>
        <v>#N/A</v>
      </c>
      <c r="Z2966" s="8" t="str">
        <f t="shared" si="46"/>
        <v>FLEX</v>
      </c>
      <c r="AA2966" s="8" t="e">
        <f>+VLOOKUP(I2966,[1]SKU!$H$2:$I$97,2,0)</f>
        <v>#N/A</v>
      </c>
    </row>
    <row r="2967" spans="24:27">
      <c r="X2967" s="8" t="str">
        <f>+IFERROR(VLOOKUP(N2967,[1]Hoja1!$B$2:$F$52,4,0)*P2967,"")</f>
        <v/>
      </c>
      <c r="Y2967" s="8" t="e">
        <f>+VLOOKUP(M2967,[1]SKU!$B$3:$E$81,4,0)</f>
        <v>#N/A</v>
      </c>
      <c r="Z2967" s="8" t="str">
        <f t="shared" si="46"/>
        <v>FLEX</v>
      </c>
      <c r="AA2967" s="8" t="e">
        <f>+VLOOKUP(I2967,[1]SKU!$H$2:$I$97,2,0)</f>
        <v>#N/A</v>
      </c>
    </row>
    <row r="2968" spans="24:27">
      <c r="X2968" s="8" t="str">
        <f>+IFERROR(VLOOKUP(N2968,[1]Hoja1!$B$2:$F$52,4,0)*P2968,"")</f>
        <v/>
      </c>
      <c r="Y2968" s="8" t="e">
        <f>+VLOOKUP(M2968,[1]SKU!$B$3:$E$81,4,0)</f>
        <v>#N/A</v>
      </c>
      <c r="Z2968" s="8" t="str">
        <f t="shared" si="46"/>
        <v>FLEX</v>
      </c>
      <c r="AA2968" s="8" t="e">
        <f>+VLOOKUP(I2968,[1]SKU!$H$2:$I$97,2,0)</f>
        <v>#N/A</v>
      </c>
    </row>
    <row r="2969" spans="24:27">
      <c r="X2969" s="8" t="str">
        <f>+IFERROR(VLOOKUP(N2969,[1]Hoja1!$B$2:$F$52,4,0)*P2969,"")</f>
        <v/>
      </c>
      <c r="Y2969" s="8" t="e">
        <f>+VLOOKUP(M2969,[1]SKU!$B$3:$E$81,4,0)</f>
        <v>#N/A</v>
      </c>
      <c r="Z2969" s="8" t="str">
        <f t="shared" si="46"/>
        <v>FLEX</v>
      </c>
      <c r="AA2969" s="8" t="e">
        <f>+VLOOKUP(I2969,[1]SKU!$H$2:$I$97,2,0)</f>
        <v>#N/A</v>
      </c>
    </row>
    <row r="2970" spans="24:27">
      <c r="X2970" s="8" t="str">
        <f>+IFERROR(VLOOKUP(N2970,[1]Hoja1!$B$2:$F$52,4,0)*P2970,"")</f>
        <v/>
      </c>
      <c r="Y2970" s="8" t="e">
        <f>+VLOOKUP(M2970,[1]SKU!$B$3:$E$81,4,0)</f>
        <v>#N/A</v>
      </c>
      <c r="Z2970" s="8" t="str">
        <f t="shared" si="46"/>
        <v>FLEX</v>
      </c>
      <c r="AA2970" s="8" t="e">
        <f>+VLOOKUP(I2970,[1]SKU!$H$2:$I$97,2,0)</f>
        <v>#N/A</v>
      </c>
    </row>
    <row r="2971" spans="24:27">
      <c r="X2971" s="8" t="str">
        <f>+IFERROR(VLOOKUP(N2971,[1]Hoja1!$B$2:$F$52,4,0)*P2971,"")</f>
        <v/>
      </c>
      <c r="Y2971" s="8" t="e">
        <f>+VLOOKUP(M2971,[1]SKU!$B$3:$E$81,4,0)</f>
        <v>#N/A</v>
      </c>
      <c r="Z2971" s="8" t="str">
        <f t="shared" si="46"/>
        <v>FLEX</v>
      </c>
      <c r="AA2971" s="8" t="e">
        <f>+VLOOKUP(I2971,[1]SKU!$H$2:$I$97,2,0)</f>
        <v>#N/A</v>
      </c>
    </row>
    <row r="2972" spans="24:27">
      <c r="X2972" s="8" t="str">
        <f>+IFERROR(VLOOKUP(N2972,[1]Hoja1!$B$2:$F$52,4,0)*P2972,"")</f>
        <v/>
      </c>
      <c r="Y2972" s="8" t="e">
        <f>+VLOOKUP(M2972,[1]SKU!$B$3:$E$81,4,0)</f>
        <v>#N/A</v>
      </c>
      <c r="Z2972" s="8" t="str">
        <f t="shared" si="46"/>
        <v>FLEX</v>
      </c>
      <c r="AA2972" s="8" t="e">
        <f>+VLOOKUP(I2972,[1]SKU!$H$2:$I$97,2,0)</f>
        <v>#N/A</v>
      </c>
    </row>
    <row r="2973" spans="24:27">
      <c r="X2973" s="8" t="str">
        <f>+IFERROR(VLOOKUP(N2973,[1]Hoja1!$B$2:$F$52,4,0)*P2973,"")</f>
        <v/>
      </c>
      <c r="Y2973" s="8" t="e">
        <f>+VLOOKUP(M2973,[1]SKU!$B$3:$E$81,4,0)</f>
        <v>#N/A</v>
      </c>
      <c r="Z2973" s="8" t="str">
        <f t="shared" si="46"/>
        <v>FLEX</v>
      </c>
      <c r="AA2973" s="8" t="e">
        <f>+VLOOKUP(I2973,[1]SKU!$H$2:$I$97,2,0)</f>
        <v>#N/A</v>
      </c>
    </row>
    <row r="2974" spans="24:27">
      <c r="X2974" s="8" t="str">
        <f>+IFERROR(VLOOKUP(N2974,[1]Hoja1!$B$2:$F$52,4,0)*P2974,"")</f>
        <v/>
      </c>
      <c r="Y2974" s="8" t="e">
        <f>+VLOOKUP(M2974,[1]SKU!$B$3:$E$81,4,0)</f>
        <v>#N/A</v>
      </c>
      <c r="Z2974" s="8" t="str">
        <f t="shared" si="46"/>
        <v>FLEX</v>
      </c>
      <c r="AA2974" s="8" t="e">
        <f>+VLOOKUP(I2974,[1]SKU!$H$2:$I$97,2,0)</f>
        <v>#N/A</v>
      </c>
    </row>
    <row r="2975" spans="24:27">
      <c r="X2975" s="8" t="str">
        <f>+IFERROR(VLOOKUP(N2975,[1]Hoja1!$B$2:$F$52,4,0)*P2975,"")</f>
        <v/>
      </c>
      <c r="Y2975" s="8" t="e">
        <f>+VLOOKUP(M2975,[1]SKU!$B$3:$E$81,4,0)</f>
        <v>#N/A</v>
      </c>
      <c r="Z2975" s="8" t="str">
        <f t="shared" si="46"/>
        <v>FLEX</v>
      </c>
      <c r="AA2975" s="8" t="e">
        <f>+VLOOKUP(I2975,[1]SKU!$H$2:$I$97,2,0)</f>
        <v>#N/A</v>
      </c>
    </row>
    <row r="2976" spans="24:27">
      <c r="X2976" s="8" t="str">
        <f>+IFERROR(VLOOKUP(N2976,[1]Hoja1!$B$2:$F$52,4,0)*P2976,"")</f>
        <v/>
      </c>
      <c r="Y2976" s="8" t="e">
        <f>+VLOOKUP(M2976,[1]SKU!$B$3:$E$81,4,0)</f>
        <v>#N/A</v>
      </c>
      <c r="Z2976" s="8" t="str">
        <f t="shared" si="46"/>
        <v>FLEX</v>
      </c>
      <c r="AA2976" s="8" t="e">
        <f>+VLOOKUP(I2976,[1]SKU!$H$2:$I$97,2,0)</f>
        <v>#N/A</v>
      </c>
    </row>
    <row r="2977" spans="24:27">
      <c r="X2977" s="8" t="str">
        <f>+IFERROR(VLOOKUP(N2977,[1]Hoja1!$B$2:$F$52,4,0)*P2977,"")</f>
        <v/>
      </c>
      <c r="Y2977" s="8" t="e">
        <f>+VLOOKUP(M2977,[1]SKU!$B$3:$E$81,4,0)</f>
        <v>#N/A</v>
      </c>
      <c r="Z2977" s="8" t="str">
        <f t="shared" si="46"/>
        <v>FLEX</v>
      </c>
      <c r="AA2977" s="8" t="e">
        <f>+VLOOKUP(I2977,[1]SKU!$H$2:$I$97,2,0)</f>
        <v>#N/A</v>
      </c>
    </row>
    <row r="2978" spans="24:27">
      <c r="X2978" s="8" t="str">
        <f>+IFERROR(VLOOKUP(N2978,[1]Hoja1!$B$2:$F$52,4,0)*P2978,"")</f>
        <v/>
      </c>
      <c r="Y2978" s="8" t="e">
        <f>+VLOOKUP(M2978,[1]SKU!$B$3:$E$81,4,0)</f>
        <v>#N/A</v>
      </c>
      <c r="Z2978" s="8" t="str">
        <f t="shared" si="46"/>
        <v>FLEX</v>
      </c>
      <c r="AA2978" s="8" t="e">
        <f>+VLOOKUP(I2978,[1]SKU!$H$2:$I$97,2,0)</f>
        <v>#N/A</v>
      </c>
    </row>
    <row r="2979" spans="24:27">
      <c r="X2979" s="8" t="str">
        <f>+IFERROR(VLOOKUP(N2979,[1]Hoja1!$B$2:$F$52,4,0)*P2979,"")</f>
        <v/>
      </c>
      <c r="Y2979" s="8" t="e">
        <f>+VLOOKUP(M2979,[1]SKU!$B$3:$E$81,4,0)</f>
        <v>#N/A</v>
      </c>
      <c r="Z2979" s="8" t="str">
        <f t="shared" si="46"/>
        <v>FLEX</v>
      </c>
      <c r="AA2979" s="8" t="e">
        <f>+VLOOKUP(I2979,[1]SKU!$H$2:$I$97,2,0)</f>
        <v>#N/A</v>
      </c>
    </row>
    <row r="2980" spans="24:27">
      <c r="X2980" s="8" t="str">
        <f>+IFERROR(VLOOKUP(N2980,[1]Hoja1!$B$2:$F$52,4,0)*P2980,"")</f>
        <v/>
      </c>
      <c r="Y2980" s="8" t="e">
        <f>+VLOOKUP(M2980,[1]SKU!$B$3:$E$81,4,0)</f>
        <v>#N/A</v>
      </c>
      <c r="Z2980" s="8" t="str">
        <f t="shared" si="46"/>
        <v>FLEX</v>
      </c>
      <c r="AA2980" s="8" t="e">
        <f>+VLOOKUP(I2980,[1]SKU!$H$2:$I$97,2,0)</f>
        <v>#N/A</v>
      </c>
    </row>
    <row r="2981" spans="24:27">
      <c r="X2981" s="8" t="str">
        <f>+IFERROR(VLOOKUP(N2981,[1]Hoja1!$B$2:$F$52,4,0)*P2981,"")</f>
        <v/>
      </c>
      <c r="Y2981" s="8" t="e">
        <f>+VLOOKUP(M2981,[1]SKU!$B$3:$E$81,4,0)</f>
        <v>#N/A</v>
      </c>
      <c r="Z2981" s="8" t="str">
        <f t="shared" si="46"/>
        <v>FLEX</v>
      </c>
      <c r="AA2981" s="8" t="e">
        <f>+VLOOKUP(I2981,[1]SKU!$H$2:$I$97,2,0)</f>
        <v>#N/A</v>
      </c>
    </row>
    <row r="2982" spans="24:27">
      <c r="X2982" s="8" t="str">
        <f>+IFERROR(VLOOKUP(N2982,[1]Hoja1!$B$2:$F$52,4,0)*P2982,"")</f>
        <v/>
      </c>
      <c r="Y2982" s="8" t="e">
        <f>+VLOOKUP(M2982,[1]SKU!$B$3:$E$81,4,0)</f>
        <v>#N/A</v>
      </c>
      <c r="Z2982" s="8" t="str">
        <f t="shared" si="46"/>
        <v>FLEX</v>
      </c>
      <c r="AA2982" s="8" t="e">
        <f>+VLOOKUP(I2982,[1]SKU!$H$2:$I$97,2,0)</f>
        <v>#N/A</v>
      </c>
    </row>
    <row r="2983" spans="24:27">
      <c r="X2983" s="8" t="str">
        <f>+IFERROR(VLOOKUP(N2983,[1]Hoja1!$B$2:$F$52,4,0)*P2983,"")</f>
        <v/>
      </c>
      <c r="Y2983" s="8" t="e">
        <f>+VLOOKUP(M2983,[1]SKU!$B$3:$E$81,4,0)</f>
        <v>#N/A</v>
      </c>
      <c r="Z2983" s="8" t="str">
        <f t="shared" si="46"/>
        <v>FLEX</v>
      </c>
      <c r="AA2983" s="8" t="e">
        <f>+VLOOKUP(I2983,[1]SKU!$H$2:$I$97,2,0)</f>
        <v>#N/A</v>
      </c>
    </row>
    <row r="2984" spans="24:27">
      <c r="X2984" s="8" t="str">
        <f>+IFERROR(VLOOKUP(N2984,[1]Hoja1!$B$2:$F$52,4,0)*P2984,"")</f>
        <v/>
      </c>
      <c r="Y2984" s="8" t="e">
        <f>+VLOOKUP(M2984,[1]SKU!$B$3:$E$81,4,0)</f>
        <v>#N/A</v>
      </c>
      <c r="Z2984" s="8" t="str">
        <f t="shared" si="46"/>
        <v>FLEX</v>
      </c>
      <c r="AA2984" s="8" t="e">
        <f>+VLOOKUP(I2984,[1]SKU!$H$2:$I$97,2,0)</f>
        <v>#N/A</v>
      </c>
    </row>
    <row r="2985" spans="24:27">
      <c r="X2985" s="8" t="str">
        <f>+IFERROR(VLOOKUP(N2985,[1]Hoja1!$B$2:$F$52,4,0)*P2985,"")</f>
        <v/>
      </c>
      <c r="Y2985" s="8" t="e">
        <f>+VLOOKUP(M2985,[1]SKU!$B$3:$E$81,4,0)</f>
        <v>#N/A</v>
      </c>
      <c r="Z2985" s="8" t="str">
        <f t="shared" si="46"/>
        <v>FLEX</v>
      </c>
      <c r="AA2985" s="8" t="e">
        <f>+VLOOKUP(I2985,[1]SKU!$H$2:$I$97,2,0)</f>
        <v>#N/A</v>
      </c>
    </row>
    <row r="2986" spans="24:27">
      <c r="X2986" s="8" t="str">
        <f>+IFERROR(VLOOKUP(N2986,[1]Hoja1!$B$2:$F$52,4,0)*P2986,"")</f>
        <v/>
      </c>
      <c r="Y2986" s="8" t="e">
        <f>+VLOOKUP(M2986,[1]SKU!$B$3:$E$81,4,0)</f>
        <v>#N/A</v>
      </c>
      <c r="Z2986" s="8" t="str">
        <f t="shared" si="46"/>
        <v>FLEX</v>
      </c>
      <c r="AA2986" s="8" t="e">
        <f>+VLOOKUP(I2986,[1]SKU!$H$2:$I$97,2,0)</f>
        <v>#N/A</v>
      </c>
    </row>
    <row r="2987" spans="24:27">
      <c r="X2987" s="8" t="str">
        <f>+IFERROR(VLOOKUP(N2987,[1]Hoja1!$B$2:$F$52,4,0)*P2987,"")</f>
        <v/>
      </c>
      <c r="Y2987" s="8" t="e">
        <f>+VLOOKUP(M2987,[1]SKU!$B$3:$E$81,4,0)</f>
        <v>#N/A</v>
      </c>
      <c r="Z2987" s="8" t="str">
        <f t="shared" si="46"/>
        <v>FLEX</v>
      </c>
      <c r="AA2987" s="8" t="e">
        <f>+VLOOKUP(I2987,[1]SKU!$H$2:$I$97,2,0)</f>
        <v>#N/A</v>
      </c>
    </row>
    <row r="2988" spans="24:27">
      <c r="X2988" s="8" t="str">
        <f>+IFERROR(VLOOKUP(N2988,[1]Hoja1!$B$2:$F$52,4,0)*P2988,"")</f>
        <v/>
      </c>
      <c r="Y2988" s="8" t="e">
        <f>+VLOOKUP(M2988,[1]SKU!$B$3:$E$81,4,0)</f>
        <v>#N/A</v>
      </c>
      <c r="Z2988" s="8" t="str">
        <f t="shared" si="46"/>
        <v>FLEX</v>
      </c>
      <c r="AA2988" s="8" t="e">
        <f>+VLOOKUP(I2988,[1]SKU!$H$2:$I$97,2,0)</f>
        <v>#N/A</v>
      </c>
    </row>
    <row r="2989" spans="24:27">
      <c r="X2989" s="8" t="str">
        <f>+IFERROR(VLOOKUP(N2989,[1]Hoja1!$B$2:$F$52,4,0)*P2989,"")</f>
        <v/>
      </c>
      <c r="Y2989" s="8" t="e">
        <f>+VLOOKUP(M2989,[1]SKU!$B$3:$E$81,4,0)</f>
        <v>#N/A</v>
      </c>
      <c r="Z2989" s="8" t="str">
        <f t="shared" si="46"/>
        <v>FLEX</v>
      </c>
      <c r="AA2989" s="8" t="e">
        <f>+VLOOKUP(I2989,[1]SKU!$H$2:$I$97,2,0)</f>
        <v>#N/A</v>
      </c>
    </row>
    <row r="2990" spans="24:27">
      <c r="X2990" s="8" t="str">
        <f>+IFERROR(VLOOKUP(N2990,[1]Hoja1!$B$2:$F$52,4,0)*P2990,"")</f>
        <v/>
      </c>
      <c r="Y2990" s="8" t="e">
        <f>+VLOOKUP(M2990,[1]SKU!$B$3:$E$81,4,0)</f>
        <v>#N/A</v>
      </c>
      <c r="Z2990" s="8" t="str">
        <f t="shared" si="46"/>
        <v>FLEX</v>
      </c>
      <c r="AA2990" s="8" t="e">
        <f>+VLOOKUP(I2990,[1]SKU!$H$2:$I$97,2,0)</f>
        <v>#N/A</v>
      </c>
    </row>
    <row r="2991" spans="24:27">
      <c r="X2991" s="8" t="str">
        <f>+IFERROR(VLOOKUP(N2991,[1]Hoja1!$B$2:$F$52,4,0)*P2991,"")</f>
        <v/>
      </c>
      <c r="Y2991" s="8" t="e">
        <f>+VLOOKUP(M2991,[1]SKU!$B$3:$E$81,4,0)</f>
        <v>#N/A</v>
      </c>
      <c r="Z2991" s="8" t="str">
        <f t="shared" si="46"/>
        <v>FLEX</v>
      </c>
      <c r="AA2991" s="8" t="e">
        <f>+VLOOKUP(I2991,[1]SKU!$H$2:$I$97,2,0)</f>
        <v>#N/A</v>
      </c>
    </row>
    <row r="2992" spans="24:27">
      <c r="X2992" s="8" t="str">
        <f>+IFERROR(VLOOKUP(N2992,[1]Hoja1!$B$2:$F$52,4,0)*P2992,"")</f>
        <v/>
      </c>
      <c r="Y2992" s="8" t="e">
        <f>+VLOOKUP(M2992,[1]SKU!$B$3:$E$81,4,0)</f>
        <v>#N/A</v>
      </c>
      <c r="Z2992" s="8" t="str">
        <f t="shared" si="46"/>
        <v>FLEX</v>
      </c>
      <c r="AA2992" s="8" t="e">
        <f>+VLOOKUP(I2992,[1]SKU!$H$2:$I$97,2,0)</f>
        <v>#N/A</v>
      </c>
    </row>
    <row r="2993" spans="24:27">
      <c r="X2993" s="8" t="str">
        <f>+IFERROR(VLOOKUP(N2993,[1]Hoja1!$B$2:$F$52,4,0)*P2993,"")</f>
        <v/>
      </c>
      <c r="Y2993" s="8" t="e">
        <f>+VLOOKUP(M2993,[1]SKU!$B$3:$E$81,4,0)</f>
        <v>#N/A</v>
      </c>
      <c r="Z2993" s="8" t="str">
        <f t="shared" si="46"/>
        <v>FLEX</v>
      </c>
      <c r="AA2993" s="8" t="e">
        <f>+VLOOKUP(I2993,[1]SKU!$H$2:$I$97,2,0)</f>
        <v>#N/A</v>
      </c>
    </row>
    <row r="2994" spans="24:27">
      <c r="X2994" s="8" t="str">
        <f>+IFERROR(VLOOKUP(N2994,[1]Hoja1!$B$2:$F$52,4,0)*P2994,"")</f>
        <v/>
      </c>
      <c r="Y2994" s="8" t="e">
        <f>+VLOOKUP(M2994,[1]SKU!$B$3:$E$81,4,0)</f>
        <v>#N/A</v>
      </c>
      <c r="Z2994" s="8" t="str">
        <f t="shared" si="46"/>
        <v>FLEX</v>
      </c>
      <c r="AA2994" s="8" t="e">
        <f>+VLOOKUP(I2994,[1]SKU!$H$2:$I$97,2,0)</f>
        <v>#N/A</v>
      </c>
    </row>
    <row r="2995" spans="24:27">
      <c r="X2995" s="8" t="str">
        <f>+IFERROR(VLOOKUP(N2995,[1]Hoja1!$B$2:$F$52,4,0)*P2995,"")</f>
        <v/>
      </c>
      <c r="Y2995" s="8" t="e">
        <f>+VLOOKUP(M2995,[1]SKU!$B$3:$E$81,4,0)</f>
        <v>#N/A</v>
      </c>
      <c r="Z2995" s="8" t="str">
        <f t="shared" si="46"/>
        <v>FLEX</v>
      </c>
      <c r="AA2995" s="8" t="e">
        <f>+VLOOKUP(I2995,[1]SKU!$H$2:$I$97,2,0)</f>
        <v>#N/A</v>
      </c>
    </row>
    <row r="2996" spans="24:27">
      <c r="X2996" s="8" t="str">
        <f>+IFERROR(VLOOKUP(N2996,[1]Hoja1!$B$2:$F$52,4,0)*P2996,"")</f>
        <v/>
      </c>
      <c r="Y2996" s="8" t="e">
        <f>+VLOOKUP(M2996,[1]SKU!$B$3:$E$81,4,0)</f>
        <v>#N/A</v>
      </c>
      <c r="Z2996" s="8" t="str">
        <f t="shared" si="46"/>
        <v>FLEX</v>
      </c>
      <c r="AA2996" s="8" t="e">
        <f>+VLOOKUP(I2996,[1]SKU!$H$2:$I$97,2,0)</f>
        <v>#N/A</v>
      </c>
    </row>
    <row r="2997" spans="24:27">
      <c r="X2997" s="8" t="str">
        <f>+IFERROR(VLOOKUP(N2997,[1]Hoja1!$B$2:$F$52,4,0)*P2997,"")</f>
        <v/>
      </c>
      <c r="Y2997" s="8" t="e">
        <f>+VLOOKUP(M2997,[1]SKU!$B$3:$E$81,4,0)</f>
        <v>#N/A</v>
      </c>
      <c r="Z2997" s="8" t="str">
        <f t="shared" si="46"/>
        <v>FLEX</v>
      </c>
      <c r="AA2997" s="8" t="e">
        <f>+VLOOKUP(I2997,[1]SKU!$H$2:$I$97,2,0)</f>
        <v>#N/A</v>
      </c>
    </row>
    <row r="2998" spans="24:27">
      <c r="X2998" s="8" t="str">
        <f>+IFERROR(VLOOKUP(N2998,[1]Hoja1!$B$2:$F$52,4,0)*P2998,"")</f>
        <v/>
      </c>
      <c r="Y2998" s="8" t="e">
        <f>+VLOOKUP(M2998,[1]SKU!$B$3:$E$81,4,0)</f>
        <v>#N/A</v>
      </c>
      <c r="Z2998" s="8" t="str">
        <f t="shared" si="46"/>
        <v>FLEX</v>
      </c>
      <c r="AA2998" s="8" t="e">
        <f>+VLOOKUP(I2998,[1]SKU!$H$2:$I$97,2,0)</f>
        <v>#N/A</v>
      </c>
    </row>
    <row r="2999" spans="24:27">
      <c r="X2999" s="8" t="str">
        <f>+IFERROR(VLOOKUP(N2999,[1]Hoja1!$B$2:$F$52,4,0)*P2999,"")</f>
        <v/>
      </c>
      <c r="Y2999" s="8" t="e">
        <f>+VLOOKUP(M2999,[1]SKU!$B$3:$E$81,4,0)</f>
        <v>#N/A</v>
      </c>
      <c r="Z2999" s="8" t="str">
        <f t="shared" si="46"/>
        <v>FLEX</v>
      </c>
      <c r="AA2999" s="8" t="e">
        <f>+VLOOKUP(I2999,[1]SKU!$H$2:$I$97,2,0)</f>
        <v>#N/A</v>
      </c>
    </row>
    <row r="3000" spans="24:27">
      <c r="X3000" s="8" t="str">
        <f>+IFERROR(VLOOKUP(N3000,[1]Hoja1!$B$2:$F$52,4,0)*P3000,"")</f>
        <v/>
      </c>
      <c r="Y3000" s="8" t="e">
        <f>+VLOOKUP(M3000,[1]SKU!$B$3:$E$81,4,0)</f>
        <v>#N/A</v>
      </c>
      <c r="Z3000" s="8" t="str">
        <f t="shared" si="46"/>
        <v>FLEX</v>
      </c>
      <c r="AA3000" s="8" t="e">
        <f>+VLOOKUP(I3000,[1]SKU!$H$2:$I$97,2,0)</f>
        <v>#N/A</v>
      </c>
    </row>
    <row r="3001" spans="24:27">
      <c r="X3001" s="8" t="str">
        <f>+IFERROR(VLOOKUP(N3001,[1]Hoja1!$B$2:$F$52,4,0)*P3001,"")</f>
        <v/>
      </c>
      <c r="Y3001" s="8" t="e">
        <f>+VLOOKUP(M3001,[1]SKU!$B$3:$E$81,4,0)</f>
        <v>#N/A</v>
      </c>
      <c r="Z3001" s="8" t="str">
        <f t="shared" si="46"/>
        <v>FLEX</v>
      </c>
      <c r="AA3001" s="8" t="e">
        <f>+VLOOKUP(I3001,[1]SKU!$H$2:$I$97,2,0)</f>
        <v>#N/A</v>
      </c>
    </row>
    <row r="3002" spans="24:27">
      <c r="X3002" s="8" t="str">
        <f>+IFERROR(VLOOKUP(N3002,[1]Hoja1!$B$2:$F$52,4,0)*P3002,"")</f>
        <v/>
      </c>
      <c r="Y3002" s="8" t="e">
        <f>+VLOOKUP(M3002,[1]SKU!$B$3:$E$81,4,0)</f>
        <v>#N/A</v>
      </c>
      <c r="Z3002" s="8" t="str">
        <f t="shared" si="46"/>
        <v>FLEX</v>
      </c>
      <c r="AA3002" s="8" t="e">
        <f>+VLOOKUP(I3002,[1]SKU!$H$2:$I$97,2,0)</f>
        <v>#N/A</v>
      </c>
    </row>
    <row r="3003" spans="24:27">
      <c r="X3003" s="8" t="str">
        <f>+IFERROR(VLOOKUP(N3003,[1]Hoja1!$B$2:$F$52,4,0)*P3003,"")</f>
        <v/>
      </c>
      <c r="Y3003" s="8" t="e">
        <f>+VLOOKUP(M3003,[1]SKU!$B$3:$E$81,4,0)</f>
        <v>#N/A</v>
      </c>
      <c r="Z3003" s="8" t="str">
        <f t="shared" si="46"/>
        <v>FLEX</v>
      </c>
      <c r="AA3003" s="8" t="e">
        <f>+VLOOKUP(I3003,[1]SKU!$H$2:$I$97,2,0)</f>
        <v>#N/A</v>
      </c>
    </row>
    <row r="3004" spans="24:27">
      <c r="X3004" s="8" t="str">
        <f>+IFERROR(VLOOKUP(N3004,[1]Hoja1!$B$2:$F$52,4,0)*P3004,"")</f>
        <v/>
      </c>
      <c r="Y3004" s="8" t="e">
        <f>+VLOOKUP(M3004,[1]SKU!$B$3:$E$81,4,0)</f>
        <v>#N/A</v>
      </c>
      <c r="Z3004" s="8" t="str">
        <f t="shared" si="46"/>
        <v>FLEX</v>
      </c>
      <c r="AA3004" s="8" t="e">
        <f>+VLOOKUP(I3004,[1]SKU!$H$2:$I$97,2,0)</f>
        <v>#N/A</v>
      </c>
    </row>
    <row r="3005" spans="24:27">
      <c r="X3005" s="8" t="str">
        <f>+IFERROR(VLOOKUP(N3005,[1]Hoja1!$B$2:$F$52,4,0)*P3005,"")</f>
        <v/>
      </c>
      <c r="Y3005" s="8" t="e">
        <f>+VLOOKUP(M3005,[1]SKU!$B$3:$E$81,4,0)</f>
        <v>#N/A</v>
      </c>
      <c r="Z3005" s="8" t="str">
        <f t="shared" si="46"/>
        <v>FLEX</v>
      </c>
      <c r="AA3005" s="8" t="e">
        <f>+VLOOKUP(I3005,[1]SKU!$H$2:$I$97,2,0)</f>
        <v>#N/A</v>
      </c>
    </row>
    <row r="3006" spans="24:27">
      <c r="X3006" s="8" t="str">
        <f>+IFERROR(VLOOKUP(N3006,[1]Hoja1!$B$2:$F$52,4,0)*P3006,"")</f>
        <v/>
      </c>
      <c r="Y3006" s="8" t="e">
        <f>+VLOOKUP(M3006,[1]SKU!$B$3:$E$81,4,0)</f>
        <v>#N/A</v>
      </c>
      <c r="Z3006" s="8" t="str">
        <f t="shared" si="46"/>
        <v>FLEX</v>
      </c>
      <c r="AA3006" s="8" t="e">
        <f>+VLOOKUP(I3006,[1]SKU!$H$2:$I$97,2,0)</f>
        <v>#N/A</v>
      </c>
    </row>
    <row r="3007" spans="24:27">
      <c r="X3007" s="8" t="str">
        <f>+IFERROR(VLOOKUP(N3007,[1]Hoja1!$B$2:$F$52,4,0)*P3007,"")</f>
        <v/>
      </c>
      <c r="Y3007" s="8" t="e">
        <f>+VLOOKUP(M3007,[1]SKU!$B$3:$E$81,4,0)</f>
        <v>#N/A</v>
      </c>
      <c r="Z3007" s="8" t="str">
        <f t="shared" si="46"/>
        <v>FLEX</v>
      </c>
      <c r="AA3007" s="8" t="e">
        <f>+VLOOKUP(I3007,[1]SKU!$H$2:$I$97,2,0)</f>
        <v>#N/A</v>
      </c>
    </row>
    <row r="3008" spans="24:27">
      <c r="X3008" s="8" t="str">
        <f>+IFERROR(VLOOKUP(N3008,[1]Hoja1!$B$2:$F$52,4,0)*P3008,"")</f>
        <v/>
      </c>
      <c r="Y3008" s="8" t="e">
        <f>+VLOOKUP(M3008,[1]SKU!$B$3:$E$81,4,0)</f>
        <v>#N/A</v>
      </c>
      <c r="Z3008" s="8" t="str">
        <f t="shared" si="46"/>
        <v>FLEX</v>
      </c>
      <c r="AA3008" s="8" t="e">
        <f>+VLOOKUP(I3008,[1]SKU!$H$2:$I$97,2,0)</f>
        <v>#N/A</v>
      </c>
    </row>
    <row r="3009" spans="24:27">
      <c r="X3009" s="8" t="str">
        <f>+IFERROR(VLOOKUP(N3009,[1]Hoja1!$B$2:$F$52,4,0)*P3009,"")</f>
        <v/>
      </c>
      <c r="Y3009" s="8" t="e">
        <f>+VLOOKUP(M3009,[1]SKU!$B$3:$E$81,4,0)</f>
        <v>#N/A</v>
      </c>
      <c r="Z3009" s="8" t="str">
        <f t="shared" si="46"/>
        <v>FLEX</v>
      </c>
      <c r="AA3009" s="8" t="e">
        <f>+VLOOKUP(I3009,[1]SKU!$H$2:$I$97,2,0)</f>
        <v>#N/A</v>
      </c>
    </row>
    <row r="3010" spans="24:27">
      <c r="X3010" s="8" t="str">
        <f>+IFERROR(VLOOKUP(N3010,[1]Hoja1!$B$2:$F$52,4,0)*P3010,"")</f>
        <v/>
      </c>
      <c r="Y3010" s="8" t="e">
        <f>+VLOOKUP(M3010,[1]SKU!$B$3:$E$81,4,0)</f>
        <v>#N/A</v>
      </c>
      <c r="Z3010" s="8" t="str">
        <f t="shared" si="46"/>
        <v>FLEX</v>
      </c>
      <c r="AA3010" s="8" t="e">
        <f>+VLOOKUP(I3010,[1]SKU!$H$2:$I$97,2,0)</f>
        <v>#N/A</v>
      </c>
    </row>
    <row r="3011" spans="24:27">
      <c r="X3011" s="8" t="str">
        <f>+IFERROR(VLOOKUP(N3011,[1]Hoja1!$B$2:$F$52,4,0)*P3011,"")</f>
        <v/>
      </c>
      <c r="Y3011" s="8" t="e">
        <f>+VLOOKUP(M3011,[1]SKU!$B$3:$E$81,4,0)</f>
        <v>#N/A</v>
      </c>
      <c r="Z3011" s="8" t="str">
        <f t="shared" ref="Z3011:Z3074" si="47">+IF(J3011="VB01                          ","BEES","FLEX")</f>
        <v>FLEX</v>
      </c>
      <c r="AA3011" s="8" t="e">
        <f>+VLOOKUP(I3011,[1]SKU!$H$2:$I$97,2,0)</f>
        <v>#N/A</v>
      </c>
    </row>
    <row r="3012" spans="24:27">
      <c r="X3012" s="8" t="str">
        <f>+IFERROR(VLOOKUP(N3012,[1]Hoja1!$B$2:$F$52,4,0)*P3012,"")</f>
        <v/>
      </c>
      <c r="Y3012" s="8" t="e">
        <f>+VLOOKUP(M3012,[1]SKU!$B$3:$E$81,4,0)</f>
        <v>#N/A</v>
      </c>
      <c r="Z3012" s="8" t="str">
        <f t="shared" si="47"/>
        <v>FLEX</v>
      </c>
      <c r="AA3012" s="8" t="e">
        <f>+VLOOKUP(I3012,[1]SKU!$H$2:$I$97,2,0)</f>
        <v>#N/A</v>
      </c>
    </row>
    <row r="3013" spans="24:27">
      <c r="X3013" s="8" t="str">
        <f>+IFERROR(VLOOKUP(N3013,[1]Hoja1!$B$2:$F$52,4,0)*P3013,"")</f>
        <v/>
      </c>
      <c r="Y3013" s="8" t="e">
        <f>+VLOOKUP(M3013,[1]SKU!$B$3:$E$81,4,0)</f>
        <v>#N/A</v>
      </c>
      <c r="Z3013" s="8" t="str">
        <f t="shared" si="47"/>
        <v>FLEX</v>
      </c>
      <c r="AA3013" s="8" t="e">
        <f>+VLOOKUP(I3013,[1]SKU!$H$2:$I$97,2,0)</f>
        <v>#N/A</v>
      </c>
    </row>
    <row r="3014" spans="24:27">
      <c r="X3014" s="8" t="str">
        <f>+IFERROR(VLOOKUP(N3014,[1]Hoja1!$B$2:$F$52,4,0)*P3014,"")</f>
        <v/>
      </c>
      <c r="Y3014" s="8" t="e">
        <f>+VLOOKUP(M3014,[1]SKU!$B$3:$E$81,4,0)</f>
        <v>#N/A</v>
      </c>
      <c r="Z3014" s="8" t="str">
        <f t="shared" si="47"/>
        <v>FLEX</v>
      </c>
      <c r="AA3014" s="8" t="e">
        <f>+VLOOKUP(I3014,[1]SKU!$H$2:$I$97,2,0)</f>
        <v>#N/A</v>
      </c>
    </row>
    <row r="3015" spans="24:27">
      <c r="X3015" s="8" t="str">
        <f>+IFERROR(VLOOKUP(N3015,[1]Hoja1!$B$2:$F$52,4,0)*P3015,"")</f>
        <v/>
      </c>
      <c r="Y3015" s="8" t="e">
        <f>+VLOOKUP(M3015,[1]SKU!$B$3:$E$81,4,0)</f>
        <v>#N/A</v>
      </c>
      <c r="Z3015" s="8" t="str">
        <f t="shared" si="47"/>
        <v>FLEX</v>
      </c>
      <c r="AA3015" s="8" t="e">
        <f>+VLOOKUP(I3015,[1]SKU!$H$2:$I$97,2,0)</f>
        <v>#N/A</v>
      </c>
    </row>
    <row r="3016" spans="24:27">
      <c r="X3016" s="8" t="str">
        <f>+IFERROR(VLOOKUP(N3016,[1]Hoja1!$B$2:$F$52,4,0)*P3016,"")</f>
        <v/>
      </c>
      <c r="Y3016" s="8" t="e">
        <f>+VLOOKUP(M3016,[1]SKU!$B$3:$E$81,4,0)</f>
        <v>#N/A</v>
      </c>
      <c r="Z3016" s="8" t="str">
        <f t="shared" si="47"/>
        <v>FLEX</v>
      </c>
      <c r="AA3016" s="8" t="e">
        <f>+VLOOKUP(I3016,[1]SKU!$H$2:$I$97,2,0)</f>
        <v>#N/A</v>
      </c>
    </row>
    <row r="3017" spans="24:27">
      <c r="X3017" s="8" t="str">
        <f>+IFERROR(VLOOKUP(N3017,[1]Hoja1!$B$2:$F$52,4,0)*P3017,"")</f>
        <v/>
      </c>
      <c r="Y3017" s="8" t="e">
        <f>+VLOOKUP(M3017,[1]SKU!$B$3:$E$81,4,0)</f>
        <v>#N/A</v>
      </c>
      <c r="Z3017" s="8" t="str">
        <f t="shared" si="47"/>
        <v>FLEX</v>
      </c>
      <c r="AA3017" s="8" t="e">
        <f>+VLOOKUP(I3017,[1]SKU!$H$2:$I$97,2,0)</f>
        <v>#N/A</v>
      </c>
    </row>
    <row r="3018" spans="24:27">
      <c r="X3018" s="8" t="str">
        <f>+IFERROR(VLOOKUP(N3018,[1]Hoja1!$B$2:$F$52,4,0)*P3018,"")</f>
        <v/>
      </c>
      <c r="Y3018" s="8" t="e">
        <f>+VLOOKUP(M3018,[1]SKU!$B$3:$E$81,4,0)</f>
        <v>#N/A</v>
      </c>
      <c r="Z3018" s="8" t="str">
        <f t="shared" si="47"/>
        <v>FLEX</v>
      </c>
      <c r="AA3018" s="8" t="e">
        <f>+VLOOKUP(I3018,[1]SKU!$H$2:$I$97,2,0)</f>
        <v>#N/A</v>
      </c>
    </row>
    <row r="3019" spans="24:27">
      <c r="X3019" s="8" t="str">
        <f>+IFERROR(VLOOKUP(N3019,[1]Hoja1!$B$2:$F$52,4,0)*P3019,"")</f>
        <v/>
      </c>
      <c r="Y3019" s="8" t="e">
        <f>+VLOOKUP(M3019,[1]SKU!$B$3:$E$81,4,0)</f>
        <v>#N/A</v>
      </c>
      <c r="Z3019" s="8" t="str">
        <f t="shared" si="47"/>
        <v>FLEX</v>
      </c>
      <c r="AA3019" s="8" t="e">
        <f>+VLOOKUP(I3019,[1]SKU!$H$2:$I$97,2,0)</f>
        <v>#N/A</v>
      </c>
    </row>
    <row r="3020" spans="24:27">
      <c r="X3020" s="8" t="str">
        <f>+IFERROR(VLOOKUP(N3020,[1]Hoja1!$B$2:$F$52,4,0)*P3020,"")</f>
        <v/>
      </c>
      <c r="Y3020" s="8" t="e">
        <f>+VLOOKUP(M3020,[1]SKU!$B$3:$E$81,4,0)</f>
        <v>#N/A</v>
      </c>
      <c r="Z3020" s="8" t="str">
        <f t="shared" si="47"/>
        <v>FLEX</v>
      </c>
      <c r="AA3020" s="8" t="e">
        <f>+VLOOKUP(I3020,[1]SKU!$H$2:$I$97,2,0)</f>
        <v>#N/A</v>
      </c>
    </row>
    <row r="3021" spans="24:27">
      <c r="X3021" s="8" t="str">
        <f>+IFERROR(VLOOKUP(N3021,[1]Hoja1!$B$2:$F$52,4,0)*P3021,"")</f>
        <v/>
      </c>
      <c r="Y3021" s="8" t="e">
        <f>+VLOOKUP(M3021,[1]SKU!$B$3:$E$81,4,0)</f>
        <v>#N/A</v>
      </c>
      <c r="Z3021" s="8" t="str">
        <f t="shared" si="47"/>
        <v>FLEX</v>
      </c>
      <c r="AA3021" s="8" t="e">
        <f>+VLOOKUP(I3021,[1]SKU!$H$2:$I$97,2,0)</f>
        <v>#N/A</v>
      </c>
    </row>
    <row r="3022" spans="24:27">
      <c r="X3022" s="8" t="str">
        <f>+IFERROR(VLOOKUP(N3022,[1]Hoja1!$B$2:$F$52,4,0)*P3022,"")</f>
        <v/>
      </c>
      <c r="Y3022" s="8" t="e">
        <f>+VLOOKUP(M3022,[1]SKU!$B$3:$E$81,4,0)</f>
        <v>#N/A</v>
      </c>
      <c r="Z3022" s="8" t="str">
        <f t="shared" si="47"/>
        <v>FLEX</v>
      </c>
      <c r="AA3022" s="8" t="e">
        <f>+VLOOKUP(I3022,[1]SKU!$H$2:$I$97,2,0)</f>
        <v>#N/A</v>
      </c>
    </row>
    <row r="3023" spans="24:27">
      <c r="X3023" s="8" t="str">
        <f>+IFERROR(VLOOKUP(N3023,[1]Hoja1!$B$2:$F$52,4,0)*P3023,"")</f>
        <v/>
      </c>
      <c r="Y3023" s="8" t="e">
        <f>+VLOOKUP(M3023,[1]SKU!$B$3:$E$81,4,0)</f>
        <v>#N/A</v>
      </c>
      <c r="Z3023" s="8" t="str">
        <f t="shared" si="47"/>
        <v>FLEX</v>
      </c>
      <c r="AA3023" s="8" t="e">
        <f>+VLOOKUP(I3023,[1]SKU!$H$2:$I$97,2,0)</f>
        <v>#N/A</v>
      </c>
    </row>
    <row r="3024" spans="24:27">
      <c r="X3024" s="8" t="str">
        <f>+IFERROR(VLOOKUP(N3024,[1]Hoja1!$B$2:$F$52,4,0)*P3024,"")</f>
        <v/>
      </c>
      <c r="Y3024" s="8" t="e">
        <f>+VLOOKUP(M3024,[1]SKU!$B$3:$E$81,4,0)</f>
        <v>#N/A</v>
      </c>
      <c r="Z3024" s="8" t="str">
        <f t="shared" si="47"/>
        <v>FLEX</v>
      </c>
      <c r="AA3024" s="8" t="e">
        <f>+VLOOKUP(I3024,[1]SKU!$H$2:$I$97,2,0)</f>
        <v>#N/A</v>
      </c>
    </row>
    <row r="3025" spans="24:27">
      <c r="X3025" s="8" t="str">
        <f>+IFERROR(VLOOKUP(N3025,[1]Hoja1!$B$2:$F$52,4,0)*P3025,"")</f>
        <v/>
      </c>
      <c r="Y3025" s="8" t="e">
        <f>+VLOOKUP(M3025,[1]SKU!$B$3:$E$81,4,0)</f>
        <v>#N/A</v>
      </c>
      <c r="Z3025" s="8" t="str">
        <f t="shared" si="47"/>
        <v>FLEX</v>
      </c>
      <c r="AA3025" s="8" t="e">
        <f>+VLOOKUP(I3025,[1]SKU!$H$2:$I$97,2,0)</f>
        <v>#N/A</v>
      </c>
    </row>
    <row r="3026" spans="24:27">
      <c r="X3026" s="8" t="str">
        <f>+IFERROR(VLOOKUP(N3026,[1]Hoja1!$B$2:$F$52,4,0)*P3026,"")</f>
        <v/>
      </c>
      <c r="Y3026" s="8" t="e">
        <f>+VLOOKUP(M3026,[1]SKU!$B$3:$E$81,4,0)</f>
        <v>#N/A</v>
      </c>
      <c r="Z3026" s="8" t="str">
        <f t="shared" si="47"/>
        <v>FLEX</v>
      </c>
      <c r="AA3026" s="8" t="e">
        <f>+VLOOKUP(I3026,[1]SKU!$H$2:$I$97,2,0)</f>
        <v>#N/A</v>
      </c>
    </row>
    <row r="3027" spans="24:27">
      <c r="X3027" s="8" t="str">
        <f>+IFERROR(VLOOKUP(N3027,[1]Hoja1!$B$2:$F$52,4,0)*P3027,"")</f>
        <v/>
      </c>
      <c r="Y3027" s="8" t="e">
        <f>+VLOOKUP(M3027,[1]SKU!$B$3:$E$81,4,0)</f>
        <v>#N/A</v>
      </c>
      <c r="Z3027" s="8" t="str">
        <f t="shared" si="47"/>
        <v>FLEX</v>
      </c>
      <c r="AA3027" s="8" t="e">
        <f>+VLOOKUP(I3027,[1]SKU!$H$2:$I$97,2,0)</f>
        <v>#N/A</v>
      </c>
    </row>
    <row r="3028" spans="24:27">
      <c r="X3028" s="8" t="str">
        <f>+IFERROR(VLOOKUP(N3028,[1]Hoja1!$B$2:$F$52,4,0)*P3028,"")</f>
        <v/>
      </c>
      <c r="Y3028" s="8" t="e">
        <f>+VLOOKUP(M3028,[1]SKU!$B$3:$E$81,4,0)</f>
        <v>#N/A</v>
      </c>
      <c r="Z3028" s="8" t="str">
        <f t="shared" si="47"/>
        <v>FLEX</v>
      </c>
      <c r="AA3028" s="8" t="e">
        <f>+VLOOKUP(I3028,[1]SKU!$H$2:$I$97,2,0)</f>
        <v>#N/A</v>
      </c>
    </row>
    <row r="3029" spans="24:27">
      <c r="X3029" s="8" t="str">
        <f>+IFERROR(VLOOKUP(N3029,[1]Hoja1!$B$2:$F$52,4,0)*P3029,"")</f>
        <v/>
      </c>
      <c r="Y3029" s="8" t="e">
        <f>+VLOOKUP(M3029,[1]SKU!$B$3:$E$81,4,0)</f>
        <v>#N/A</v>
      </c>
      <c r="Z3029" s="8" t="str">
        <f t="shared" si="47"/>
        <v>FLEX</v>
      </c>
      <c r="AA3029" s="8" t="e">
        <f>+VLOOKUP(I3029,[1]SKU!$H$2:$I$97,2,0)</f>
        <v>#N/A</v>
      </c>
    </row>
    <row r="3030" spans="24:27">
      <c r="X3030" s="8" t="str">
        <f>+IFERROR(VLOOKUP(N3030,[1]Hoja1!$B$2:$F$52,4,0)*P3030,"")</f>
        <v/>
      </c>
      <c r="Y3030" s="8" t="e">
        <f>+VLOOKUP(M3030,[1]SKU!$B$3:$E$81,4,0)</f>
        <v>#N/A</v>
      </c>
      <c r="Z3030" s="8" t="str">
        <f t="shared" si="47"/>
        <v>FLEX</v>
      </c>
      <c r="AA3030" s="8" t="e">
        <f>+VLOOKUP(I3030,[1]SKU!$H$2:$I$97,2,0)</f>
        <v>#N/A</v>
      </c>
    </row>
    <row r="3031" spans="24:27">
      <c r="X3031" s="8" t="str">
        <f>+IFERROR(VLOOKUP(N3031,[1]Hoja1!$B$2:$F$52,4,0)*P3031,"")</f>
        <v/>
      </c>
      <c r="Y3031" s="8" t="e">
        <f>+VLOOKUP(M3031,[1]SKU!$B$3:$E$81,4,0)</f>
        <v>#N/A</v>
      </c>
      <c r="Z3031" s="8" t="str">
        <f t="shared" si="47"/>
        <v>FLEX</v>
      </c>
      <c r="AA3031" s="8" t="e">
        <f>+VLOOKUP(I3031,[1]SKU!$H$2:$I$97,2,0)</f>
        <v>#N/A</v>
      </c>
    </row>
    <row r="3032" spans="24:27">
      <c r="X3032" s="8" t="str">
        <f>+IFERROR(VLOOKUP(N3032,[1]Hoja1!$B$2:$F$52,4,0)*P3032,"")</f>
        <v/>
      </c>
      <c r="Y3032" s="8" t="e">
        <f>+VLOOKUP(M3032,[1]SKU!$B$3:$E$81,4,0)</f>
        <v>#N/A</v>
      </c>
      <c r="Z3032" s="8" t="str">
        <f t="shared" si="47"/>
        <v>FLEX</v>
      </c>
      <c r="AA3032" s="8" t="e">
        <f>+VLOOKUP(I3032,[1]SKU!$H$2:$I$97,2,0)</f>
        <v>#N/A</v>
      </c>
    </row>
    <row r="3033" spans="24:27">
      <c r="X3033" s="8" t="str">
        <f>+IFERROR(VLOOKUP(N3033,[1]Hoja1!$B$2:$F$52,4,0)*P3033,"")</f>
        <v/>
      </c>
      <c r="Y3033" s="8" t="e">
        <f>+VLOOKUP(M3033,[1]SKU!$B$3:$E$81,4,0)</f>
        <v>#N/A</v>
      </c>
      <c r="Z3033" s="8" t="str">
        <f t="shared" si="47"/>
        <v>FLEX</v>
      </c>
      <c r="AA3033" s="8" t="e">
        <f>+VLOOKUP(I3033,[1]SKU!$H$2:$I$97,2,0)</f>
        <v>#N/A</v>
      </c>
    </row>
    <row r="3034" spans="24:27">
      <c r="X3034" s="8" t="str">
        <f>+IFERROR(VLOOKUP(N3034,[1]Hoja1!$B$2:$F$52,4,0)*P3034,"")</f>
        <v/>
      </c>
      <c r="Y3034" s="8" t="e">
        <f>+VLOOKUP(M3034,[1]SKU!$B$3:$E$81,4,0)</f>
        <v>#N/A</v>
      </c>
      <c r="Z3034" s="8" t="str">
        <f t="shared" si="47"/>
        <v>FLEX</v>
      </c>
      <c r="AA3034" s="8" t="e">
        <f>+VLOOKUP(I3034,[1]SKU!$H$2:$I$97,2,0)</f>
        <v>#N/A</v>
      </c>
    </row>
    <row r="3035" spans="24:27">
      <c r="X3035" s="8" t="str">
        <f>+IFERROR(VLOOKUP(N3035,[1]Hoja1!$B$2:$F$52,4,0)*P3035,"")</f>
        <v/>
      </c>
      <c r="Y3035" s="8" t="e">
        <f>+VLOOKUP(M3035,[1]SKU!$B$3:$E$81,4,0)</f>
        <v>#N/A</v>
      </c>
      <c r="Z3035" s="8" t="str">
        <f t="shared" si="47"/>
        <v>FLEX</v>
      </c>
      <c r="AA3035" s="8" t="e">
        <f>+VLOOKUP(I3035,[1]SKU!$H$2:$I$97,2,0)</f>
        <v>#N/A</v>
      </c>
    </row>
    <row r="3036" spans="24:27">
      <c r="X3036" s="8" t="str">
        <f>+IFERROR(VLOOKUP(N3036,[1]Hoja1!$B$2:$F$52,4,0)*P3036,"")</f>
        <v/>
      </c>
      <c r="Y3036" s="8" t="e">
        <f>+VLOOKUP(M3036,[1]SKU!$B$3:$E$81,4,0)</f>
        <v>#N/A</v>
      </c>
      <c r="Z3036" s="8" t="str">
        <f t="shared" si="47"/>
        <v>FLEX</v>
      </c>
      <c r="AA3036" s="8" t="e">
        <f>+VLOOKUP(I3036,[1]SKU!$H$2:$I$97,2,0)</f>
        <v>#N/A</v>
      </c>
    </row>
    <row r="3037" spans="24:27">
      <c r="X3037" s="8" t="str">
        <f>+IFERROR(VLOOKUP(N3037,[1]Hoja1!$B$2:$F$52,4,0)*P3037,"")</f>
        <v/>
      </c>
      <c r="Y3037" s="8" t="e">
        <f>+VLOOKUP(M3037,[1]SKU!$B$3:$E$81,4,0)</f>
        <v>#N/A</v>
      </c>
      <c r="Z3037" s="8" t="str">
        <f t="shared" si="47"/>
        <v>FLEX</v>
      </c>
      <c r="AA3037" s="8" t="e">
        <f>+VLOOKUP(I3037,[1]SKU!$H$2:$I$97,2,0)</f>
        <v>#N/A</v>
      </c>
    </row>
    <row r="3038" spans="24:27">
      <c r="X3038" s="8" t="str">
        <f>+IFERROR(VLOOKUP(N3038,[1]Hoja1!$B$2:$F$52,4,0)*P3038,"")</f>
        <v/>
      </c>
      <c r="Y3038" s="8" t="e">
        <f>+VLOOKUP(M3038,[1]SKU!$B$3:$E$81,4,0)</f>
        <v>#N/A</v>
      </c>
      <c r="Z3038" s="8" t="str">
        <f t="shared" si="47"/>
        <v>FLEX</v>
      </c>
      <c r="AA3038" s="8" t="e">
        <f>+VLOOKUP(I3038,[1]SKU!$H$2:$I$97,2,0)</f>
        <v>#N/A</v>
      </c>
    </row>
    <row r="3039" spans="24:27">
      <c r="X3039" s="8" t="str">
        <f>+IFERROR(VLOOKUP(N3039,[1]Hoja1!$B$2:$F$52,4,0)*P3039,"")</f>
        <v/>
      </c>
      <c r="Y3039" s="8" t="e">
        <f>+VLOOKUP(M3039,[1]SKU!$B$3:$E$81,4,0)</f>
        <v>#N/A</v>
      </c>
      <c r="Z3039" s="8" t="str">
        <f t="shared" si="47"/>
        <v>FLEX</v>
      </c>
      <c r="AA3039" s="8" t="e">
        <f>+VLOOKUP(I3039,[1]SKU!$H$2:$I$97,2,0)</f>
        <v>#N/A</v>
      </c>
    </row>
    <row r="3040" spans="24:27">
      <c r="X3040" s="8" t="str">
        <f>+IFERROR(VLOOKUP(N3040,[1]Hoja1!$B$2:$F$52,4,0)*P3040,"")</f>
        <v/>
      </c>
      <c r="Y3040" s="8" t="e">
        <f>+VLOOKUP(M3040,[1]SKU!$B$3:$E$81,4,0)</f>
        <v>#N/A</v>
      </c>
      <c r="Z3040" s="8" t="str">
        <f t="shared" si="47"/>
        <v>FLEX</v>
      </c>
      <c r="AA3040" s="8" t="e">
        <f>+VLOOKUP(I3040,[1]SKU!$H$2:$I$97,2,0)</f>
        <v>#N/A</v>
      </c>
    </row>
    <row r="3041" spans="24:27">
      <c r="X3041" s="8" t="str">
        <f>+IFERROR(VLOOKUP(N3041,[1]Hoja1!$B$2:$F$52,4,0)*P3041,"")</f>
        <v/>
      </c>
      <c r="Y3041" s="8" t="e">
        <f>+VLOOKUP(M3041,[1]SKU!$B$3:$E$81,4,0)</f>
        <v>#N/A</v>
      </c>
      <c r="Z3041" s="8" t="str">
        <f t="shared" si="47"/>
        <v>FLEX</v>
      </c>
      <c r="AA3041" s="8" t="e">
        <f>+VLOOKUP(I3041,[1]SKU!$H$2:$I$97,2,0)</f>
        <v>#N/A</v>
      </c>
    </row>
    <row r="3042" spans="24:27">
      <c r="X3042" s="8" t="str">
        <f>+IFERROR(VLOOKUP(N3042,[1]Hoja1!$B$2:$F$52,4,0)*P3042,"")</f>
        <v/>
      </c>
      <c r="Y3042" s="8" t="e">
        <f>+VLOOKUP(M3042,[1]SKU!$B$3:$E$81,4,0)</f>
        <v>#N/A</v>
      </c>
      <c r="Z3042" s="8" t="str">
        <f t="shared" si="47"/>
        <v>FLEX</v>
      </c>
      <c r="AA3042" s="8" t="e">
        <f>+VLOOKUP(I3042,[1]SKU!$H$2:$I$97,2,0)</f>
        <v>#N/A</v>
      </c>
    </row>
    <row r="3043" spans="24:27">
      <c r="X3043" s="8" t="str">
        <f>+IFERROR(VLOOKUP(N3043,[1]Hoja1!$B$2:$F$52,4,0)*P3043,"")</f>
        <v/>
      </c>
      <c r="Y3043" s="8" t="e">
        <f>+VLOOKUP(M3043,[1]SKU!$B$3:$E$81,4,0)</f>
        <v>#N/A</v>
      </c>
      <c r="Z3043" s="8" t="str">
        <f t="shared" si="47"/>
        <v>FLEX</v>
      </c>
      <c r="AA3043" s="8" t="e">
        <f>+VLOOKUP(I3043,[1]SKU!$H$2:$I$97,2,0)</f>
        <v>#N/A</v>
      </c>
    </row>
    <row r="3044" spans="24:27">
      <c r="X3044" s="8" t="str">
        <f>+IFERROR(VLOOKUP(N3044,[1]Hoja1!$B$2:$F$52,4,0)*P3044,"")</f>
        <v/>
      </c>
      <c r="Y3044" s="8" t="e">
        <f>+VLOOKUP(M3044,[1]SKU!$B$3:$E$81,4,0)</f>
        <v>#N/A</v>
      </c>
      <c r="Z3044" s="8" t="str">
        <f t="shared" si="47"/>
        <v>FLEX</v>
      </c>
      <c r="AA3044" s="8" t="e">
        <f>+VLOOKUP(I3044,[1]SKU!$H$2:$I$97,2,0)</f>
        <v>#N/A</v>
      </c>
    </row>
    <row r="3045" spans="24:27">
      <c r="X3045" s="8" t="str">
        <f>+IFERROR(VLOOKUP(N3045,[1]Hoja1!$B$2:$F$52,4,0)*P3045,"")</f>
        <v/>
      </c>
      <c r="Y3045" s="8" t="e">
        <f>+VLOOKUP(M3045,[1]SKU!$B$3:$E$81,4,0)</f>
        <v>#N/A</v>
      </c>
      <c r="Z3045" s="8" t="str">
        <f t="shared" si="47"/>
        <v>FLEX</v>
      </c>
      <c r="AA3045" s="8" t="e">
        <f>+VLOOKUP(I3045,[1]SKU!$H$2:$I$97,2,0)</f>
        <v>#N/A</v>
      </c>
    </row>
    <row r="3046" spans="24:27">
      <c r="X3046" s="8" t="str">
        <f>+IFERROR(VLOOKUP(N3046,[1]Hoja1!$B$2:$F$52,4,0)*P3046,"")</f>
        <v/>
      </c>
      <c r="Y3046" s="8" t="e">
        <f>+VLOOKUP(M3046,[1]SKU!$B$3:$E$81,4,0)</f>
        <v>#N/A</v>
      </c>
      <c r="Z3046" s="8" t="str">
        <f t="shared" si="47"/>
        <v>FLEX</v>
      </c>
      <c r="AA3046" s="8" t="e">
        <f>+VLOOKUP(I3046,[1]SKU!$H$2:$I$97,2,0)</f>
        <v>#N/A</v>
      </c>
    </row>
    <row r="3047" spans="24:27">
      <c r="X3047" s="8" t="str">
        <f>+IFERROR(VLOOKUP(N3047,[1]Hoja1!$B$2:$F$52,4,0)*P3047,"")</f>
        <v/>
      </c>
      <c r="Y3047" s="8" t="e">
        <f>+VLOOKUP(M3047,[1]SKU!$B$3:$E$81,4,0)</f>
        <v>#N/A</v>
      </c>
      <c r="Z3047" s="8" t="str">
        <f t="shared" si="47"/>
        <v>FLEX</v>
      </c>
      <c r="AA3047" s="8" t="e">
        <f>+VLOOKUP(I3047,[1]SKU!$H$2:$I$97,2,0)</f>
        <v>#N/A</v>
      </c>
    </row>
    <row r="3048" spans="24:27">
      <c r="X3048" s="8" t="str">
        <f>+IFERROR(VLOOKUP(N3048,[1]Hoja1!$B$2:$F$52,4,0)*P3048,"")</f>
        <v/>
      </c>
      <c r="Y3048" s="8" t="e">
        <f>+VLOOKUP(M3048,[1]SKU!$B$3:$E$81,4,0)</f>
        <v>#N/A</v>
      </c>
      <c r="Z3048" s="8" t="str">
        <f t="shared" si="47"/>
        <v>FLEX</v>
      </c>
      <c r="AA3048" s="8" t="e">
        <f>+VLOOKUP(I3048,[1]SKU!$H$2:$I$97,2,0)</f>
        <v>#N/A</v>
      </c>
    </row>
    <row r="3049" spans="24:27">
      <c r="X3049" s="8" t="str">
        <f>+IFERROR(VLOOKUP(N3049,[1]Hoja1!$B$2:$F$52,4,0)*P3049,"")</f>
        <v/>
      </c>
      <c r="Y3049" s="8" t="e">
        <f>+VLOOKUP(M3049,[1]SKU!$B$3:$E$81,4,0)</f>
        <v>#N/A</v>
      </c>
      <c r="Z3049" s="8" t="str">
        <f t="shared" si="47"/>
        <v>FLEX</v>
      </c>
      <c r="AA3049" s="8" t="e">
        <f>+VLOOKUP(I3049,[1]SKU!$H$2:$I$97,2,0)</f>
        <v>#N/A</v>
      </c>
    </row>
    <row r="3050" spans="24:27">
      <c r="X3050" s="8" t="str">
        <f>+IFERROR(VLOOKUP(N3050,[1]Hoja1!$B$2:$F$52,4,0)*P3050,"")</f>
        <v/>
      </c>
      <c r="Y3050" s="8" t="e">
        <f>+VLOOKUP(M3050,[1]SKU!$B$3:$E$81,4,0)</f>
        <v>#N/A</v>
      </c>
      <c r="Z3050" s="8" t="str">
        <f t="shared" si="47"/>
        <v>FLEX</v>
      </c>
      <c r="AA3050" s="8" t="e">
        <f>+VLOOKUP(I3050,[1]SKU!$H$2:$I$97,2,0)</f>
        <v>#N/A</v>
      </c>
    </row>
    <row r="3051" spans="24:27">
      <c r="X3051" s="8" t="str">
        <f>+IFERROR(VLOOKUP(N3051,[1]Hoja1!$B$2:$F$52,4,0)*P3051,"")</f>
        <v/>
      </c>
      <c r="Y3051" s="8" t="e">
        <f>+VLOOKUP(M3051,[1]SKU!$B$3:$E$81,4,0)</f>
        <v>#N/A</v>
      </c>
      <c r="Z3051" s="8" t="str">
        <f t="shared" si="47"/>
        <v>FLEX</v>
      </c>
      <c r="AA3051" s="8" t="e">
        <f>+VLOOKUP(I3051,[1]SKU!$H$2:$I$97,2,0)</f>
        <v>#N/A</v>
      </c>
    </row>
    <row r="3052" spans="24:27">
      <c r="X3052" s="8" t="str">
        <f>+IFERROR(VLOOKUP(N3052,[1]Hoja1!$B$2:$F$52,4,0)*P3052,"")</f>
        <v/>
      </c>
      <c r="Y3052" s="8" t="e">
        <f>+VLOOKUP(M3052,[1]SKU!$B$3:$E$81,4,0)</f>
        <v>#N/A</v>
      </c>
      <c r="Z3052" s="8" t="str">
        <f t="shared" si="47"/>
        <v>FLEX</v>
      </c>
      <c r="AA3052" s="8" t="e">
        <f>+VLOOKUP(I3052,[1]SKU!$H$2:$I$97,2,0)</f>
        <v>#N/A</v>
      </c>
    </row>
    <row r="3053" spans="24:27">
      <c r="X3053" s="8" t="str">
        <f>+IFERROR(VLOOKUP(N3053,[1]Hoja1!$B$2:$F$52,4,0)*P3053,"")</f>
        <v/>
      </c>
      <c r="Y3053" s="8" t="e">
        <f>+VLOOKUP(M3053,[1]SKU!$B$3:$E$81,4,0)</f>
        <v>#N/A</v>
      </c>
      <c r="Z3053" s="8" t="str">
        <f t="shared" si="47"/>
        <v>FLEX</v>
      </c>
      <c r="AA3053" s="8" t="e">
        <f>+VLOOKUP(I3053,[1]SKU!$H$2:$I$97,2,0)</f>
        <v>#N/A</v>
      </c>
    </row>
    <row r="3054" spans="24:27">
      <c r="X3054" s="8" t="str">
        <f>+IFERROR(VLOOKUP(N3054,[1]Hoja1!$B$2:$F$52,4,0)*P3054,"")</f>
        <v/>
      </c>
      <c r="Y3054" s="8" t="e">
        <f>+VLOOKUP(M3054,[1]SKU!$B$3:$E$81,4,0)</f>
        <v>#N/A</v>
      </c>
      <c r="Z3054" s="8" t="str">
        <f t="shared" si="47"/>
        <v>FLEX</v>
      </c>
      <c r="AA3054" s="8" t="e">
        <f>+VLOOKUP(I3054,[1]SKU!$H$2:$I$97,2,0)</f>
        <v>#N/A</v>
      </c>
    </row>
    <row r="3055" spans="24:27">
      <c r="X3055" s="8" t="str">
        <f>+IFERROR(VLOOKUP(N3055,[1]Hoja1!$B$2:$F$52,4,0)*P3055,"")</f>
        <v/>
      </c>
      <c r="Y3055" s="8" t="e">
        <f>+VLOOKUP(M3055,[1]SKU!$B$3:$E$81,4,0)</f>
        <v>#N/A</v>
      </c>
      <c r="Z3055" s="8" t="str">
        <f t="shared" si="47"/>
        <v>FLEX</v>
      </c>
      <c r="AA3055" s="8" t="e">
        <f>+VLOOKUP(I3055,[1]SKU!$H$2:$I$97,2,0)</f>
        <v>#N/A</v>
      </c>
    </row>
    <row r="3056" spans="24:27">
      <c r="X3056" s="8" t="str">
        <f>+IFERROR(VLOOKUP(N3056,[1]Hoja1!$B$2:$F$52,4,0)*P3056,"")</f>
        <v/>
      </c>
      <c r="Y3056" s="8" t="e">
        <f>+VLOOKUP(M3056,[1]SKU!$B$3:$E$81,4,0)</f>
        <v>#N/A</v>
      </c>
      <c r="Z3056" s="8" t="str">
        <f t="shared" si="47"/>
        <v>FLEX</v>
      </c>
      <c r="AA3056" s="8" t="e">
        <f>+VLOOKUP(I3056,[1]SKU!$H$2:$I$97,2,0)</f>
        <v>#N/A</v>
      </c>
    </row>
    <row r="3057" spans="24:27">
      <c r="X3057" s="8" t="str">
        <f>+IFERROR(VLOOKUP(N3057,[1]Hoja1!$B$2:$F$52,4,0)*P3057,"")</f>
        <v/>
      </c>
      <c r="Y3057" s="8" t="e">
        <f>+VLOOKUP(M3057,[1]SKU!$B$3:$E$81,4,0)</f>
        <v>#N/A</v>
      </c>
      <c r="Z3057" s="8" t="str">
        <f t="shared" si="47"/>
        <v>FLEX</v>
      </c>
      <c r="AA3057" s="8" t="e">
        <f>+VLOOKUP(I3057,[1]SKU!$H$2:$I$97,2,0)</f>
        <v>#N/A</v>
      </c>
    </row>
    <row r="3058" spans="24:27">
      <c r="X3058" s="8" t="str">
        <f>+IFERROR(VLOOKUP(N3058,[1]Hoja1!$B$2:$F$52,4,0)*P3058,"")</f>
        <v/>
      </c>
      <c r="Y3058" s="8" t="e">
        <f>+VLOOKUP(M3058,[1]SKU!$B$3:$E$81,4,0)</f>
        <v>#N/A</v>
      </c>
      <c r="Z3058" s="8" t="str">
        <f t="shared" si="47"/>
        <v>FLEX</v>
      </c>
      <c r="AA3058" s="8" t="e">
        <f>+VLOOKUP(I3058,[1]SKU!$H$2:$I$97,2,0)</f>
        <v>#N/A</v>
      </c>
    </row>
    <row r="3059" spans="24:27">
      <c r="X3059" s="8" t="str">
        <f>+IFERROR(VLOOKUP(N3059,[1]Hoja1!$B$2:$F$52,4,0)*P3059,"")</f>
        <v/>
      </c>
      <c r="Y3059" s="8" t="e">
        <f>+VLOOKUP(M3059,[1]SKU!$B$3:$E$81,4,0)</f>
        <v>#N/A</v>
      </c>
      <c r="Z3059" s="8" t="str">
        <f t="shared" si="47"/>
        <v>FLEX</v>
      </c>
      <c r="AA3059" s="8" t="e">
        <f>+VLOOKUP(I3059,[1]SKU!$H$2:$I$97,2,0)</f>
        <v>#N/A</v>
      </c>
    </row>
    <row r="3060" spans="24:27">
      <c r="X3060" s="8" t="str">
        <f>+IFERROR(VLOOKUP(N3060,[1]Hoja1!$B$2:$F$52,4,0)*P3060,"")</f>
        <v/>
      </c>
      <c r="Y3060" s="8" t="e">
        <f>+VLOOKUP(M3060,[1]SKU!$B$3:$E$81,4,0)</f>
        <v>#N/A</v>
      </c>
      <c r="Z3060" s="8" t="str">
        <f t="shared" si="47"/>
        <v>FLEX</v>
      </c>
      <c r="AA3060" s="8" t="e">
        <f>+VLOOKUP(I3060,[1]SKU!$H$2:$I$97,2,0)</f>
        <v>#N/A</v>
      </c>
    </row>
    <row r="3061" spans="24:27">
      <c r="X3061" s="8" t="str">
        <f>+IFERROR(VLOOKUP(N3061,[1]Hoja1!$B$2:$F$52,4,0)*P3061,"")</f>
        <v/>
      </c>
      <c r="Y3061" s="8" t="e">
        <f>+VLOOKUP(M3061,[1]SKU!$B$3:$E$81,4,0)</f>
        <v>#N/A</v>
      </c>
      <c r="Z3061" s="8" t="str">
        <f t="shared" si="47"/>
        <v>FLEX</v>
      </c>
      <c r="AA3061" s="8" t="e">
        <f>+VLOOKUP(I3061,[1]SKU!$H$2:$I$97,2,0)</f>
        <v>#N/A</v>
      </c>
    </row>
    <row r="3062" spans="24:27">
      <c r="X3062" s="8" t="str">
        <f>+IFERROR(VLOOKUP(N3062,[1]Hoja1!$B$2:$F$52,4,0)*P3062,"")</f>
        <v/>
      </c>
      <c r="Y3062" s="8" t="e">
        <f>+VLOOKUP(M3062,[1]SKU!$B$3:$E$81,4,0)</f>
        <v>#N/A</v>
      </c>
      <c r="Z3062" s="8" t="str">
        <f t="shared" si="47"/>
        <v>FLEX</v>
      </c>
      <c r="AA3062" s="8" t="e">
        <f>+VLOOKUP(I3062,[1]SKU!$H$2:$I$97,2,0)</f>
        <v>#N/A</v>
      </c>
    </row>
    <row r="3063" spans="24:27">
      <c r="X3063" s="8" t="str">
        <f>+IFERROR(VLOOKUP(N3063,[1]Hoja1!$B$2:$F$52,4,0)*P3063,"")</f>
        <v/>
      </c>
      <c r="Y3063" s="8" t="e">
        <f>+VLOOKUP(M3063,[1]SKU!$B$3:$E$81,4,0)</f>
        <v>#N/A</v>
      </c>
      <c r="Z3063" s="8" t="str">
        <f t="shared" si="47"/>
        <v>FLEX</v>
      </c>
      <c r="AA3063" s="8" t="e">
        <f>+VLOOKUP(I3063,[1]SKU!$H$2:$I$97,2,0)</f>
        <v>#N/A</v>
      </c>
    </row>
    <row r="3064" spans="24:27">
      <c r="X3064" s="8" t="str">
        <f>+IFERROR(VLOOKUP(N3064,[1]Hoja1!$B$2:$F$52,4,0)*P3064,"")</f>
        <v/>
      </c>
      <c r="Y3064" s="8" t="e">
        <f>+VLOOKUP(M3064,[1]SKU!$B$3:$E$81,4,0)</f>
        <v>#N/A</v>
      </c>
      <c r="Z3064" s="8" t="str">
        <f t="shared" si="47"/>
        <v>FLEX</v>
      </c>
      <c r="AA3064" s="8" t="e">
        <f>+VLOOKUP(I3064,[1]SKU!$H$2:$I$97,2,0)</f>
        <v>#N/A</v>
      </c>
    </row>
    <row r="3065" spans="24:27">
      <c r="X3065" s="8" t="str">
        <f>+IFERROR(VLOOKUP(N3065,[1]Hoja1!$B$2:$F$52,4,0)*P3065,"")</f>
        <v/>
      </c>
      <c r="Y3065" s="8" t="e">
        <f>+VLOOKUP(M3065,[1]SKU!$B$3:$E$81,4,0)</f>
        <v>#N/A</v>
      </c>
      <c r="Z3065" s="8" t="str">
        <f t="shared" si="47"/>
        <v>FLEX</v>
      </c>
      <c r="AA3065" s="8" t="e">
        <f>+VLOOKUP(I3065,[1]SKU!$H$2:$I$97,2,0)</f>
        <v>#N/A</v>
      </c>
    </row>
    <row r="3066" spans="24:27">
      <c r="X3066" s="8" t="str">
        <f>+IFERROR(VLOOKUP(N3066,[1]Hoja1!$B$2:$F$52,4,0)*P3066,"")</f>
        <v/>
      </c>
      <c r="Y3066" s="8" t="e">
        <f>+VLOOKUP(M3066,[1]SKU!$B$3:$E$81,4,0)</f>
        <v>#N/A</v>
      </c>
      <c r="Z3066" s="8" t="str">
        <f t="shared" si="47"/>
        <v>FLEX</v>
      </c>
      <c r="AA3066" s="8" t="e">
        <f>+VLOOKUP(I3066,[1]SKU!$H$2:$I$97,2,0)</f>
        <v>#N/A</v>
      </c>
    </row>
    <row r="3067" spans="24:27">
      <c r="X3067" s="8" t="str">
        <f>+IFERROR(VLOOKUP(N3067,[1]Hoja1!$B$2:$F$52,4,0)*P3067,"")</f>
        <v/>
      </c>
      <c r="Y3067" s="8" t="e">
        <f>+VLOOKUP(M3067,[1]SKU!$B$3:$E$81,4,0)</f>
        <v>#N/A</v>
      </c>
      <c r="Z3067" s="8" t="str">
        <f t="shared" si="47"/>
        <v>FLEX</v>
      </c>
      <c r="AA3067" s="8" t="e">
        <f>+VLOOKUP(I3067,[1]SKU!$H$2:$I$97,2,0)</f>
        <v>#N/A</v>
      </c>
    </row>
    <row r="3068" spans="24:27">
      <c r="X3068" s="8" t="str">
        <f>+IFERROR(VLOOKUP(N3068,[1]Hoja1!$B$2:$F$52,4,0)*P3068,"")</f>
        <v/>
      </c>
      <c r="Y3068" s="8" t="e">
        <f>+VLOOKUP(M3068,[1]SKU!$B$3:$E$81,4,0)</f>
        <v>#N/A</v>
      </c>
      <c r="Z3068" s="8" t="str">
        <f t="shared" si="47"/>
        <v>FLEX</v>
      </c>
      <c r="AA3068" s="8" t="e">
        <f>+VLOOKUP(I3068,[1]SKU!$H$2:$I$97,2,0)</f>
        <v>#N/A</v>
      </c>
    </row>
    <row r="3069" spans="24:27">
      <c r="X3069" s="8" t="str">
        <f>+IFERROR(VLOOKUP(N3069,[1]Hoja1!$B$2:$F$52,4,0)*P3069,"")</f>
        <v/>
      </c>
      <c r="Y3069" s="8" t="e">
        <f>+VLOOKUP(M3069,[1]SKU!$B$3:$E$81,4,0)</f>
        <v>#N/A</v>
      </c>
      <c r="Z3069" s="8" t="str">
        <f t="shared" si="47"/>
        <v>FLEX</v>
      </c>
      <c r="AA3069" s="8" t="e">
        <f>+VLOOKUP(I3069,[1]SKU!$H$2:$I$97,2,0)</f>
        <v>#N/A</v>
      </c>
    </row>
    <row r="3070" spans="24:27">
      <c r="X3070" s="8" t="str">
        <f>+IFERROR(VLOOKUP(N3070,[1]Hoja1!$B$2:$F$52,4,0)*P3070,"")</f>
        <v/>
      </c>
      <c r="Y3070" s="8" t="e">
        <f>+VLOOKUP(M3070,[1]SKU!$B$3:$E$81,4,0)</f>
        <v>#N/A</v>
      </c>
      <c r="Z3070" s="8" t="str">
        <f t="shared" si="47"/>
        <v>FLEX</v>
      </c>
      <c r="AA3070" s="8" t="e">
        <f>+VLOOKUP(I3070,[1]SKU!$H$2:$I$97,2,0)</f>
        <v>#N/A</v>
      </c>
    </row>
    <row r="3071" spans="24:27">
      <c r="X3071" s="8" t="str">
        <f>+IFERROR(VLOOKUP(N3071,[1]Hoja1!$B$2:$F$52,4,0)*P3071,"")</f>
        <v/>
      </c>
      <c r="Y3071" s="8" t="e">
        <f>+VLOOKUP(M3071,[1]SKU!$B$3:$E$81,4,0)</f>
        <v>#N/A</v>
      </c>
      <c r="Z3071" s="8" t="str">
        <f t="shared" si="47"/>
        <v>FLEX</v>
      </c>
      <c r="AA3071" s="8" t="e">
        <f>+VLOOKUP(I3071,[1]SKU!$H$2:$I$97,2,0)</f>
        <v>#N/A</v>
      </c>
    </row>
    <row r="3072" spans="24:27">
      <c r="X3072" s="8" t="str">
        <f>+IFERROR(VLOOKUP(N3072,[1]Hoja1!$B$2:$F$52,4,0)*P3072,"")</f>
        <v/>
      </c>
      <c r="Y3072" s="8" t="e">
        <f>+VLOOKUP(M3072,[1]SKU!$B$3:$E$81,4,0)</f>
        <v>#N/A</v>
      </c>
      <c r="Z3072" s="8" t="str">
        <f t="shared" si="47"/>
        <v>FLEX</v>
      </c>
      <c r="AA3072" s="8" t="e">
        <f>+VLOOKUP(I3072,[1]SKU!$H$2:$I$97,2,0)</f>
        <v>#N/A</v>
      </c>
    </row>
    <row r="3073" spans="24:27">
      <c r="X3073" s="8" t="str">
        <f>+IFERROR(VLOOKUP(N3073,[1]Hoja1!$B$2:$F$52,4,0)*P3073,"")</f>
        <v/>
      </c>
      <c r="Y3073" s="8" t="e">
        <f>+VLOOKUP(M3073,[1]SKU!$B$3:$E$81,4,0)</f>
        <v>#N/A</v>
      </c>
      <c r="Z3073" s="8" t="str">
        <f t="shared" si="47"/>
        <v>FLEX</v>
      </c>
      <c r="AA3073" s="8" t="e">
        <f>+VLOOKUP(I3073,[1]SKU!$H$2:$I$97,2,0)</f>
        <v>#N/A</v>
      </c>
    </row>
    <row r="3074" spans="24:27">
      <c r="X3074" s="8" t="str">
        <f>+IFERROR(VLOOKUP(N3074,[1]Hoja1!$B$2:$F$52,4,0)*P3074,"")</f>
        <v/>
      </c>
      <c r="Y3074" s="8" t="e">
        <f>+VLOOKUP(M3074,[1]SKU!$B$3:$E$81,4,0)</f>
        <v>#N/A</v>
      </c>
      <c r="Z3074" s="8" t="str">
        <f t="shared" si="47"/>
        <v>FLEX</v>
      </c>
      <c r="AA3074" s="8" t="e">
        <f>+VLOOKUP(I3074,[1]SKU!$H$2:$I$97,2,0)</f>
        <v>#N/A</v>
      </c>
    </row>
    <row r="3075" spans="24:27">
      <c r="X3075" s="8" t="str">
        <f>+IFERROR(VLOOKUP(N3075,[1]Hoja1!$B$2:$F$52,4,0)*P3075,"")</f>
        <v/>
      </c>
      <c r="Y3075" s="8" t="e">
        <f>+VLOOKUP(M3075,[1]SKU!$B$3:$E$81,4,0)</f>
        <v>#N/A</v>
      </c>
      <c r="Z3075" s="8" t="str">
        <f t="shared" ref="Z3075:Z3138" si="48">+IF(J3075="VB01                          ","BEES","FLEX")</f>
        <v>FLEX</v>
      </c>
      <c r="AA3075" s="8" t="e">
        <f>+VLOOKUP(I3075,[1]SKU!$H$2:$I$97,2,0)</f>
        <v>#N/A</v>
      </c>
    </row>
    <row r="3076" spans="24:27">
      <c r="X3076" s="8" t="str">
        <f>+IFERROR(VLOOKUP(N3076,[1]Hoja1!$B$2:$F$52,4,0)*P3076,"")</f>
        <v/>
      </c>
      <c r="Y3076" s="8" t="e">
        <f>+VLOOKUP(M3076,[1]SKU!$B$3:$E$81,4,0)</f>
        <v>#N/A</v>
      </c>
      <c r="Z3076" s="8" t="str">
        <f t="shared" si="48"/>
        <v>FLEX</v>
      </c>
      <c r="AA3076" s="8" t="e">
        <f>+VLOOKUP(I3076,[1]SKU!$H$2:$I$97,2,0)</f>
        <v>#N/A</v>
      </c>
    </row>
    <row r="3077" spans="24:27">
      <c r="X3077" s="8" t="str">
        <f>+IFERROR(VLOOKUP(N3077,[1]Hoja1!$B$2:$F$52,4,0)*P3077,"")</f>
        <v/>
      </c>
      <c r="Y3077" s="8" t="e">
        <f>+VLOOKUP(M3077,[1]SKU!$B$3:$E$81,4,0)</f>
        <v>#N/A</v>
      </c>
      <c r="Z3077" s="8" t="str">
        <f t="shared" si="48"/>
        <v>FLEX</v>
      </c>
      <c r="AA3077" s="8" t="e">
        <f>+VLOOKUP(I3077,[1]SKU!$H$2:$I$97,2,0)</f>
        <v>#N/A</v>
      </c>
    </row>
    <row r="3078" spans="24:27">
      <c r="X3078" s="8" t="str">
        <f>+IFERROR(VLOOKUP(N3078,[1]Hoja1!$B$2:$F$52,4,0)*P3078,"")</f>
        <v/>
      </c>
      <c r="Y3078" s="8" t="e">
        <f>+VLOOKUP(M3078,[1]SKU!$B$3:$E$81,4,0)</f>
        <v>#N/A</v>
      </c>
      <c r="Z3078" s="8" t="str">
        <f t="shared" si="48"/>
        <v>FLEX</v>
      </c>
      <c r="AA3078" s="8" t="e">
        <f>+VLOOKUP(I3078,[1]SKU!$H$2:$I$97,2,0)</f>
        <v>#N/A</v>
      </c>
    </row>
    <row r="3079" spans="24:27">
      <c r="X3079" s="8" t="str">
        <f>+IFERROR(VLOOKUP(N3079,[1]Hoja1!$B$2:$F$52,4,0)*P3079,"")</f>
        <v/>
      </c>
      <c r="Y3079" s="8" t="e">
        <f>+VLOOKUP(M3079,[1]SKU!$B$3:$E$81,4,0)</f>
        <v>#N/A</v>
      </c>
      <c r="Z3079" s="8" t="str">
        <f t="shared" si="48"/>
        <v>FLEX</v>
      </c>
      <c r="AA3079" s="8" t="e">
        <f>+VLOOKUP(I3079,[1]SKU!$H$2:$I$97,2,0)</f>
        <v>#N/A</v>
      </c>
    </row>
    <row r="3080" spans="24:27">
      <c r="X3080" s="8" t="str">
        <f>+IFERROR(VLOOKUP(N3080,[1]Hoja1!$B$2:$F$52,4,0)*P3080,"")</f>
        <v/>
      </c>
      <c r="Y3080" s="8" t="e">
        <f>+VLOOKUP(M3080,[1]SKU!$B$3:$E$81,4,0)</f>
        <v>#N/A</v>
      </c>
      <c r="Z3080" s="8" t="str">
        <f t="shared" si="48"/>
        <v>FLEX</v>
      </c>
      <c r="AA3080" s="8" t="e">
        <f>+VLOOKUP(I3080,[1]SKU!$H$2:$I$97,2,0)</f>
        <v>#N/A</v>
      </c>
    </row>
    <row r="3081" spans="24:27">
      <c r="X3081" s="8" t="str">
        <f>+IFERROR(VLOOKUP(N3081,[1]Hoja1!$B$2:$F$52,4,0)*P3081,"")</f>
        <v/>
      </c>
      <c r="Y3081" s="8" t="e">
        <f>+VLOOKUP(M3081,[1]SKU!$B$3:$E$81,4,0)</f>
        <v>#N/A</v>
      </c>
      <c r="Z3081" s="8" t="str">
        <f t="shared" si="48"/>
        <v>FLEX</v>
      </c>
      <c r="AA3081" s="8" t="e">
        <f>+VLOOKUP(I3081,[1]SKU!$H$2:$I$97,2,0)</f>
        <v>#N/A</v>
      </c>
    </row>
    <row r="3082" spans="24:27">
      <c r="X3082" s="8" t="str">
        <f>+IFERROR(VLOOKUP(N3082,[1]Hoja1!$B$2:$F$52,4,0)*P3082,"")</f>
        <v/>
      </c>
      <c r="Y3082" s="8" t="e">
        <f>+VLOOKUP(M3082,[1]SKU!$B$3:$E$81,4,0)</f>
        <v>#N/A</v>
      </c>
      <c r="Z3082" s="8" t="str">
        <f t="shared" si="48"/>
        <v>FLEX</v>
      </c>
      <c r="AA3082" s="8" t="e">
        <f>+VLOOKUP(I3082,[1]SKU!$H$2:$I$97,2,0)</f>
        <v>#N/A</v>
      </c>
    </row>
    <row r="3083" spans="24:27">
      <c r="X3083" s="8" t="str">
        <f>+IFERROR(VLOOKUP(N3083,[1]Hoja1!$B$2:$F$52,4,0)*P3083,"")</f>
        <v/>
      </c>
      <c r="Y3083" s="8" t="e">
        <f>+VLOOKUP(M3083,[1]SKU!$B$3:$E$81,4,0)</f>
        <v>#N/A</v>
      </c>
      <c r="Z3083" s="8" t="str">
        <f t="shared" si="48"/>
        <v>FLEX</v>
      </c>
      <c r="AA3083" s="8" t="e">
        <f>+VLOOKUP(I3083,[1]SKU!$H$2:$I$97,2,0)</f>
        <v>#N/A</v>
      </c>
    </row>
    <row r="3084" spans="24:27">
      <c r="X3084" s="8" t="str">
        <f>+IFERROR(VLOOKUP(N3084,[1]Hoja1!$B$2:$F$52,4,0)*P3084,"")</f>
        <v/>
      </c>
      <c r="Y3084" s="8" t="e">
        <f>+VLOOKUP(M3084,[1]SKU!$B$3:$E$81,4,0)</f>
        <v>#N/A</v>
      </c>
      <c r="Z3084" s="8" t="str">
        <f t="shared" si="48"/>
        <v>FLEX</v>
      </c>
      <c r="AA3084" s="8" t="e">
        <f>+VLOOKUP(I3084,[1]SKU!$H$2:$I$97,2,0)</f>
        <v>#N/A</v>
      </c>
    </row>
    <row r="3085" spans="24:27">
      <c r="X3085" s="8" t="str">
        <f>+IFERROR(VLOOKUP(N3085,[1]Hoja1!$B$2:$F$52,4,0)*P3085,"")</f>
        <v/>
      </c>
      <c r="Y3085" s="8" t="e">
        <f>+VLOOKUP(M3085,[1]SKU!$B$3:$E$81,4,0)</f>
        <v>#N/A</v>
      </c>
      <c r="Z3085" s="8" t="str">
        <f t="shared" si="48"/>
        <v>FLEX</v>
      </c>
      <c r="AA3085" s="8" t="e">
        <f>+VLOOKUP(I3085,[1]SKU!$H$2:$I$97,2,0)</f>
        <v>#N/A</v>
      </c>
    </row>
    <row r="3086" spans="24:27">
      <c r="X3086" s="8" t="str">
        <f>+IFERROR(VLOOKUP(N3086,[1]Hoja1!$B$2:$F$52,4,0)*P3086,"")</f>
        <v/>
      </c>
      <c r="Y3086" s="8" t="e">
        <f>+VLOOKUP(M3086,[1]SKU!$B$3:$E$81,4,0)</f>
        <v>#N/A</v>
      </c>
      <c r="Z3086" s="8" t="str">
        <f t="shared" si="48"/>
        <v>FLEX</v>
      </c>
      <c r="AA3086" s="8" t="e">
        <f>+VLOOKUP(I3086,[1]SKU!$H$2:$I$97,2,0)</f>
        <v>#N/A</v>
      </c>
    </row>
    <row r="3087" spans="24:27">
      <c r="X3087" s="8" t="str">
        <f>+IFERROR(VLOOKUP(N3087,[1]Hoja1!$B$2:$F$52,4,0)*P3087,"")</f>
        <v/>
      </c>
      <c r="Y3087" s="8" t="e">
        <f>+VLOOKUP(M3087,[1]SKU!$B$3:$E$81,4,0)</f>
        <v>#N/A</v>
      </c>
      <c r="Z3087" s="8" t="str">
        <f t="shared" si="48"/>
        <v>FLEX</v>
      </c>
      <c r="AA3087" s="8" t="e">
        <f>+VLOOKUP(I3087,[1]SKU!$H$2:$I$97,2,0)</f>
        <v>#N/A</v>
      </c>
    </row>
    <row r="3088" spans="24:27">
      <c r="X3088" s="8" t="str">
        <f>+IFERROR(VLOOKUP(N3088,[1]Hoja1!$B$2:$F$52,4,0)*P3088,"")</f>
        <v/>
      </c>
      <c r="Y3088" s="8" t="e">
        <f>+VLOOKUP(M3088,[1]SKU!$B$3:$E$81,4,0)</f>
        <v>#N/A</v>
      </c>
      <c r="Z3088" s="8" t="str">
        <f t="shared" si="48"/>
        <v>FLEX</v>
      </c>
      <c r="AA3088" s="8" t="e">
        <f>+VLOOKUP(I3088,[1]SKU!$H$2:$I$97,2,0)</f>
        <v>#N/A</v>
      </c>
    </row>
    <row r="3089" spans="24:27">
      <c r="X3089" s="8" t="str">
        <f>+IFERROR(VLOOKUP(N3089,[1]Hoja1!$B$2:$F$52,4,0)*P3089,"")</f>
        <v/>
      </c>
      <c r="Y3089" s="8" t="e">
        <f>+VLOOKUP(M3089,[1]SKU!$B$3:$E$81,4,0)</f>
        <v>#N/A</v>
      </c>
      <c r="Z3089" s="8" t="str">
        <f t="shared" si="48"/>
        <v>FLEX</v>
      </c>
      <c r="AA3089" s="8" t="e">
        <f>+VLOOKUP(I3089,[1]SKU!$H$2:$I$97,2,0)</f>
        <v>#N/A</v>
      </c>
    </row>
    <row r="3090" spans="24:27">
      <c r="X3090" s="8" t="str">
        <f>+IFERROR(VLOOKUP(N3090,[1]Hoja1!$B$2:$F$52,4,0)*P3090,"")</f>
        <v/>
      </c>
      <c r="Y3090" s="8" t="e">
        <f>+VLOOKUP(M3090,[1]SKU!$B$3:$E$81,4,0)</f>
        <v>#N/A</v>
      </c>
      <c r="Z3090" s="8" t="str">
        <f t="shared" si="48"/>
        <v>FLEX</v>
      </c>
      <c r="AA3090" s="8" t="e">
        <f>+VLOOKUP(I3090,[1]SKU!$H$2:$I$97,2,0)</f>
        <v>#N/A</v>
      </c>
    </row>
    <row r="3091" spans="24:27">
      <c r="X3091" s="8" t="str">
        <f>+IFERROR(VLOOKUP(N3091,[1]Hoja1!$B$2:$F$52,4,0)*P3091,"")</f>
        <v/>
      </c>
      <c r="Y3091" s="8" t="e">
        <f>+VLOOKUP(M3091,[1]SKU!$B$3:$E$81,4,0)</f>
        <v>#N/A</v>
      </c>
      <c r="Z3091" s="8" t="str">
        <f t="shared" si="48"/>
        <v>FLEX</v>
      </c>
      <c r="AA3091" s="8" t="e">
        <f>+VLOOKUP(I3091,[1]SKU!$H$2:$I$97,2,0)</f>
        <v>#N/A</v>
      </c>
    </row>
    <row r="3092" spans="24:27">
      <c r="X3092" s="8" t="str">
        <f>+IFERROR(VLOOKUP(N3092,[1]Hoja1!$B$2:$F$52,4,0)*P3092,"")</f>
        <v/>
      </c>
      <c r="Y3092" s="8" t="e">
        <f>+VLOOKUP(M3092,[1]SKU!$B$3:$E$81,4,0)</f>
        <v>#N/A</v>
      </c>
      <c r="Z3092" s="8" t="str">
        <f t="shared" si="48"/>
        <v>FLEX</v>
      </c>
      <c r="AA3092" s="8" t="e">
        <f>+VLOOKUP(I3092,[1]SKU!$H$2:$I$97,2,0)</f>
        <v>#N/A</v>
      </c>
    </row>
    <row r="3093" spans="24:27">
      <c r="X3093" s="8" t="str">
        <f>+IFERROR(VLOOKUP(N3093,[1]Hoja1!$B$2:$F$52,4,0)*P3093,"")</f>
        <v/>
      </c>
      <c r="Y3093" s="8" t="e">
        <f>+VLOOKUP(M3093,[1]SKU!$B$3:$E$81,4,0)</f>
        <v>#N/A</v>
      </c>
      <c r="Z3093" s="8" t="str">
        <f t="shared" si="48"/>
        <v>FLEX</v>
      </c>
      <c r="AA3093" s="8" t="e">
        <f>+VLOOKUP(I3093,[1]SKU!$H$2:$I$97,2,0)</f>
        <v>#N/A</v>
      </c>
    </row>
    <row r="3094" spans="24:27">
      <c r="X3094" s="8" t="str">
        <f>+IFERROR(VLOOKUP(N3094,[1]Hoja1!$B$2:$F$52,4,0)*P3094,"")</f>
        <v/>
      </c>
      <c r="Y3094" s="8" t="e">
        <f>+VLOOKUP(M3094,[1]SKU!$B$3:$E$81,4,0)</f>
        <v>#N/A</v>
      </c>
      <c r="Z3094" s="8" t="str">
        <f t="shared" si="48"/>
        <v>FLEX</v>
      </c>
      <c r="AA3094" s="8" t="e">
        <f>+VLOOKUP(I3094,[1]SKU!$H$2:$I$97,2,0)</f>
        <v>#N/A</v>
      </c>
    </row>
    <row r="3095" spans="24:27">
      <c r="X3095" s="8" t="str">
        <f>+IFERROR(VLOOKUP(N3095,[1]Hoja1!$B$2:$F$52,4,0)*P3095,"")</f>
        <v/>
      </c>
      <c r="Y3095" s="8" t="e">
        <f>+VLOOKUP(M3095,[1]SKU!$B$3:$E$81,4,0)</f>
        <v>#N/A</v>
      </c>
      <c r="Z3095" s="8" t="str">
        <f t="shared" si="48"/>
        <v>FLEX</v>
      </c>
      <c r="AA3095" s="8" t="e">
        <f>+VLOOKUP(I3095,[1]SKU!$H$2:$I$97,2,0)</f>
        <v>#N/A</v>
      </c>
    </row>
    <row r="3096" spans="24:27">
      <c r="X3096" s="8" t="str">
        <f>+IFERROR(VLOOKUP(N3096,[1]Hoja1!$B$2:$F$52,4,0)*P3096,"")</f>
        <v/>
      </c>
      <c r="Y3096" s="8" t="e">
        <f>+VLOOKUP(M3096,[1]SKU!$B$3:$E$81,4,0)</f>
        <v>#N/A</v>
      </c>
      <c r="Z3096" s="8" t="str">
        <f t="shared" si="48"/>
        <v>FLEX</v>
      </c>
      <c r="AA3096" s="8" t="e">
        <f>+VLOOKUP(I3096,[1]SKU!$H$2:$I$97,2,0)</f>
        <v>#N/A</v>
      </c>
    </row>
    <row r="3097" spans="24:27">
      <c r="X3097" s="8" t="str">
        <f>+IFERROR(VLOOKUP(N3097,[1]Hoja1!$B$2:$F$52,4,0)*P3097,"")</f>
        <v/>
      </c>
      <c r="Y3097" s="8" t="e">
        <f>+VLOOKUP(M3097,[1]SKU!$B$3:$E$81,4,0)</f>
        <v>#N/A</v>
      </c>
      <c r="Z3097" s="8" t="str">
        <f t="shared" si="48"/>
        <v>FLEX</v>
      </c>
      <c r="AA3097" s="8" t="e">
        <f>+VLOOKUP(I3097,[1]SKU!$H$2:$I$97,2,0)</f>
        <v>#N/A</v>
      </c>
    </row>
    <row r="3098" spans="24:27">
      <c r="X3098" s="8" t="str">
        <f>+IFERROR(VLOOKUP(N3098,[1]Hoja1!$B$2:$F$52,4,0)*P3098,"")</f>
        <v/>
      </c>
      <c r="Y3098" s="8" t="e">
        <f>+VLOOKUP(M3098,[1]SKU!$B$3:$E$81,4,0)</f>
        <v>#N/A</v>
      </c>
      <c r="Z3098" s="8" t="str">
        <f t="shared" si="48"/>
        <v>FLEX</v>
      </c>
      <c r="AA3098" s="8" t="e">
        <f>+VLOOKUP(I3098,[1]SKU!$H$2:$I$97,2,0)</f>
        <v>#N/A</v>
      </c>
    </row>
    <row r="3099" spans="24:27">
      <c r="X3099" s="8" t="str">
        <f>+IFERROR(VLOOKUP(N3099,[1]Hoja1!$B$2:$F$52,4,0)*P3099,"")</f>
        <v/>
      </c>
      <c r="Y3099" s="8" t="e">
        <f>+VLOOKUP(M3099,[1]SKU!$B$3:$E$81,4,0)</f>
        <v>#N/A</v>
      </c>
      <c r="Z3099" s="8" t="str">
        <f t="shared" si="48"/>
        <v>FLEX</v>
      </c>
      <c r="AA3099" s="8" t="e">
        <f>+VLOOKUP(I3099,[1]SKU!$H$2:$I$97,2,0)</f>
        <v>#N/A</v>
      </c>
    </row>
    <row r="3100" spans="24:27">
      <c r="X3100" s="8" t="str">
        <f>+IFERROR(VLOOKUP(N3100,[1]Hoja1!$B$2:$F$52,4,0)*P3100,"")</f>
        <v/>
      </c>
      <c r="Y3100" s="8" t="e">
        <f>+VLOOKUP(M3100,[1]SKU!$B$3:$E$81,4,0)</f>
        <v>#N/A</v>
      </c>
      <c r="Z3100" s="8" t="str">
        <f t="shared" si="48"/>
        <v>FLEX</v>
      </c>
      <c r="AA3100" s="8" t="e">
        <f>+VLOOKUP(I3100,[1]SKU!$H$2:$I$97,2,0)</f>
        <v>#N/A</v>
      </c>
    </row>
    <row r="3101" spans="24:27">
      <c r="X3101" s="8" t="str">
        <f>+IFERROR(VLOOKUP(N3101,[1]Hoja1!$B$2:$F$52,4,0)*P3101,"")</f>
        <v/>
      </c>
      <c r="Y3101" s="8" t="e">
        <f>+VLOOKUP(M3101,[1]SKU!$B$3:$E$81,4,0)</f>
        <v>#N/A</v>
      </c>
      <c r="Z3101" s="8" t="str">
        <f t="shared" si="48"/>
        <v>FLEX</v>
      </c>
      <c r="AA3101" s="8" t="e">
        <f>+VLOOKUP(I3101,[1]SKU!$H$2:$I$97,2,0)</f>
        <v>#N/A</v>
      </c>
    </row>
    <row r="3102" spans="24:27">
      <c r="X3102" s="8" t="str">
        <f>+IFERROR(VLOOKUP(N3102,[1]Hoja1!$B$2:$F$52,4,0)*P3102,"")</f>
        <v/>
      </c>
      <c r="Y3102" s="8" t="e">
        <f>+VLOOKUP(M3102,[1]SKU!$B$3:$E$81,4,0)</f>
        <v>#N/A</v>
      </c>
      <c r="Z3102" s="8" t="str">
        <f t="shared" si="48"/>
        <v>FLEX</v>
      </c>
      <c r="AA3102" s="8" t="e">
        <f>+VLOOKUP(I3102,[1]SKU!$H$2:$I$97,2,0)</f>
        <v>#N/A</v>
      </c>
    </row>
    <row r="3103" spans="24:27">
      <c r="X3103" s="8" t="str">
        <f>+IFERROR(VLOOKUP(N3103,[1]Hoja1!$B$2:$F$52,4,0)*P3103,"")</f>
        <v/>
      </c>
      <c r="Y3103" s="8" t="e">
        <f>+VLOOKUP(M3103,[1]SKU!$B$3:$E$81,4,0)</f>
        <v>#N/A</v>
      </c>
      <c r="Z3103" s="8" t="str">
        <f t="shared" si="48"/>
        <v>FLEX</v>
      </c>
      <c r="AA3103" s="8" t="e">
        <f>+VLOOKUP(I3103,[1]SKU!$H$2:$I$97,2,0)</f>
        <v>#N/A</v>
      </c>
    </row>
    <row r="3104" spans="24:27">
      <c r="X3104" s="8" t="str">
        <f>+IFERROR(VLOOKUP(N3104,[1]Hoja1!$B$2:$F$52,4,0)*P3104,"")</f>
        <v/>
      </c>
      <c r="Y3104" s="8" t="e">
        <f>+VLOOKUP(M3104,[1]SKU!$B$3:$E$81,4,0)</f>
        <v>#N/A</v>
      </c>
      <c r="Z3104" s="8" t="str">
        <f t="shared" si="48"/>
        <v>FLEX</v>
      </c>
      <c r="AA3104" s="8" t="e">
        <f>+VLOOKUP(I3104,[1]SKU!$H$2:$I$97,2,0)</f>
        <v>#N/A</v>
      </c>
    </row>
    <row r="3105" spans="24:27">
      <c r="X3105" s="8" t="str">
        <f>+IFERROR(VLOOKUP(N3105,[1]Hoja1!$B$2:$F$52,4,0)*P3105,"")</f>
        <v/>
      </c>
      <c r="Y3105" s="8" t="e">
        <f>+VLOOKUP(M3105,[1]SKU!$B$3:$E$81,4,0)</f>
        <v>#N/A</v>
      </c>
      <c r="Z3105" s="8" t="str">
        <f t="shared" si="48"/>
        <v>FLEX</v>
      </c>
      <c r="AA3105" s="8" t="e">
        <f>+VLOOKUP(I3105,[1]SKU!$H$2:$I$97,2,0)</f>
        <v>#N/A</v>
      </c>
    </row>
    <row r="3106" spans="24:27">
      <c r="X3106" s="8" t="str">
        <f>+IFERROR(VLOOKUP(N3106,[1]Hoja1!$B$2:$F$52,4,0)*P3106,"")</f>
        <v/>
      </c>
      <c r="Y3106" s="8" t="e">
        <f>+VLOOKUP(M3106,[1]SKU!$B$3:$E$81,4,0)</f>
        <v>#N/A</v>
      </c>
      <c r="Z3106" s="8" t="str">
        <f t="shared" si="48"/>
        <v>FLEX</v>
      </c>
      <c r="AA3106" s="8" t="e">
        <f>+VLOOKUP(I3106,[1]SKU!$H$2:$I$97,2,0)</f>
        <v>#N/A</v>
      </c>
    </row>
    <row r="3107" spans="24:27">
      <c r="X3107" s="8" t="str">
        <f>+IFERROR(VLOOKUP(N3107,[1]Hoja1!$B$2:$F$52,4,0)*P3107,"")</f>
        <v/>
      </c>
      <c r="Y3107" s="8" t="e">
        <f>+VLOOKUP(M3107,[1]SKU!$B$3:$E$81,4,0)</f>
        <v>#N/A</v>
      </c>
      <c r="Z3107" s="8" t="str">
        <f t="shared" si="48"/>
        <v>FLEX</v>
      </c>
      <c r="AA3107" s="8" t="e">
        <f>+VLOOKUP(I3107,[1]SKU!$H$2:$I$97,2,0)</f>
        <v>#N/A</v>
      </c>
    </row>
    <row r="3108" spans="24:27">
      <c r="X3108" s="8" t="str">
        <f>+IFERROR(VLOOKUP(N3108,[1]Hoja1!$B$2:$F$52,4,0)*P3108,"")</f>
        <v/>
      </c>
      <c r="Y3108" s="8" t="e">
        <f>+VLOOKUP(M3108,[1]SKU!$B$3:$E$81,4,0)</f>
        <v>#N/A</v>
      </c>
      <c r="Z3108" s="8" t="str">
        <f t="shared" si="48"/>
        <v>FLEX</v>
      </c>
      <c r="AA3108" s="8" t="e">
        <f>+VLOOKUP(I3108,[1]SKU!$H$2:$I$97,2,0)</f>
        <v>#N/A</v>
      </c>
    </row>
    <row r="3109" spans="24:27">
      <c r="X3109" s="8" t="str">
        <f>+IFERROR(VLOOKUP(N3109,[1]Hoja1!$B$2:$F$52,4,0)*P3109,"")</f>
        <v/>
      </c>
      <c r="Y3109" s="8" t="e">
        <f>+VLOOKUP(M3109,[1]SKU!$B$3:$E$81,4,0)</f>
        <v>#N/A</v>
      </c>
      <c r="Z3109" s="8" t="str">
        <f t="shared" si="48"/>
        <v>FLEX</v>
      </c>
      <c r="AA3109" s="8" t="e">
        <f>+VLOOKUP(I3109,[1]SKU!$H$2:$I$97,2,0)</f>
        <v>#N/A</v>
      </c>
    </row>
    <row r="3110" spans="24:27">
      <c r="X3110" s="8" t="str">
        <f>+IFERROR(VLOOKUP(N3110,[1]Hoja1!$B$2:$F$52,4,0)*P3110,"")</f>
        <v/>
      </c>
      <c r="Y3110" s="8" t="e">
        <f>+VLOOKUP(M3110,[1]SKU!$B$3:$E$81,4,0)</f>
        <v>#N/A</v>
      </c>
      <c r="Z3110" s="8" t="str">
        <f t="shared" si="48"/>
        <v>FLEX</v>
      </c>
      <c r="AA3110" s="8" t="e">
        <f>+VLOOKUP(I3110,[1]SKU!$H$2:$I$97,2,0)</f>
        <v>#N/A</v>
      </c>
    </row>
    <row r="3111" spans="24:27">
      <c r="X3111" s="8" t="str">
        <f>+IFERROR(VLOOKUP(N3111,[1]Hoja1!$B$2:$F$52,4,0)*P3111,"")</f>
        <v/>
      </c>
      <c r="Y3111" s="8" t="e">
        <f>+VLOOKUP(M3111,[1]SKU!$B$3:$E$81,4,0)</f>
        <v>#N/A</v>
      </c>
      <c r="Z3111" s="8" t="str">
        <f t="shared" si="48"/>
        <v>FLEX</v>
      </c>
      <c r="AA3111" s="8" t="e">
        <f>+VLOOKUP(I3111,[1]SKU!$H$2:$I$97,2,0)</f>
        <v>#N/A</v>
      </c>
    </row>
    <row r="3112" spans="24:27">
      <c r="X3112" s="8" t="str">
        <f>+IFERROR(VLOOKUP(N3112,[1]Hoja1!$B$2:$F$52,4,0)*P3112,"")</f>
        <v/>
      </c>
      <c r="Y3112" s="8" t="e">
        <f>+VLOOKUP(M3112,[1]SKU!$B$3:$E$81,4,0)</f>
        <v>#N/A</v>
      </c>
      <c r="Z3112" s="8" t="str">
        <f t="shared" si="48"/>
        <v>FLEX</v>
      </c>
      <c r="AA3112" s="8" t="e">
        <f>+VLOOKUP(I3112,[1]SKU!$H$2:$I$97,2,0)</f>
        <v>#N/A</v>
      </c>
    </row>
    <row r="3113" spans="24:27">
      <c r="X3113" s="8" t="str">
        <f>+IFERROR(VLOOKUP(N3113,[1]Hoja1!$B$2:$F$52,4,0)*P3113,"")</f>
        <v/>
      </c>
      <c r="Y3113" s="8" t="e">
        <f>+VLOOKUP(M3113,[1]SKU!$B$3:$E$81,4,0)</f>
        <v>#N/A</v>
      </c>
      <c r="Z3113" s="8" t="str">
        <f t="shared" si="48"/>
        <v>FLEX</v>
      </c>
      <c r="AA3113" s="8" t="e">
        <f>+VLOOKUP(I3113,[1]SKU!$H$2:$I$97,2,0)</f>
        <v>#N/A</v>
      </c>
    </row>
    <row r="3114" spans="24:27">
      <c r="X3114" s="8" t="str">
        <f>+IFERROR(VLOOKUP(N3114,[1]Hoja1!$B$2:$F$52,4,0)*P3114,"")</f>
        <v/>
      </c>
      <c r="Y3114" s="8" t="e">
        <f>+VLOOKUP(M3114,[1]SKU!$B$3:$E$81,4,0)</f>
        <v>#N/A</v>
      </c>
      <c r="Z3114" s="8" t="str">
        <f t="shared" si="48"/>
        <v>FLEX</v>
      </c>
      <c r="AA3114" s="8" t="e">
        <f>+VLOOKUP(I3114,[1]SKU!$H$2:$I$97,2,0)</f>
        <v>#N/A</v>
      </c>
    </row>
    <row r="3115" spans="24:27">
      <c r="X3115" s="8" t="str">
        <f>+IFERROR(VLOOKUP(N3115,[1]Hoja1!$B$2:$F$52,4,0)*P3115,"")</f>
        <v/>
      </c>
      <c r="Y3115" s="8" t="e">
        <f>+VLOOKUP(M3115,[1]SKU!$B$3:$E$81,4,0)</f>
        <v>#N/A</v>
      </c>
      <c r="Z3115" s="8" t="str">
        <f t="shared" si="48"/>
        <v>FLEX</v>
      </c>
      <c r="AA3115" s="8" t="e">
        <f>+VLOOKUP(I3115,[1]SKU!$H$2:$I$97,2,0)</f>
        <v>#N/A</v>
      </c>
    </row>
    <row r="3116" spans="24:27">
      <c r="X3116" s="8" t="str">
        <f>+IFERROR(VLOOKUP(N3116,[1]Hoja1!$B$2:$F$52,4,0)*P3116,"")</f>
        <v/>
      </c>
      <c r="Y3116" s="8" t="e">
        <f>+VLOOKUP(M3116,[1]SKU!$B$3:$E$81,4,0)</f>
        <v>#N/A</v>
      </c>
      <c r="Z3116" s="8" t="str">
        <f t="shared" si="48"/>
        <v>FLEX</v>
      </c>
      <c r="AA3116" s="8" t="e">
        <f>+VLOOKUP(I3116,[1]SKU!$H$2:$I$97,2,0)</f>
        <v>#N/A</v>
      </c>
    </row>
    <row r="3117" spans="24:27">
      <c r="X3117" s="8" t="str">
        <f>+IFERROR(VLOOKUP(N3117,[1]Hoja1!$B$2:$F$52,4,0)*P3117,"")</f>
        <v/>
      </c>
      <c r="Y3117" s="8" t="e">
        <f>+VLOOKUP(M3117,[1]SKU!$B$3:$E$81,4,0)</f>
        <v>#N/A</v>
      </c>
      <c r="Z3117" s="8" t="str">
        <f t="shared" si="48"/>
        <v>FLEX</v>
      </c>
      <c r="AA3117" s="8" t="e">
        <f>+VLOOKUP(I3117,[1]SKU!$H$2:$I$97,2,0)</f>
        <v>#N/A</v>
      </c>
    </row>
    <row r="3118" spans="24:27">
      <c r="X3118" s="8" t="str">
        <f>+IFERROR(VLOOKUP(N3118,[1]Hoja1!$B$2:$F$52,4,0)*P3118,"")</f>
        <v/>
      </c>
      <c r="Y3118" s="8" t="e">
        <f>+VLOOKUP(M3118,[1]SKU!$B$3:$E$81,4,0)</f>
        <v>#N/A</v>
      </c>
      <c r="Z3118" s="8" t="str">
        <f t="shared" si="48"/>
        <v>FLEX</v>
      </c>
      <c r="AA3118" s="8" t="e">
        <f>+VLOOKUP(I3118,[1]SKU!$H$2:$I$97,2,0)</f>
        <v>#N/A</v>
      </c>
    </row>
    <row r="3119" spans="24:27">
      <c r="X3119" s="8" t="str">
        <f>+IFERROR(VLOOKUP(N3119,[1]Hoja1!$B$2:$F$52,4,0)*P3119,"")</f>
        <v/>
      </c>
      <c r="Y3119" s="8" t="e">
        <f>+VLOOKUP(M3119,[1]SKU!$B$3:$E$81,4,0)</f>
        <v>#N/A</v>
      </c>
      <c r="Z3119" s="8" t="str">
        <f t="shared" si="48"/>
        <v>FLEX</v>
      </c>
      <c r="AA3119" s="8" t="e">
        <f>+VLOOKUP(I3119,[1]SKU!$H$2:$I$97,2,0)</f>
        <v>#N/A</v>
      </c>
    </row>
    <row r="3120" spans="24:27">
      <c r="X3120" s="8" t="str">
        <f>+IFERROR(VLOOKUP(N3120,[1]Hoja1!$B$2:$F$52,4,0)*P3120,"")</f>
        <v/>
      </c>
      <c r="Y3120" s="8" t="e">
        <f>+VLOOKUP(M3120,[1]SKU!$B$3:$E$81,4,0)</f>
        <v>#N/A</v>
      </c>
      <c r="Z3120" s="8" t="str">
        <f t="shared" si="48"/>
        <v>FLEX</v>
      </c>
      <c r="AA3120" s="8" t="e">
        <f>+VLOOKUP(I3120,[1]SKU!$H$2:$I$97,2,0)</f>
        <v>#N/A</v>
      </c>
    </row>
    <row r="3121" spans="24:27">
      <c r="X3121" s="8" t="str">
        <f>+IFERROR(VLOOKUP(N3121,[1]Hoja1!$B$2:$F$52,4,0)*P3121,"")</f>
        <v/>
      </c>
      <c r="Y3121" s="8" t="e">
        <f>+VLOOKUP(M3121,[1]SKU!$B$3:$E$81,4,0)</f>
        <v>#N/A</v>
      </c>
      <c r="Z3121" s="8" t="str">
        <f t="shared" si="48"/>
        <v>FLEX</v>
      </c>
      <c r="AA3121" s="8" t="e">
        <f>+VLOOKUP(I3121,[1]SKU!$H$2:$I$97,2,0)</f>
        <v>#N/A</v>
      </c>
    </row>
    <row r="3122" spans="24:27">
      <c r="X3122" s="8" t="str">
        <f>+IFERROR(VLOOKUP(N3122,[1]Hoja1!$B$2:$F$52,4,0)*P3122,"")</f>
        <v/>
      </c>
      <c r="Y3122" s="8" t="e">
        <f>+VLOOKUP(M3122,[1]SKU!$B$3:$E$81,4,0)</f>
        <v>#N/A</v>
      </c>
      <c r="Z3122" s="8" t="str">
        <f t="shared" si="48"/>
        <v>FLEX</v>
      </c>
      <c r="AA3122" s="8" t="e">
        <f>+VLOOKUP(I3122,[1]SKU!$H$2:$I$97,2,0)</f>
        <v>#N/A</v>
      </c>
    </row>
    <row r="3123" spans="24:27">
      <c r="X3123" s="8" t="str">
        <f>+IFERROR(VLOOKUP(N3123,[1]Hoja1!$B$2:$F$52,4,0)*P3123,"")</f>
        <v/>
      </c>
      <c r="Y3123" s="8" t="e">
        <f>+VLOOKUP(M3123,[1]SKU!$B$3:$E$81,4,0)</f>
        <v>#N/A</v>
      </c>
      <c r="Z3123" s="8" t="str">
        <f t="shared" si="48"/>
        <v>FLEX</v>
      </c>
      <c r="AA3123" s="8" t="e">
        <f>+VLOOKUP(I3123,[1]SKU!$H$2:$I$97,2,0)</f>
        <v>#N/A</v>
      </c>
    </row>
    <row r="3124" spans="24:27">
      <c r="X3124" s="8" t="str">
        <f>+IFERROR(VLOOKUP(N3124,[1]Hoja1!$B$2:$F$52,4,0)*P3124,"")</f>
        <v/>
      </c>
      <c r="Y3124" s="8" t="e">
        <f>+VLOOKUP(M3124,[1]SKU!$B$3:$E$81,4,0)</f>
        <v>#N/A</v>
      </c>
      <c r="Z3124" s="8" t="str">
        <f t="shared" si="48"/>
        <v>FLEX</v>
      </c>
      <c r="AA3124" s="8" t="e">
        <f>+VLOOKUP(I3124,[1]SKU!$H$2:$I$97,2,0)</f>
        <v>#N/A</v>
      </c>
    </row>
    <row r="3125" spans="24:27">
      <c r="X3125" s="8" t="str">
        <f>+IFERROR(VLOOKUP(N3125,[1]Hoja1!$B$2:$F$52,4,0)*P3125,"")</f>
        <v/>
      </c>
      <c r="Y3125" s="8" t="e">
        <f>+VLOOKUP(M3125,[1]SKU!$B$3:$E$81,4,0)</f>
        <v>#N/A</v>
      </c>
      <c r="Z3125" s="8" t="str">
        <f t="shared" si="48"/>
        <v>FLEX</v>
      </c>
      <c r="AA3125" s="8" t="e">
        <f>+VLOOKUP(I3125,[1]SKU!$H$2:$I$97,2,0)</f>
        <v>#N/A</v>
      </c>
    </row>
    <row r="3126" spans="24:27">
      <c r="X3126" s="8" t="str">
        <f>+IFERROR(VLOOKUP(N3126,[1]Hoja1!$B$2:$F$52,4,0)*P3126,"")</f>
        <v/>
      </c>
      <c r="Y3126" s="8" t="e">
        <f>+VLOOKUP(M3126,[1]SKU!$B$3:$E$81,4,0)</f>
        <v>#N/A</v>
      </c>
      <c r="Z3126" s="8" t="str">
        <f t="shared" si="48"/>
        <v>FLEX</v>
      </c>
      <c r="AA3126" s="8" t="e">
        <f>+VLOOKUP(I3126,[1]SKU!$H$2:$I$97,2,0)</f>
        <v>#N/A</v>
      </c>
    </row>
    <row r="3127" spans="24:27">
      <c r="X3127" s="8" t="str">
        <f>+IFERROR(VLOOKUP(N3127,[1]Hoja1!$B$2:$F$52,4,0)*P3127,"")</f>
        <v/>
      </c>
      <c r="Y3127" s="8" t="e">
        <f>+VLOOKUP(M3127,[1]SKU!$B$3:$E$81,4,0)</f>
        <v>#N/A</v>
      </c>
      <c r="Z3127" s="8" t="str">
        <f t="shared" si="48"/>
        <v>FLEX</v>
      </c>
      <c r="AA3127" s="8" t="e">
        <f>+VLOOKUP(I3127,[1]SKU!$H$2:$I$97,2,0)</f>
        <v>#N/A</v>
      </c>
    </row>
    <row r="3128" spans="24:27">
      <c r="X3128" s="8" t="str">
        <f>+IFERROR(VLOOKUP(N3128,[1]Hoja1!$B$2:$F$52,4,0)*P3128,"")</f>
        <v/>
      </c>
      <c r="Y3128" s="8" t="e">
        <f>+VLOOKUP(M3128,[1]SKU!$B$3:$E$81,4,0)</f>
        <v>#N/A</v>
      </c>
      <c r="Z3128" s="8" t="str">
        <f t="shared" si="48"/>
        <v>FLEX</v>
      </c>
      <c r="AA3128" s="8" t="e">
        <f>+VLOOKUP(I3128,[1]SKU!$H$2:$I$97,2,0)</f>
        <v>#N/A</v>
      </c>
    </row>
    <row r="3129" spans="24:27">
      <c r="X3129" s="8" t="str">
        <f>+IFERROR(VLOOKUP(N3129,[1]Hoja1!$B$2:$F$52,4,0)*P3129,"")</f>
        <v/>
      </c>
      <c r="Y3129" s="8" t="e">
        <f>+VLOOKUP(M3129,[1]SKU!$B$3:$E$81,4,0)</f>
        <v>#N/A</v>
      </c>
      <c r="Z3129" s="8" t="str">
        <f t="shared" si="48"/>
        <v>FLEX</v>
      </c>
      <c r="AA3129" s="8" t="e">
        <f>+VLOOKUP(I3129,[1]SKU!$H$2:$I$97,2,0)</f>
        <v>#N/A</v>
      </c>
    </row>
    <row r="3130" spans="24:27">
      <c r="X3130" s="8" t="str">
        <f>+IFERROR(VLOOKUP(N3130,[1]Hoja1!$B$2:$F$52,4,0)*P3130,"")</f>
        <v/>
      </c>
      <c r="Y3130" s="8" t="e">
        <f>+VLOOKUP(M3130,[1]SKU!$B$3:$E$81,4,0)</f>
        <v>#N/A</v>
      </c>
      <c r="Z3130" s="8" t="str">
        <f t="shared" si="48"/>
        <v>FLEX</v>
      </c>
      <c r="AA3130" s="8" t="e">
        <f>+VLOOKUP(I3130,[1]SKU!$H$2:$I$97,2,0)</f>
        <v>#N/A</v>
      </c>
    </row>
    <row r="3131" spans="24:27">
      <c r="X3131" s="8" t="str">
        <f>+IFERROR(VLOOKUP(N3131,[1]Hoja1!$B$2:$F$52,4,0)*P3131,"")</f>
        <v/>
      </c>
      <c r="Y3131" s="8" t="e">
        <f>+VLOOKUP(M3131,[1]SKU!$B$3:$E$81,4,0)</f>
        <v>#N/A</v>
      </c>
      <c r="Z3131" s="8" t="str">
        <f t="shared" si="48"/>
        <v>FLEX</v>
      </c>
      <c r="AA3131" s="8" t="e">
        <f>+VLOOKUP(I3131,[1]SKU!$H$2:$I$97,2,0)</f>
        <v>#N/A</v>
      </c>
    </row>
    <row r="3132" spans="24:27">
      <c r="X3132" s="8" t="str">
        <f>+IFERROR(VLOOKUP(N3132,[1]Hoja1!$B$2:$F$52,4,0)*P3132,"")</f>
        <v/>
      </c>
      <c r="Y3132" s="8" t="e">
        <f>+VLOOKUP(M3132,[1]SKU!$B$3:$E$81,4,0)</f>
        <v>#N/A</v>
      </c>
      <c r="Z3132" s="8" t="str">
        <f t="shared" si="48"/>
        <v>FLEX</v>
      </c>
      <c r="AA3132" s="8" t="e">
        <f>+VLOOKUP(I3132,[1]SKU!$H$2:$I$97,2,0)</f>
        <v>#N/A</v>
      </c>
    </row>
    <row r="3133" spans="24:27">
      <c r="X3133" s="8" t="str">
        <f>+IFERROR(VLOOKUP(N3133,[1]Hoja1!$B$2:$F$52,4,0)*P3133,"")</f>
        <v/>
      </c>
      <c r="Y3133" s="8" t="e">
        <f>+VLOOKUP(M3133,[1]SKU!$B$3:$E$81,4,0)</f>
        <v>#N/A</v>
      </c>
      <c r="Z3133" s="8" t="str">
        <f t="shared" si="48"/>
        <v>FLEX</v>
      </c>
      <c r="AA3133" s="8" t="e">
        <f>+VLOOKUP(I3133,[1]SKU!$H$2:$I$97,2,0)</f>
        <v>#N/A</v>
      </c>
    </row>
    <row r="3134" spans="24:27">
      <c r="X3134" s="8" t="str">
        <f>+IFERROR(VLOOKUP(N3134,[1]Hoja1!$B$2:$F$52,4,0)*P3134,"")</f>
        <v/>
      </c>
      <c r="Y3134" s="8" t="e">
        <f>+VLOOKUP(M3134,[1]SKU!$B$3:$E$81,4,0)</f>
        <v>#N/A</v>
      </c>
      <c r="Z3134" s="8" t="str">
        <f t="shared" si="48"/>
        <v>FLEX</v>
      </c>
      <c r="AA3134" s="8" t="e">
        <f>+VLOOKUP(I3134,[1]SKU!$H$2:$I$97,2,0)</f>
        <v>#N/A</v>
      </c>
    </row>
    <row r="3135" spans="24:27">
      <c r="X3135" s="8" t="str">
        <f>+IFERROR(VLOOKUP(N3135,[1]Hoja1!$B$2:$F$52,4,0)*P3135,"")</f>
        <v/>
      </c>
      <c r="Y3135" s="8" t="e">
        <f>+VLOOKUP(M3135,[1]SKU!$B$3:$E$81,4,0)</f>
        <v>#N/A</v>
      </c>
      <c r="Z3135" s="8" t="str">
        <f t="shared" si="48"/>
        <v>FLEX</v>
      </c>
      <c r="AA3135" s="8" t="e">
        <f>+VLOOKUP(I3135,[1]SKU!$H$2:$I$97,2,0)</f>
        <v>#N/A</v>
      </c>
    </row>
    <row r="3136" spans="24:27">
      <c r="X3136" s="8" t="str">
        <f>+IFERROR(VLOOKUP(N3136,[1]Hoja1!$B$2:$F$52,4,0)*P3136,"")</f>
        <v/>
      </c>
      <c r="Y3136" s="8" t="e">
        <f>+VLOOKUP(M3136,[1]SKU!$B$3:$E$81,4,0)</f>
        <v>#N/A</v>
      </c>
      <c r="Z3136" s="8" t="str">
        <f t="shared" si="48"/>
        <v>FLEX</v>
      </c>
      <c r="AA3136" s="8" t="e">
        <f>+VLOOKUP(I3136,[1]SKU!$H$2:$I$97,2,0)</f>
        <v>#N/A</v>
      </c>
    </row>
    <row r="3137" spans="24:27">
      <c r="X3137" s="8" t="str">
        <f>+IFERROR(VLOOKUP(N3137,[1]Hoja1!$B$2:$F$52,4,0)*P3137,"")</f>
        <v/>
      </c>
      <c r="Y3137" s="8" t="e">
        <f>+VLOOKUP(M3137,[1]SKU!$B$3:$E$81,4,0)</f>
        <v>#N/A</v>
      </c>
      <c r="Z3137" s="8" t="str">
        <f t="shared" si="48"/>
        <v>FLEX</v>
      </c>
      <c r="AA3137" s="8" t="e">
        <f>+VLOOKUP(I3137,[1]SKU!$H$2:$I$97,2,0)</f>
        <v>#N/A</v>
      </c>
    </row>
    <row r="3138" spans="24:27">
      <c r="X3138" s="8" t="str">
        <f>+IFERROR(VLOOKUP(N3138,[1]Hoja1!$B$2:$F$52,4,0)*P3138,"")</f>
        <v/>
      </c>
      <c r="Y3138" s="8" t="e">
        <f>+VLOOKUP(M3138,[1]SKU!$B$3:$E$81,4,0)</f>
        <v>#N/A</v>
      </c>
      <c r="Z3138" s="8" t="str">
        <f t="shared" si="48"/>
        <v>FLEX</v>
      </c>
      <c r="AA3138" s="8" t="e">
        <f>+VLOOKUP(I3138,[1]SKU!$H$2:$I$97,2,0)</f>
        <v>#N/A</v>
      </c>
    </row>
    <row r="3139" spans="24:27">
      <c r="X3139" s="8" t="str">
        <f>+IFERROR(VLOOKUP(N3139,[1]Hoja1!$B$2:$F$52,4,0)*P3139,"")</f>
        <v/>
      </c>
      <c r="Y3139" s="8" t="e">
        <f>+VLOOKUP(M3139,[1]SKU!$B$3:$E$81,4,0)</f>
        <v>#N/A</v>
      </c>
      <c r="Z3139" s="8" t="str">
        <f t="shared" ref="Z3139:Z3202" si="49">+IF(J3139="VB01                          ","BEES","FLEX")</f>
        <v>FLEX</v>
      </c>
      <c r="AA3139" s="8" t="e">
        <f>+VLOOKUP(I3139,[1]SKU!$H$2:$I$97,2,0)</f>
        <v>#N/A</v>
      </c>
    </row>
    <row r="3140" spans="24:27">
      <c r="X3140" s="8" t="str">
        <f>+IFERROR(VLOOKUP(N3140,[1]Hoja1!$B$2:$F$52,4,0)*P3140,"")</f>
        <v/>
      </c>
      <c r="Y3140" s="8" t="e">
        <f>+VLOOKUP(M3140,[1]SKU!$B$3:$E$81,4,0)</f>
        <v>#N/A</v>
      </c>
      <c r="Z3140" s="8" t="str">
        <f t="shared" si="49"/>
        <v>FLEX</v>
      </c>
      <c r="AA3140" s="8" t="e">
        <f>+VLOOKUP(I3140,[1]SKU!$H$2:$I$97,2,0)</f>
        <v>#N/A</v>
      </c>
    </row>
    <row r="3141" spans="24:27">
      <c r="X3141" s="8" t="str">
        <f>+IFERROR(VLOOKUP(N3141,[1]Hoja1!$B$2:$F$52,4,0)*P3141,"")</f>
        <v/>
      </c>
      <c r="Y3141" s="8" t="e">
        <f>+VLOOKUP(M3141,[1]SKU!$B$3:$E$81,4,0)</f>
        <v>#N/A</v>
      </c>
      <c r="Z3141" s="8" t="str">
        <f t="shared" si="49"/>
        <v>FLEX</v>
      </c>
      <c r="AA3141" s="8" t="e">
        <f>+VLOOKUP(I3141,[1]SKU!$H$2:$I$97,2,0)</f>
        <v>#N/A</v>
      </c>
    </row>
    <row r="3142" spans="24:27">
      <c r="X3142" s="8" t="str">
        <f>+IFERROR(VLOOKUP(N3142,[1]Hoja1!$B$2:$F$52,4,0)*P3142,"")</f>
        <v/>
      </c>
      <c r="Y3142" s="8" t="e">
        <f>+VLOOKUP(M3142,[1]SKU!$B$3:$E$81,4,0)</f>
        <v>#N/A</v>
      </c>
      <c r="Z3142" s="8" t="str">
        <f t="shared" si="49"/>
        <v>FLEX</v>
      </c>
      <c r="AA3142" s="8" t="e">
        <f>+VLOOKUP(I3142,[1]SKU!$H$2:$I$97,2,0)</f>
        <v>#N/A</v>
      </c>
    </row>
    <row r="3143" spans="24:27">
      <c r="X3143" s="8" t="str">
        <f>+IFERROR(VLOOKUP(N3143,[1]Hoja1!$B$2:$F$52,4,0)*P3143,"")</f>
        <v/>
      </c>
      <c r="Y3143" s="8" t="e">
        <f>+VLOOKUP(M3143,[1]SKU!$B$3:$E$81,4,0)</f>
        <v>#N/A</v>
      </c>
      <c r="Z3143" s="8" t="str">
        <f t="shared" si="49"/>
        <v>FLEX</v>
      </c>
      <c r="AA3143" s="8" t="e">
        <f>+VLOOKUP(I3143,[1]SKU!$H$2:$I$97,2,0)</f>
        <v>#N/A</v>
      </c>
    </row>
    <row r="3144" spans="24:27">
      <c r="X3144" s="8" t="str">
        <f>+IFERROR(VLOOKUP(N3144,[1]Hoja1!$B$2:$F$52,4,0)*P3144,"")</f>
        <v/>
      </c>
      <c r="Y3144" s="8" t="e">
        <f>+VLOOKUP(M3144,[1]SKU!$B$3:$E$81,4,0)</f>
        <v>#N/A</v>
      </c>
      <c r="Z3144" s="8" t="str">
        <f t="shared" si="49"/>
        <v>FLEX</v>
      </c>
      <c r="AA3144" s="8" t="e">
        <f>+VLOOKUP(I3144,[1]SKU!$H$2:$I$97,2,0)</f>
        <v>#N/A</v>
      </c>
    </row>
    <row r="3145" spans="24:27">
      <c r="X3145" s="8" t="str">
        <f>+IFERROR(VLOOKUP(N3145,[1]Hoja1!$B$2:$F$52,4,0)*P3145,"")</f>
        <v/>
      </c>
      <c r="Y3145" s="8" t="e">
        <f>+VLOOKUP(M3145,[1]SKU!$B$3:$E$81,4,0)</f>
        <v>#N/A</v>
      </c>
      <c r="Z3145" s="8" t="str">
        <f t="shared" si="49"/>
        <v>FLEX</v>
      </c>
      <c r="AA3145" s="8" t="e">
        <f>+VLOOKUP(I3145,[1]SKU!$H$2:$I$97,2,0)</f>
        <v>#N/A</v>
      </c>
    </row>
    <row r="3146" spans="24:27">
      <c r="X3146" s="8" t="str">
        <f>+IFERROR(VLOOKUP(N3146,[1]Hoja1!$B$2:$F$52,4,0)*P3146,"")</f>
        <v/>
      </c>
      <c r="Y3146" s="8" t="e">
        <f>+VLOOKUP(M3146,[1]SKU!$B$3:$E$81,4,0)</f>
        <v>#N/A</v>
      </c>
      <c r="Z3146" s="8" t="str">
        <f t="shared" si="49"/>
        <v>FLEX</v>
      </c>
      <c r="AA3146" s="8" t="e">
        <f>+VLOOKUP(I3146,[1]SKU!$H$2:$I$97,2,0)</f>
        <v>#N/A</v>
      </c>
    </row>
    <row r="3147" spans="24:27">
      <c r="X3147" s="8" t="str">
        <f>+IFERROR(VLOOKUP(N3147,[1]Hoja1!$B$2:$F$52,4,0)*P3147,"")</f>
        <v/>
      </c>
      <c r="Y3147" s="8" t="e">
        <f>+VLOOKUP(M3147,[1]SKU!$B$3:$E$81,4,0)</f>
        <v>#N/A</v>
      </c>
      <c r="Z3147" s="8" t="str">
        <f t="shared" si="49"/>
        <v>FLEX</v>
      </c>
      <c r="AA3147" s="8" t="e">
        <f>+VLOOKUP(I3147,[1]SKU!$H$2:$I$97,2,0)</f>
        <v>#N/A</v>
      </c>
    </row>
    <row r="3148" spans="24:27">
      <c r="X3148" s="8" t="str">
        <f>+IFERROR(VLOOKUP(N3148,[1]Hoja1!$B$2:$F$52,4,0)*P3148,"")</f>
        <v/>
      </c>
      <c r="Y3148" s="8" t="e">
        <f>+VLOOKUP(M3148,[1]SKU!$B$3:$E$81,4,0)</f>
        <v>#N/A</v>
      </c>
      <c r="Z3148" s="8" t="str">
        <f t="shared" si="49"/>
        <v>FLEX</v>
      </c>
      <c r="AA3148" s="8" t="e">
        <f>+VLOOKUP(I3148,[1]SKU!$H$2:$I$97,2,0)</f>
        <v>#N/A</v>
      </c>
    </row>
    <row r="3149" spans="24:27">
      <c r="X3149" s="8" t="str">
        <f>+IFERROR(VLOOKUP(N3149,[1]Hoja1!$B$2:$F$52,4,0)*P3149,"")</f>
        <v/>
      </c>
      <c r="Y3149" s="8" t="e">
        <f>+VLOOKUP(M3149,[1]SKU!$B$3:$E$81,4,0)</f>
        <v>#N/A</v>
      </c>
      <c r="Z3149" s="8" t="str">
        <f t="shared" si="49"/>
        <v>FLEX</v>
      </c>
      <c r="AA3149" s="8" t="e">
        <f>+VLOOKUP(I3149,[1]SKU!$H$2:$I$97,2,0)</f>
        <v>#N/A</v>
      </c>
    </row>
    <row r="3150" spans="24:27">
      <c r="X3150" s="8" t="str">
        <f>+IFERROR(VLOOKUP(N3150,[1]Hoja1!$B$2:$F$52,4,0)*P3150,"")</f>
        <v/>
      </c>
      <c r="Y3150" s="8" t="e">
        <f>+VLOOKUP(M3150,[1]SKU!$B$3:$E$81,4,0)</f>
        <v>#N/A</v>
      </c>
      <c r="Z3150" s="8" t="str">
        <f t="shared" si="49"/>
        <v>FLEX</v>
      </c>
      <c r="AA3150" s="8" t="e">
        <f>+VLOOKUP(I3150,[1]SKU!$H$2:$I$97,2,0)</f>
        <v>#N/A</v>
      </c>
    </row>
    <row r="3151" spans="24:27">
      <c r="X3151" s="8" t="str">
        <f>+IFERROR(VLOOKUP(N3151,[1]Hoja1!$B$2:$F$52,4,0)*P3151,"")</f>
        <v/>
      </c>
      <c r="Y3151" s="8" t="e">
        <f>+VLOOKUP(M3151,[1]SKU!$B$3:$E$81,4,0)</f>
        <v>#N/A</v>
      </c>
      <c r="Z3151" s="8" t="str">
        <f t="shared" si="49"/>
        <v>FLEX</v>
      </c>
      <c r="AA3151" s="8" t="e">
        <f>+VLOOKUP(I3151,[1]SKU!$H$2:$I$97,2,0)</f>
        <v>#N/A</v>
      </c>
    </row>
    <row r="3152" spans="24:27">
      <c r="X3152" s="8" t="str">
        <f>+IFERROR(VLOOKUP(N3152,[1]Hoja1!$B$2:$F$52,4,0)*P3152,"")</f>
        <v/>
      </c>
      <c r="Y3152" s="8" t="e">
        <f>+VLOOKUP(M3152,[1]SKU!$B$3:$E$81,4,0)</f>
        <v>#N/A</v>
      </c>
      <c r="Z3152" s="8" t="str">
        <f t="shared" si="49"/>
        <v>FLEX</v>
      </c>
      <c r="AA3152" s="8" t="e">
        <f>+VLOOKUP(I3152,[1]SKU!$H$2:$I$97,2,0)</f>
        <v>#N/A</v>
      </c>
    </row>
    <row r="3153" spans="24:27">
      <c r="X3153" s="8" t="str">
        <f>+IFERROR(VLOOKUP(N3153,[1]Hoja1!$B$2:$F$52,4,0)*P3153,"")</f>
        <v/>
      </c>
      <c r="Y3153" s="8" t="e">
        <f>+VLOOKUP(M3153,[1]SKU!$B$3:$E$81,4,0)</f>
        <v>#N/A</v>
      </c>
      <c r="Z3153" s="8" t="str">
        <f t="shared" si="49"/>
        <v>FLEX</v>
      </c>
      <c r="AA3153" s="8" t="e">
        <f>+VLOOKUP(I3153,[1]SKU!$H$2:$I$97,2,0)</f>
        <v>#N/A</v>
      </c>
    </row>
    <row r="3154" spans="24:27">
      <c r="X3154" s="8" t="str">
        <f>+IFERROR(VLOOKUP(N3154,[1]Hoja1!$B$2:$F$52,4,0)*P3154,"")</f>
        <v/>
      </c>
      <c r="Y3154" s="8" t="e">
        <f>+VLOOKUP(M3154,[1]SKU!$B$3:$E$81,4,0)</f>
        <v>#N/A</v>
      </c>
      <c r="Z3154" s="8" t="str">
        <f t="shared" si="49"/>
        <v>FLEX</v>
      </c>
      <c r="AA3154" s="8" t="e">
        <f>+VLOOKUP(I3154,[1]SKU!$H$2:$I$97,2,0)</f>
        <v>#N/A</v>
      </c>
    </row>
    <row r="3155" spans="24:27">
      <c r="X3155" s="8" t="str">
        <f>+IFERROR(VLOOKUP(N3155,[1]Hoja1!$B$2:$F$52,4,0)*P3155,"")</f>
        <v/>
      </c>
      <c r="Y3155" s="8" t="e">
        <f>+VLOOKUP(M3155,[1]SKU!$B$3:$E$81,4,0)</f>
        <v>#N/A</v>
      </c>
      <c r="Z3155" s="8" t="str">
        <f t="shared" si="49"/>
        <v>FLEX</v>
      </c>
      <c r="AA3155" s="8" t="e">
        <f>+VLOOKUP(I3155,[1]SKU!$H$2:$I$97,2,0)</f>
        <v>#N/A</v>
      </c>
    </row>
    <row r="3156" spans="24:27">
      <c r="X3156" s="8" t="str">
        <f>+IFERROR(VLOOKUP(N3156,[1]Hoja1!$B$2:$F$52,4,0)*P3156,"")</f>
        <v/>
      </c>
      <c r="Y3156" s="8" t="e">
        <f>+VLOOKUP(M3156,[1]SKU!$B$3:$E$81,4,0)</f>
        <v>#N/A</v>
      </c>
      <c r="Z3156" s="8" t="str">
        <f t="shared" si="49"/>
        <v>FLEX</v>
      </c>
      <c r="AA3156" s="8" t="e">
        <f>+VLOOKUP(I3156,[1]SKU!$H$2:$I$97,2,0)</f>
        <v>#N/A</v>
      </c>
    </row>
    <row r="3157" spans="24:27">
      <c r="X3157" s="8" t="str">
        <f>+IFERROR(VLOOKUP(N3157,[1]Hoja1!$B$2:$F$52,4,0)*P3157,"")</f>
        <v/>
      </c>
      <c r="Y3157" s="8" t="e">
        <f>+VLOOKUP(M3157,[1]SKU!$B$3:$E$81,4,0)</f>
        <v>#N/A</v>
      </c>
      <c r="Z3157" s="8" t="str">
        <f t="shared" si="49"/>
        <v>FLEX</v>
      </c>
      <c r="AA3157" s="8" t="e">
        <f>+VLOOKUP(I3157,[1]SKU!$H$2:$I$97,2,0)</f>
        <v>#N/A</v>
      </c>
    </row>
    <row r="3158" spans="24:27">
      <c r="X3158" s="8" t="str">
        <f>+IFERROR(VLOOKUP(N3158,[1]Hoja1!$B$2:$F$52,4,0)*P3158,"")</f>
        <v/>
      </c>
      <c r="Y3158" s="8" t="e">
        <f>+VLOOKUP(M3158,[1]SKU!$B$3:$E$81,4,0)</f>
        <v>#N/A</v>
      </c>
      <c r="Z3158" s="8" t="str">
        <f t="shared" si="49"/>
        <v>FLEX</v>
      </c>
      <c r="AA3158" s="8" t="e">
        <f>+VLOOKUP(I3158,[1]SKU!$H$2:$I$97,2,0)</f>
        <v>#N/A</v>
      </c>
    </row>
    <row r="3159" spans="24:27">
      <c r="X3159" s="8" t="str">
        <f>+IFERROR(VLOOKUP(N3159,[1]Hoja1!$B$2:$F$52,4,0)*P3159,"")</f>
        <v/>
      </c>
      <c r="Y3159" s="8" t="e">
        <f>+VLOOKUP(M3159,[1]SKU!$B$3:$E$81,4,0)</f>
        <v>#N/A</v>
      </c>
      <c r="Z3159" s="8" t="str">
        <f t="shared" si="49"/>
        <v>FLEX</v>
      </c>
      <c r="AA3159" s="8" t="e">
        <f>+VLOOKUP(I3159,[1]SKU!$H$2:$I$97,2,0)</f>
        <v>#N/A</v>
      </c>
    </row>
    <row r="3160" spans="24:27">
      <c r="X3160" s="8" t="str">
        <f>+IFERROR(VLOOKUP(N3160,[1]Hoja1!$B$2:$F$52,4,0)*P3160,"")</f>
        <v/>
      </c>
      <c r="Y3160" s="8" t="e">
        <f>+VLOOKUP(M3160,[1]SKU!$B$3:$E$81,4,0)</f>
        <v>#N/A</v>
      </c>
      <c r="Z3160" s="8" t="str">
        <f t="shared" si="49"/>
        <v>FLEX</v>
      </c>
      <c r="AA3160" s="8" t="e">
        <f>+VLOOKUP(I3160,[1]SKU!$H$2:$I$97,2,0)</f>
        <v>#N/A</v>
      </c>
    </row>
    <row r="3161" spans="24:27">
      <c r="X3161" s="8" t="str">
        <f>+IFERROR(VLOOKUP(N3161,[1]Hoja1!$B$2:$F$52,4,0)*P3161,"")</f>
        <v/>
      </c>
      <c r="Y3161" s="8" t="e">
        <f>+VLOOKUP(M3161,[1]SKU!$B$3:$E$81,4,0)</f>
        <v>#N/A</v>
      </c>
      <c r="Z3161" s="8" t="str">
        <f t="shared" si="49"/>
        <v>FLEX</v>
      </c>
      <c r="AA3161" s="8" t="e">
        <f>+VLOOKUP(I3161,[1]SKU!$H$2:$I$97,2,0)</f>
        <v>#N/A</v>
      </c>
    </row>
    <row r="3162" spans="24:27">
      <c r="X3162" s="8" t="str">
        <f>+IFERROR(VLOOKUP(N3162,[1]Hoja1!$B$2:$F$52,4,0)*P3162,"")</f>
        <v/>
      </c>
      <c r="Y3162" s="8" t="e">
        <f>+VLOOKUP(M3162,[1]SKU!$B$3:$E$81,4,0)</f>
        <v>#N/A</v>
      </c>
      <c r="Z3162" s="8" t="str">
        <f t="shared" si="49"/>
        <v>FLEX</v>
      </c>
      <c r="AA3162" s="8" t="e">
        <f>+VLOOKUP(I3162,[1]SKU!$H$2:$I$97,2,0)</f>
        <v>#N/A</v>
      </c>
    </row>
    <row r="3163" spans="24:27">
      <c r="X3163" s="8" t="str">
        <f>+IFERROR(VLOOKUP(N3163,[1]Hoja1!$B$2:$F$52,4,0)*P3163,"")</f>
        <v/>
      </c>
      <c r="Y3163" s="8" t="e">
        <f>+VLOOKUP(M3163,[1]SKU!$B$3:$E$81,4,0)</f>
        <v>#N/A</v>
      </c>
      <c r="Z3163" s="8" t="str">
        <f t="shared" si="49"/>
        <v>FLEX</v>
      </c>
      <c r="AA3163" s="8" t="e">
        <f>+VLOOKUP(I3163,[1]SKU!$H$2:$I$97,2,0)</f>
        <v>#N/A</v>
      </c>
    </row>
    <row r="3164" spans="24:27">
      <c r="X3164" s="8" t="str">
        <f>+IFERROR(VLOOKUP(N3164,[1]Hoja1!$B$2:$F$52,4,0)*P3164,"")</f>
        <v/>
      </c>
      <c r="Y3164" s="8" t="e">
        <f>+VLOOKUP(M3164,[1]SKU!$B$3:$E$81,4,0)</f>
        <v>#N/A</v>
      </c>
      <c r="Z3164" s="8" t="str">
        <f t="shared" si="49"/>
        <v>FLEX</v>
      </c>
      <c r="AA3164" s="8" t="e">
        <f>+VLOOKUP(I3164,[1]SKU!$H$2:$I$97,2,0)</f>
        <v>#N/A</v>
      </c>
    </row>
    <row r="3165" spans="24:27">
      <c r="X3165" s="8" t="str">
        <f>+IFERROR(VLOOKUP(N3165,[1]Hoja1!$B$2:$F$52,4,0)*P3165,"")</f>
        <v/>
      </c>
      <c r="Y3165" s="8" t="e">
        <f>+VLOOKUP(M3165,[1]SKU!$B$3:$E$81,4,0)</f>
        <v>#N/A</v>
      </c>
      <c r="Z3165" s="8" t="str">
        <f t="shared" si="49"/>
        <v>FLEX</v>
      </c>
      <c r="AA3165" s="8" t="e">
        <f>+VLOOKUP(I3165,[1]SKU!$H$2:$I$97,2,0)</f>
        <v>#N/A</v>
      </c>
    </row>
    <row r="3166" spans="24:27">
      <c r="X3166" s="8" t="str">
        <f>+IFERROR(VLOOKUP(N3166,[1]Hoja1!$B$2:$F$52,4,0)*P3166,"")</f>
        <v/>
      </c>
      <c r="Y3166" s="8" t="e">
        <f>+VLOOKUP(M3166,[1]SKU!$B$3:$E$81,4,0)</f>
        <v>#N/A</v>
      </c>
      <c r="Z3166" s="8" t="str">
        <f t="shared" si="49"/>
        <v>FLEX</v>
      </c>
      <c r="AA3166" s="8" t="e">
        <f>+VLOOKUP(I3166,[1]SKU!$H$2:$I$97,2,0)</f>
        <v>#N/A</v>
      </c>
    </row>
    <row r="3167" spans="24:27">
      <c r="X3167" s="8" t="str">
        <f>+IFERROR(VLOOKUP(N3167,[1]Hoja1!$B$2:$F$52,4,0)*P3167,"")</f>
        <v/>
      </c>
      <c r="Y3167" s="8" t="e">
        <f>+VLOOKUP(M3167,[1]SKU!$B$3:$E$81,4,0)</f>
        <v>#N/A</v>
      </c>
      <c r="Z3167" s="8" t="str">
        <f t="shared" si="49"/>
        <v>FLEX</v>
      </c>
      <c r="AA3167" s="8" t="e">
        <f>+VLOOKUP(I3167,[1]SKU!$H$2:$I$97,2,0)</f>
        <v>#N/A</v>
      </c>
    </row>
    <row r="3168" spans="24:27">
      <c r="X3168" s="8" t="str">
        <f>+IFERROR(VLOOKUP(N3168,[1]Hoja1!$B$2:$F$52,4,0)*P3168,"")</f>
        <v/>
      </c>
      <c r="Y3168" s="8" t="e">
        <f>+VLOOKUP(M3168,[1]SKU!$B$3:$E$81,4,0)</f>
        <v>#N/A</v>
      </c>
      <c r="Z3168" s="8" t="str">
        <f t="shared" si="49"/>
        <v>FLEX</v>
      </c>
      <c r="AA3168" s="8" t="e">
        <f>+VLOOKUP(I3168,[1]SKU!$H$2:$I$97,2,0)</f>
        <v>#N/A</v>
      </c>
    </row>
    <row r="3169" spans="24:27">
      <c r="X3169" s="8" t="str">
        <f>+IFERROR(VLOOKUP(N3169,[1]Hoja1!$B$2:$F$52,4,0)*P3169,"")</f>
        <v/>
      </c>
      <c r="Y3169" s="8" t="e">
        <f>+VLOOKUP(M3169,[1]SKU!$B$3:$E$81,4,0)</f>
        <v>#N/A</v>
      </c>
      <c r="Z3169" s="8" t="str">
        <f t="shared" si="49"/>
        <v>FLEX</v>
      </c>
      <c r="AA3169" s="8" t="e">
        <f>+VLOOKUP(I3169,[1]SKU!$H$2:$I$97,2,0)</f>
        <v>#N/A</v>
      </c>
    </row>
    <row r="3170" spans="24:27">
      <c r="X3170" s="8" t="str">
        <f>+IFERROR(VLOOKUP(N3170,[1]Hoja1!$B$2:$F$52,4,0)*P3170,"")</f>
        <v/>
      </c>
      <c r="Y3170" s="8" t="e">
        <f>+VLOOKUP(M3170,[1]SKU!$B$3:$E$81,4,0)</f>
        <v>#N/A</v>
      </c>
      <c r="Z3170" s="8" t="str">
        <f t="shared" si="49"/>
        <v>FLEX</v>
      </c>
      <c r="AA3170" s="8" t="e">
        <f>+VLOOKUP(I3170,[1]SKU!$H$2:$I$97,2,0)</f>
        <v>#N/A</v>
      </c>
    </row>
    <row r="3171" spans="24:27">
      <c r="X3171" s="8" t="str">
        <f>+IFERROR(VLOOKUP(N3171,[1]Hoja1!$B$2:$F$52,4,0)*P3171,"")</f>
        <v/>
      </c>
      <c r="Y3171" s="8" t="e">
        <f>+VLOOKUP(M3171,[1]SKU!$B$3:$E$81,4,0)</f>
        <v>#N/A</v>
      </c>
      <c r="Z3171" s="8" t="str">
        <f t="shared" si="49"/>
        <v>FLEX</v>
      </c>
      <c r="AA3171" s="8" t="e">
        <f>+VLOOKUP(I3171,[1]SKU!$H$2:$I$97,2,0)</f>
        <v>#N/A</v>
      </c>
    </row>
    <row r="3172" spans="24:27">
      <c r="X3172" s="8" t="str">
        <f>+IFERROR(VLOOKUP(N3172,[1]Hoja1!$B$2:$F$52,4,0)*P3172,"")</f>
        <v/>
      </c>
      <c r="Y3172" s="8" t="e">
        <f>+VLOOKUP(M3172,[1]SKU!$B$3:$E$81,4,0)</f>
        <v>#N/A</v>
      </c>
      <c r="Z3172" s="8" t="str">
        <f t="shared" si="49"/>
        <v>FLEX</v>
      </c>
      <c r="AA3172" s="8" t="e">
        <f>+VLOOKUP(I3172,[1]SKU!$H$2:$I$97,2,0)</f>
        <v>#N/A</v>
      </c>
    </row>
    <row r="3173" spans="24:27">
      <c r="X3173" s="8" t="str">
        <f>+IFERROR(VLOOKUP(N3173,[1]Hoja1!$B$2:$F$52,4,0)*P3173,"")</f>
        <v/>
      </c>
      <c r="Y3173" s="8" t="e">
        <f>+VLOOKUP(M3173,[1]SKU!$B$3:$E$81,4,0)</f>
        <v>#N/A</v>
      </c>
      <c r="Z3173" s="8" t="str">
        <f t="shared" si="49"/>
        <v>FLEX</v>
      </c>
      <c r="AA3173" s="8" t="e">
        <f>+VLOOKUP(I3173,[1]SKU!$H$2:$I$97,2,0)</f>
        <v>#N/A</v>
      </c>
    </row>
    <row r="3174" spans="24:27">
      <c r="X3174" s="8" t="str">
        <f>+IFERROR(VLOOKUP(N3174,[1]Hoja1!$B$2:$F$52,4,0)*P3174,"")</f>
        <v/>
      </c>
      <c r="Y3174" s="8" t="e">
        <f>+VLOOKUP(M3174,[1]SKU!$B$3:$E$81,4,0)</f>
        <v>#N/A</v>
      </c>
      <c r="Z3174" s="8" t="str">
        <f t="shared" si="49"/>
        <v>FLEX</v>
      </c>
      <c r="AA3174" s="8" t="e">
        <f>+VLOOKUP(I3174,[1]SKU!$H$2:$I$97,2,0)</f>
        <v>#N/A</v>
      </c>
    </row>
    <row r="3175" spans="24:27">
      <c r="X3175" s="8" t="str">
        <f>+IFERROR(VLOOKUP(N3175,[1]Hoja1!$B$2:$F$52,4,0)*P3175,"")</f>
        <v/>
      </c>
      <c r="Y3175" s="8" t="e">
        <f>+VLOOKUP(M3175,[1]SKU!$B$3:$E$81,4,0)</f>
        <v>#N/A</v>
      </c>
      <c r="Z3175" s="8" t="str">
        <f t="shared" si="49"/>
        <v>FLEX</v>
      </c>
      <c r="AA3175" s="8" t="e">
        <f>+VLOOKUP(I3175,[1]SKU!$H$2:$I$97,2,0)</f>
        <v>#N/A</v>
      </c>
    </row>
    <row r="3176" spans="24:27">
      <c r="X3176" s="8" t="str">
        <f>+IFERROR(VLOOKUP(N3176,[1]Hoja1!$B$2:$F$52,4,0)*P3176,"")</f>
        <v/>
      </c>
      <c r="Y3176" s="8" t="e">
        <f>+VLOOKUP(M3176,[1]SKU!$B$3:$E$81,4,0)</f>
        <v>#N/A</v>
      </c>
      <c r="Z3176" s="8" t="str">
        <f t="shared" si="49"/>
        <v>FLEX</v>
      </c>
      <c r="AA3176" s="8" t="e">
        <f>+VLOOKUP(I3176,[1]SKU!$H$2:$I$97,2,0)</f>
        <v>#N/A</v>
      </c>
    </row>
    <row r="3177" spans="24:27">
      <c r="X3177" s="8" t="str">
        <f>+IFERROR(VLOOKUP(N3177,[1]Hoja1!$B$2:$F$52,4,0)*P3177,"")</f>
        <v/>
      </c>
      <c r="Y3177" s="8" t="e">
        <f>+VLOOKUP(M3177,[1]SKU!$B$3:$E$81,4,0)</f>
        <v>#N/A</v>
      </c>
      <c r="Z3177" s="8" t="str">
        <f t="shared" si="49"/>
        <v>FLEX</v>
      </c>
      <c r="AA3177" s="8" t="e">
        <f>+VLOOKUP(I3177,[1]SKU!$H$2:$I$97,2,0)</f>
        <v>#N/A</v>
      </c>
    </row>
    <row r="3178" spans="24:27">
      <c r="X3178" s="8" t="str">
        <f>+IFERROR(VLOOKUP(N3178,[1]Hoja1!$B$2:$F$52,4,0)*P3178,"")</f>
        <v/>
      </c>
      <c r="Y3178" s="8" t="e">
        <f>+VLOOKUP(M3178,[1]SKU!$B$3:$E$81,4,0)</f>
        <v>#N/A</v>
      </c>
      <c r="Z3178" s="8" t="str">
        <f t="shared" si="49"/>
        <v>FLEX</v>
      </c>
      <c r="AA3178" s="8" t="e">
        <f>+VLOOKUP(I3178,[1]SKU!$H$2:$I$97,2,0)</f>
        <v>#N/A</v>
      </c>
    </row>
    <row r="3179" spans="24:27">
      <c r="X3179" s="8" t="str">
        <f>+IFERROR(VLOOKUP(N3179,[1]Hoja1!$B$2:$F$52,4,0)*P3179,"")</f>
        <v/>
      </c>
      <c r="Y3179" s="8" t="e">
        <f>+VLOOKUP(M3179,[1]SKU!$B$3:$E$81,4,0)</f>
        <v>#N/A</v>
      </c>
      <c r="Z3179" s="8" t="str">
        <f t="shared" si="49"/>
        <v>FLEX</v>
      </c>
      <c r="AA3179" s="8" t="e">
        <f>+VLOOKUP(I3179,[1]SKU!$H$2:$I$97,2,0)</f>
        <v>#N/A</v>
      </c>
    </row>
    <row r="3180" spans="24:27">
      <c r="X3180" s="8" t="str">
        <f>+IFERROR(VLOOKUP(N3180,[1]Hoja1!$B$2:$F$52,4,0)*P3180,"")</f>
        <v/>
      </c>
      <c r="Y3180" s="8" t="e">
        <f>+VLOOKUP(M3180,[1]SKU!$B$3:$E$81,4,0)</f>
        <v>#N/A</v>
      </c>
      <c r="Z3180" s="8" t="str">
        <f t="shared" si="49"/>
        <v>FLEX</v>
      </c>
      <c r="AA3180" s="8" t="e">
        <f>+VLOOKUP(I3180,[1]SKU!$H$2:$I$97,2,0)</f>
        <v>#N/A</v>
      </c>
    </row>
    <row r="3181" spans="24:27">
      <c r="X3181" s="8" t="str">
        <f>+IFERROR(VLOOKUP(N3181,[1]Hoja1!$B$2:$F$52,4,0)*P3181,"")</f>
        <v/>
      </c>
      <c r="Y3181" s="8" t="e">
        <f>+VLOOKUP(M3181,[1]SKU!$B$3:$E$81,4,0)</f>
        <v>#N/A</v>
      </c>
      <c r="Z3181" s="8" t="str">
        <f t="shared" si="49"/>
        <v>FLEX</v>
      </c>
      <c r="AA3181" s="8" t="e">
        <f>+VLOOKUP(I3181,[1]SKU!$H$2:$I$97,2,0)</f>
        <v>#N/A</v>
      </c>
    </row>
    <row r="3182" spans="24:27">
      <c r="X3182" s="8" t="str">
        <f>+IFERROR(VLOOKUP(N3182,[1]Hoja1!$B$2:$F$52,4,0)*P3182,"")</f>
        <v/>
      </c>
      <c r="Y3182" s="8" t="e">
        <f>+VLOOKUP(M3182,[1]SKU!$B$3:$E$81,4,0)</f>
        <v>#N/A</v>
      </c>
      <c r="Z3182" s="8" t="str">
        <f t="shared" si="49"/>
        <v>FLEX</v>
      </c>
      <c r="AA3182" s="8" t="e">
        <f>+VLOOKUP(I3182,[1]SKU!$H$2:$I$97,2,0)</f>
        <v>#N/A</v>
      </c>
    </row>
    <row r="3183" spans="24:27">
      <c r="X3183" s="8" t="str">
        <f>+IFERROR(VLOOKUP(N3183,[1]Hoja1!$B$2:$F$52,4,0)*P3183,"")</f>
        <v/>
      </c>
      <c r="Y3183" s="8" t="e">
        <f>+VLOOKUP(M3183,[1]SKU!$B$3:$E$81,4,0)</f>
        <v>#N/A</v>
      </c>
      <c r="Z3183" s="8" t="str">
        <f t="shared" si="49"/>
        <v>FLEX</v>
      </c>
      <c r="AA3183" s="8" t="e">
        <f>+VLOOKUP(I3183,[1]SKU!$H$2:$I$97,2,0)</f>
        <v>#N/A</v>
      </c>
    </row>
    <row r="3184" spans="24:27">
      <c r="X3184" s="8" t="str">
        <f>+IFERROR(VLOOKUP(N3184,[1]Hoja1!$B$2:$F$52,4,0)*P3184,"")</f>
        <v/>
      </c>
      <c r="Y3184" s="8" t="e">
        <f>+VLOOKUP(M3184,[1]SKU!$B$3:$E$81,4,0)</f>
        <v>#N/A</v>
      </c>
      <c r="Z3184" s="8" t="str">
        <f t="shared" si="49"/>
        <v>FLEX</v>
      </c>
      <c r="AA3184" s="8" t="e">
        <f>+VLOOKUP(I3184,[1]SKU!$H$2:$I$97,2,0)</f>
        <v>#N/A</v>
      </c>
    </row>
    <row r="3185" spans="24:27">
      <c r="X3185" s="8" t="str">
        <f>+IFERROR(VLOOKUP(N3185,[1]Hoja1!$B$2:$F$52,4,0)*P3185,"")</f>
        <v/>
      </c>
      <c r="Y3185" s="8" t="e">
        <f>+VLOOKUP(M3185,[1]SKU!$B$3:$E$81,4,0)</f>
        <v>#N/A</v>
      </c>
      <c r="Z3185" s="8" t="str">
        <f t="shared" si="49"/>
        <v>FLEX</v>
      </c>
      <c r="AA3185" s="8" t="e">
        <f>+VLOOKUP(I3185,[1]SKU!$H$2:$I$97,2,0)</f>
        <v>#N/A</v>
      </c>
    </row>
    <row r="3186" spans="24:27">
      <c r="X3186" s="8" t="str">
        <f>+IFERROR(VLOOKUP(N3186,[1]Hoja1!$B$2:$F$52,4,0)*P3186,"")</f>
        <v/>
      </c>
      <c r="Y3186" s="8" t="e">
        <f>+VLOOKUP(M3186,[1]SKU!$B$3:$E$81,4,0)</f>
        <v>#N/A</v>
      </c>
      <c r="Z3186" s="8" t="str">
        <f t="shared" si="49"/>
        <v>FLEX</v>
      </c>
      <c r="AA3186" s="8" t="e">
        <f>+VLOOKUP(I3186,[1]SKU!$H$2:$I$97,2,0)</f>
        <v>#N/A</v>
      </c>
    </row>
    <row r="3187" spans="24:27">
      <c r="X3187" s="8" t="str">
        <f>+IFERROR(VLOOKUP(N3187,[1]Hoja1!$B$2:$F$52,4,0)*P3187,"")</f>
        <v/>
      </c>
      <c r="Y3187" s="8" t="e">
        <f>+VLOOKUP(M3187,[1]SKU!$B$3:$E$81,4,0)</f>
        <v>#N/A</v>
      </c>
      <c r="Z3187" s="8" t="str">
        <f t="shared" si="49"/>
        <v>FLEX</v>
      </c>
      <c r="AA3187" s="8" t="e">
        <f>+VLOOKUP(I3187,[1]SKU!$H$2:$I$97,2,0)</f>
        <v>#N/A</v>
      </c>
    </row>
    <row r="3188" spans="24:27">
      <c r="X3188" s="8" t="str">
        <f>+IFERROR(VLOOKUP(N3188,[1]Hoja1!$B$2:$F$52,4,0)*P3188,"")</f>
        <v/>
      </c>
      <c r="Y3188" s="8" t="e">
        <f>+VLOOKUP(M3188,[1]SKU!$B$3:$E$81,4,0)</f>
        <v>#N/A</v>
      </c>
      <c r="Z3188" s="8" t="str">
        <f t="shared" si="49"/>
        <v>FLEX</v>
      </c>
      <c r="AA3188" s="8" t="e">
        <f>+VLOOKUP(I3188,[1]SKU!$H$2:$I$97,2,0)</f>
        <v>#N/A</v>
      </c>
    </row>
    <row r="3189" spans="24:27">
      <c r="X3189" s="8" t="str">
        <f>+IFERROR(VLOOKUP(N3189,[1]Hoja1!$B$2:$F$52,4,0)*P3189,"")</f>
        <v/>
      </c>
      <c r="Y3189" s="8" t="e">
        <f>+VLOOKUP(M3189,[1]SKU!$B$3:$E$81,4,0)</f>
        <v>#N/A</v>
      </c>
      <c r="Z3189" s="8" t="str">
        <f t="shared" si="49"/>
        <v>FLEX</v>
      </c>
      <c r="AA3189" s="8" t="e">
        <f>+VLOOKUP(I3189,[1]SKU!$H$2:$I$97,2,0)</f>
        <v>#N/A</v>
      </c>
    </row>
    <row r="3190" spans="24:27">
      <c r="X3190" s="8" t="str">
        <f>+IFERROR(VLOOKUP(N3190,[1]Hoja1!$B$2:$F$52,4,0)*P3190,"")</f>
        <v/>
      </c>
      <c r="Y3190" s="8" t="e">
        <f>+VLOOKUP(M3190,[1]SKU!$B$3:$E$81,4,0)</f>
        <v>#N/A</v>
      </c>
      <c r="Z3190" s="8" t="str">
        <f t="shared" si="49"/>
        <v>FLEX</v>
      </c>
      <c r="AA3190" s="8" t="e">
        <f>+VLOOKUP(I3190,[1]SKU!$H$2:$I$97,2,0)</f>
        <v>#N/A</v>
      </c>
    </row>
    <row r="3191" spans="24:27">
      <c r="X3191" s="8" t="str">
        <f>+IFERROR(VLOOKUP(N3191,[1]Hoja1!$B$2:$F$52,4,0)*P3191,"")</f>
        <v/>
      </c>
      <c r="Y3191" s="8" t="e">
        <f>+VLOOKUP(M3191,[1]SKU!$B$3:$E$81,4,0)</f>
        <v>#N/A</v>
      </c>
      <c r="Z3191" s="8" t="str">
        <f t="shared" si="49"/>
        <v>FLEX</v>
      </c>
      <c r="AA3191" s="8" t="e">
        <f>+VLOOKUP(I3191,[1]SKU!$H$2:$I$97,2,0)</f>
        <v>#N/A</v>
      </c>
    </row>
    <row r="3192" spans="24:27">
      <c r="X3192" s="8" t="str">
        <f>+IFERROR(VLOOKUP(N3192,[1]Hoja1!$B$2:$F$52,4,0)*P3192,"")</f>
        <v/>
      </c>
      <c r="Y3192" s="8" t="e">
        <f>+VLOOKUP(M3192,[1]SKU!$B$3:$E$81,4,0)</f>
        <v>#N/A</v>
      </c>
      <c r="Z3192" s="8" t="str">
        <f t="shared" si="49"/>
        <v>FLEX</v>
      </c>
      <c r="AA3192" s="8" t="e">
        <f>+VLOOKUP(I3192,[1]SKU!$H$2:$I$97,2,0)</f>
        <v>#N/A</v>
      </c>
    </row>
    <row r="3193" spans="24:27">
      <c r="X3193" s="8" t="str">
        <f>+IFERROR(VLOOKUP(N3193,[1]Hoja1!$B$2:$F$52,4,0)*P3193,"")</f>
        <v/>
      </c>
      <c r="Y3193" s="8" t="e">
        <f>+VLOOKUP(M3193,[1]SKU!$B$3:$E$81,4,0)</f>
        <v>#N/A</v>
      </c>
      <c r="Z3193" s="8" t="str">
        <f t="shared" si="49"/>
        <v>FLEX</v>
      </c>
      <c r="AA3193" s="8" t="e">
        <f>+VLOOKUP(I3193,[1]SKU!$H$2:$I$97,2,0)</f>
        <v>#N/A</v>
      </c>
    </row>
    <row r="3194" spans="24:27">
      <c r="X3194" s="8" t="str">
        <f>+IFERROR(VLOOKUP(N3194,[1]Hoja1!$B$2:$F$52,4,0)*P3194,"")</f>
        <v/>
      </c>
      <c r="Y3194" s="8" t="e">
        <f>+VLOOKUP(M3194,[1]SKU!$B$3:$E$81,4,0)</f>
        <v>#N/A</v>
      </c>
      <c r="Z3194" s="8" t="str">
        <f t="shared" si="49"/>
        <v>FLEX</v>
      </c>
      <c r="AA3194" s="8" t="e">
        <f>+VLOOKUP(I3194,[1]SKU!$H$2:$I$97,2,0)</f>
        <v>#N/A</v>
      </c>
    </row>
    <row r="3195" spans="24:27">
      <c r="X3195" s="8" t="str">
        <f>+IFERROR(VLOOKUP(N3195,[1]Hoja1!$B$2:$F$52,4,0)*P3195,"")</f>
        <v/>
      </c>
      <c r="Y3195" s="8" t="e">
        <f>+VLOOKUP(M3195,[1]SKU!$B$3:$E$81,4,0)</f>
        <v>#N/A</v>
      </c>
      <c r="Z3195" s="8" t="str">
        <f t="shared" si="49"/>
        <v>FLEX</v>
      </c>
      <c r="AA3195" s="8" t="e">
        <f>+VLOOKUP(I3195,[1]SKU!$H$2:$I$97,2,0)</f>
        <v>#N/A</v>
      </c>
    </row>
    <row r="3196" spans="24:27">
      <c r="X3196" s="8" t="str">
        <f>+IFERROR(VLOOKUP(N3196,[1]Hoja1!$B$2:$F$52,4,0)*P3196,"")</f>
        <v/>
      </c>
      <c r="Y3196" s="8" t="e">
        <f>+VLOOKUP(M3196,[1]SKU!$B$3:$E$81,4,0)</f>
        <v>#N/A</v>
      </c>
      <c r="Z3196" s="8" t="str">
        <f t="shared" si="49"/>
        <v>FLEX</v>
      </c>
      <c r="AA3196" s="8" t="e">
        <f>+VLOOKUP(I3196,[1]SKU!$H$2:$I$97,2,0)</f>
        <v>#N/A</v>
      </c>
    </row>
    <row r="3197" spans="24:27">
      <c r="X3197" s="8" t="str">
        <f>+IFERROR(VLOOKUP(N3197,[1]Hoja1!$B$2:$F$52,4,0)*P3197,"")</f>
        <v/>
      </c>
      <c r="Y3197" s="8" t="e">
        <f>+VLOOKUP(M3197,[1]SKU!$B$3:$E$81,4,0)</f>
        <v>#N/A</v>
      </c>
      <c r="Z3197" s="8" t="str">
        <f t="shared" si="49"/>
        <v>FLEX</v>
      </c>
      <c r="AA3197" s="8" t="e">
        <f>+VLOOKUP(I3197,[1]SKU!$H$2:$I$97,2,0)</f>
        <v>#N/A</v>
      </c>
    </row>
    <row r="3198" spans="24:27">
      <c r="X3198" s="8" t="str">
        <f>+IFERROR(VLOOKUP(N3198,[1]Hoja1!$B$2:$F$52,4,0)*P3198,"")</f>
        <v/>
      </c>
      <c r="Y3198" s="8" t="e">
        <f>+VLOOKUP(M3198,[1]SKU!$B$3:$E$81,4,0)</f>
        <v>#N/A</v>
      </c>
      <c r="Z3198" s="8" t="str">
        <f t="shared" si="49"/>
        <v>FLEX</v>
      </c>
      <c r="AA3198" s="8" t="e">
        <f>+VLOOKUP(I3198,[1]SKU!$H$2:$I$97,2,0)</f>
        <v>#N/A</v>
      </c>
    </row>
    <row r="3199" spans="24:27">
      <c r="X3199" s="8" t="str">
        <f>+IFERROR(VLOOKUP(N3199,[1]Hoja1!$B$2:$F$52,4,0)*P3199,"")</f>
        <v/>
      </c>
      <c r="Y3199" s="8" t="e">
        <f>+VLOOKUP(M3199,[1]SKU!$B$3:$E$81,4,0)</f>
        <v>#N/A</v>
      </c>
      <c r="Z3199" s="8" t="str">
        <f t="shared" si="49"/>
        <v>FLEX</v>
      </c>
      <c r="AA3199" s="8" t="e">
        <f>+VLOOKUP(I3199,[1]SKU!$H$2:$I$97,2,0)</f>
        <v>#N/A</v>
      </c>
    </row>
    <row r="3200" spans="24:27">
      <c r="X3200" s="8" t="str">
        <f>+IFERROR(VLOOKUP(N3200,[1]Hoja1!$B$2:$F$52,4,0)*P3200,"")</f>
        <v/>
      </c>
      <c r="Y3200" s="8" t="e">
        <f>+VLOOKUP(M3200,[1]SKU!$B$3:$E$81,4,0)</f>
        <v>#N/A</v>
      </c>
      <c r="Z3200" s="8" t="str">
        <f t="shared" si="49"/>
        <v>FLEX</v>
      </c>
      <c r="AA3200" s="8" t="e">
        <f>+VLOOKUP(I3200,[1]SKU!$H$2:$I$97,2,0)</f>
        <v>#N/A</v>
      </c>
    </row>
    <row r="3201" spans="24:27">
      <c r="X3201" s="8" t="str">
        <f>+IFERROR(VLOOKUP(N3201,[1]Hoja1!$B$2:$F$52,4,0)*P3201,"")</f>
        <v/>
      </c>
      <c r="Y3201" s="8" t="e">
        <f>+VLOOKUP(M3201,[1]SKU!$B$3:$E$81,4,0)</f>
        <v>#N/A</v>
      </c>
      <c r="Z3201" s="8" t="str">
        <f t="shared" si="49"/>
        <v>FLEX</v>
      </c>
      <c r="AA3201" s="8" t="e">
        <f>+VLOOKUP(I3201,[1]SKU!$H$2:$I$97,2,0)</f>
        <v>#N/A</v>
      </c>
    </row>
    <row r="3202" spans="24:27">
      <c r="X3202" s="8" t="str">
        <f>+IFERROR(VLOOKUP(N3202,[1]Hoja1!$B$2:$F$52,4,0)*P3202,"")</f>
        <v/>
      </c>
      <c r="Y3202" s="8" t="e">
        <f>+VLOOKUP(M3202,[1]SKU!$B$3:$E$81,4,0)</f>
        <v>#N/A</v>
      </c>
      <c r="Z3202" s="8" t="str">
        <f t="shared" si="49"/>
        <v>FLEX</v>
      </c>
      <c r="AA3202" s="8" t="e">
        <f>+VLOOKUP(I3202,[1]SKU!$H$2:$I$97,2,0)</f>
        <v>#N/A</v>
      </c>
    </row>
    <row r="3203" spans="24:27">
      <c r="X3203" s="8" t="str">
        <f>+IFERROR(VLOOKUP(N3203,[1]Hoja1!$B$2:$F$52,4,0)*P3203,"")</f>
        <v/>
      </c>
      <c r="Y3203" s="8" t="e">
        <f>+VLOOKUP(M3203,[1]SKU!$B$3:$E$81,4,0)</f>
        <v>#N/A</v>
      </c>
      <c r="Z3203" s="8" t="str">
        <f t="shared" ref="Z3203:Z3266" si="50">+IF(J3203="VB01                          ","BEES","FLEX")</f>
        <v>FLEX</v>
      </c>
      <c r="AA3203" s="8" t="e">
        <f>+VLOOKUP(I3203,[1]SKU!$H$2:$I$97,2,0)</f>
        <v>#N/A</v>
      </c>
    </row>
    <row r="3204" spans="24:27">
      <c r="X3204" s="8" t="str">
        <f>+IFERROR(VLOOKUP(N3204,[1]Hoja1!$B$2:$F$52,4,0)*P3204,"")</f>
        <v/>
      </c>
      <c r="Y3204" s="8" t="e">
        <f>+VLOOKUP(M3204,[1]SKU!$B$3:$E$81,4,0)</f>
        <v>#N/A</v>
      </c>
      <c r="Z3204" s="8" t="str">
        <f t="shared" si="50"/>
        <v>FLEX</v>
      </c>
      <c r="AA3204" s="8" t="e">
        <f>+VLOOKUP(I3204,[1]SKU!$H$2:$I$97,2,0)</f>
        <v>#N/A</v>
      </c>
    </row>
    <row r="3205" spans="24:27">
      <c r="X3205" s="8" t="str">
        <f>+IFERROR(VLOOKUP(N3205,[1]Hoja1!$B$2:$F$52,4,0)*P3205,"")</f>
        <v/>
      </c>
      <c r="Y3205" s="8" t="e">
        <f>+VLOOKUP(M3205,[1]SKU!$B$3:$E$81,4,0)</f>
        <v>#N/A</v>
      </c>
      <c r="Z3205" s="8" t="str">
        <f t="shared" si="50"/>
        <v>FLEX</v>
      </c>
      <c r="AA3205" s="8" t="e">
        <f>+VLOOKUP(I3205,[1]SKU!$H$2:$I$97,2,0)</f>
        <v>#N/A</v>
      </c>
    </row>
    <row r="3206" spans="24:27">
      <c r="X3206" s="8" t="str">
        <f>+IFERROR(VLOOKUP(N3206,[1]Hoja1!$B$2:$F$52,4,0)*P3206,"")</f>
        <v/>
      </c>
      <c r="Y3206" s="8" t="e">
        <f>+VLOOKUP(M3206,[1]SKU!$B$3:$E$81,4,0)</f>
        <v>#N/A</v>
      </c>
      <c r="Z3206" s="8" t="str">
        <f t="shared" si="50"/>
        <v>FLEX</v>
      </c>
      <c r="AA3206" s="8" t="e">
        <f>+VLOOKUP(I3206,[1]SKU!$H$2:$I$97,2,0)</f>
        <v>#N/A</v>
      </c>
    </row>
    <row r="3207" spans="24:27">
      <c r="X3207" s="8" t="str">
        <f>+IFERROR(VLOOKUP(N3207,[1]Hoja1!$B$2:$F$52,4,0)*P3207,"")</f>
        <v/>
      </c>
      <c r="Y3207" s="8" t="e">
        <f>+VLOOKUP(M3207,[1]SKU!$B$3:$E$81,4,0)</f>
        <v>#N/A</v>
      </c>
      <c r="Z3207" s="8" t="str">
        <f t="shared" si="50"/>
        <v>FLEX</v>
      </c>
      <c r="AA3207" s="8" t="e">
        <f>+VLOOKUP(I3207,[1]SKU!$H$2:$I$97,2,0)</f>
        <v>#N/A</v>
      </c>
    </row>
    <row r="3208" spans="24:27">
      <c r="X3208" s="8" t="str">
        <f>+IFERROR(VLOOKUP(N3208,[1]Hoja1!$B$2:$F$52,4,0)*P3208,"")</f>
        <v/>
      </c>
      <c r="Y3208" s="8" t="e">
        <f>+VLOOKUP(M3208,[1]SKU!$B$3:$E$81,4,0)</f>
        <v>#N/A</v>
      </c>
      <c r="Z3208" s="8" t="str">
        <f t="shared" si="50"/>
        <v>FLEX</v>
      </c>
      <c r="AA3208" s="8" t="e">
        <f>+VLOOKUP(I3208,[1]SKU!$H$2:$I$97,2,0)</f>
        <v>#N/A</v>
      </c>
    </row>
    <row r="3209" spans="24:27">
      <c r="X3209" s="8" t="str">
        <f>+IFERROR(VLOOKUP(N3209,[1]Hoja1!$B$2:$F$52,4,0)*P3209,"")</f>
        <v/>
      </c>
      <c r="Y3209" s="8" t="e">
        <f>+VLOOKUP(M3209,[1]SKU!$B$3:$E$81,4,0)</f>
        <v>#N/A</v>
      </c>
      <c r="Z3209" s="8" t="str">
        <f t="shared" si="50"/>
        <v>FLEX</v>
      </c>
      <c r="AA3209" s="8" t="e">
        <f>+VLOOKUP(I3209,[1]SKU!$H$2:$I$97,2,0)</f>
        <v>#N/A</v>
      </c>
    </row>
    <row r="3210" spans="24:27">
      <c r="X3210" s="8" t="str">
        <f>+IFERROR(VLOOKUP(N3210,[1]Hoja1!$B$2:$F$52,4,0)*P3210,"")</f>
        <v/>
      </c>
      <c r="Y3210" s="8" t="e">
        <f>+VLOOKUP(M3210,[1]SKU!$B$3:$E$81,4,0)</f>
        <v>#N/A</v>
      </c>
      <c r="Z3210" s="8" t="str">
        <f t="shared" si="50"/>
        <v>FLEX</v>
      </c>
      <c r="AA3210" s="8" t="e">
        <f>+VLOOKUP(I3210,[1]SKU!$H$2:$I$97,2,0)</f>
        <v>#N/A</v>
      </c>
    </row>
    <row r="3211" spans="24:27">
      <c r="X3211" s="8" t="str">
        <f>+IFERROR(VLOOKUP(N3211,[1]Hoja1!$B$2:$F$52,4,0)*P3211,"")</f>
        <v/>
      </c>
      <c r="Y3211" s="8" t="e">
        <f>+VLOOKUP(M3211,[1]SKU!$B$3:$E$81,4,0)</f>
        <v>#N/A</v>
      </c>
      <c r="Z3211" s="8" t="str">
        <f t="shared" si="50"/>
        <v>FLEX</v>
      </c>
      <c r="AA3211" s="8" t="e">
        <f>+VLOOKUP(I3211,[1]SKU!$H$2:$I$97,2,0)</f>
        <v>#N/A</v>
      </c>
    </row>
    <row r="3212" spans="24:27">
      <c r="X3212" s="8" t="str">
        <f>+IFERROR(VLOOKUP(N3212,[1]Hoja1!$B$2:$F$52,4,0)*P3212,"")</f>
        <v/>
      </c>
      <c r="Y3212" s="8" t="e">
        <f>+VLOOKUP(M3212,[1]SKU!$B$3:$E$81,4,0)</f>
        <v>#N/A</v>
      </c>
      <c r="Z3212" s="8" t="str">
        <f t="shared" si="50"/>
        <v>FLEX</v>
      </c>
      <c r="AA3212" s="8" t="e">
        <f>+VLOOKUP(I3212,[1]SKU!$H$2:$I$97,2,0)</f>
        <v>#N/A</v>
      </c>
    </row>
    <row r="3213" spans="24:27">
      <c r="X3213" s="8" t="str">
        <f>+IFERROR(VLOOKUP(N3213,[1]Hoja1!$B$2:$F$52,4,0)*P3213,"")</f>
        <v/>
      </c>
      <c r="Y3213" s="8" t="e">
        <f>+VLOOKUP(M3213,[1]SKU!$B$3:$E$81,4,0)</f>
        <v>#N/A</v>
      </c>
      <c r="Z3213" s="8" t="str">
        <f t="shared" si="50"/>
        <v>FLEX</v>
      </c>
      <c r="AA3213" s="8" t="e">
        <f>+VLOOKUP(I3213,[1]SKU!$H$2:$I$97,2,0)</f>
        <v>#N/A</v>
      </c>
    </row>
    <row r="3214" spans="24:27">
      <c r="X3214" s="8" t="str">
        <f>+IFERROR(VLOOKUP(N3214,[1]Hoja1!$B$2:$F$52,4,0)*P3214,"")</f>
        <v/>
      </c>
      <c r="Y3214" s="8" t="e">
        <f>+VLOOKUP(M3214,[1]SKU!$B$3:$E$81,4,0)</f>
        <v>#N/A</v>
      </c>
      <c r="Z3214" s="8" t="str">
        <f t="shared" si="50"/>
        <v>FLEX</v>
      </c>
      <c r="AA3214" s="8" t="e">
        <f>+VLOOKUP(I3214,[1]SKU!$H$2:$I$97,2,0)</f>
        <v>#N/A</v>
      </c>
    </row>
    <row r="3215" spans="24:27">
      <c r="X3215" s="8" t="str">
        <f>+IFERROR(VLOOKUP(N3215,[1]Hoja1!$B$2:$F$52,4,0)*P3215,"")</f>
        <v/>
      </c>
      <c r="Y3215" s="8" t="e">
        <f>+VLOOKUP(M3215,[1]SKU!$B$3:$E$81,4,0)</f>
        <v>#N/A</v>
      </c>
      <c r="Z3215" s="8" t="str">
        <f t="shared" si="50"/>
        <v>FLEX</v>
      </c>
      <c r="AA3215" s="8" t="e">
        <f>+VLOOKUP(I3215,[1]SKU!$H$2:$I$97,2,0)</f>
        <v>#N/A</v>
      </c>
    </row>
    <row r="3216" spans="24:27">
      <c r="X3216" s="8" t="str">
        <f>+IFERROR(VLOOKUP(N3216,[1]Hoja1!$B$2:$F$52,4,0)*P3216,"")</f>
        <v/>
      </c>
      <c r="Y3216" s="8" t="e">
        <f>+VLOOKUP(M3216,[1]SKU!$B$3:$E$81,4,0)</f>
        <v>#N/A</v>
      </c>
      <c r="Z3216" s="8" t="str">
        <f t="shared" si="50"/>
        <v>FLEX</v>
      </c>
      <c r="AA3216" s="8" t="e">
        <f>+VLOOKUP(I3216,[1]SKU!$H$2:$I$97,2,0)</f>
        <v>#N/A</v>
      </c>
    </row>
    <row r="3217" spans="24:27">
      <c r="X3217" s="8" t="str">
        <f>+IFERROR(VLOOKUP(N3217,[1]Hoja1!$B$2:$F$52,4,0)*P3217,"")</f>
        <v/>
      </c>
      <c r="Y3217" s="8" t="e">
        <f>+VLOOKUP(M3217,[1]SKU!$B$3:$E$81,4,0)</f>
        <v>#N/A</v>
      </c>
      <c r="Z3217" s="8" t="str">
        <f t="shared" si="50"/>
        <v>FLEX</v>
      </c>
      <c r="AA3217" s="8" t="e">
        <f>+VLOOKUP(I3217,[1]SKU!$H$2:$I$97,2,0)</f>
        <v>#N/A</v>
      </c>
    </row>
    <row r="3218" spans="24:27">
      <c r="X3218" s="8" t="str">
        <f>+IFERROR(VLOOKUP(N3218,[1]Hoja1!$B$2:$F$52,4,0)*P3218,"")</f>
        <v/>
      </c>
      <c r="Y3218" s="8" t="e">
        <f>+VLOOKUP(M3218,[1]SKU!$B$3:$E$81,4,0)</f>
        <v>#N/A</v>
      </c>
      <c r="Z3218" s="8" t="str">
        <f t="shared" si="50"/>
        <v>FLEX</v>
      </c>
      <c r="AA3218" s="8" t="e">
        <f>+VLOOKUP(I3218,[1]SKU!$H$2:$I$97,2,0)</f>
        <v>#N/A</v>
      </c>
    </row>
    <row r="3219" spans="24:27">
      <c r="X3219" s="8" t="str">
        <f>+IFERROR(VLOOKUP(N3219,[1]Hoja1!$B$2:$F$52,4,0)*P3219,"")</f>
        <v/>
      </c>
      <c r="Y3219" s="8" t="e">
        <f>+VLOOKUP(M3219,[1]SKU!$B$3:$E$81,4,0)</f>
        <v>#N/A</v>
      </c>
      <c r="Z3219" s="8" t="str">
        <f t="shared" si="50"/>
        <v>FLEX</v>
      </c>
      <c r="AA3219" s="8" t="e">
        <f>+VLOOKUP(I3219,[1]SKU!$H$2:$I$97,2,0)</f>
        <v>#N/A</v>
      </c>
    </row>
    <row r="3220" spans="24:27">
      <c r="X3220" s="8" t="str">
        <f>+IFERROR(VLOOKUP(N3220,[1]Hoja1!$B$2:$F$52,4,0)*P3220,"")</f>
        <v/>
      </c>
      <c r="Y3220" s="8" t="e">
        <f>+VLOOKUP(M3220,[1]SKU!$B$3:$E$81,4,0)</f>
        <v>#N/A</v>
      </c>
      <c r="Z3220" s="8" t="str">
        <f t="shared" si="50"/>
        <v>FLEX</v>
      </c>
      <c r="AA3220" s="8" t="e">
        <f>+VLOOKUP(I3220,[1]SKU!$H$2:$I$97,2,0)</f>
        <v>#N/A</v>
      </c>
    </row>
    <row r="3221" spans="24:27">
      <c r="X3221" s="8" t="str">
        <f>+IFERROR(VLOOKUP(N3221,[1]Hoja1!$B$2:$F$52,4,0)*P3221,"")</f>
        <v/>
      </c>
      <c r="Y3221" s="8" t="e">
        <f>+VLOOKUP(M3221,[1]SKU!$B$3:$E$81,4,0)</f>
        <v>#N/A</v>
      </c>
      <c r="Z3221" s="8" t="str">
        <f t="shared" si="50"/>
        <v>FLEX</v>
      </c>
      <c r="AA3221" s="8" t="e">
        <f>+VLOOKUP(I3221,[1]SKU!$H$2:$I$97,2,0)</f>
        <v>#N/A</v>
      </c>
    </row>
    <row r="3222" spans="24:27">
      <c r="X3222" s="8" t="str">
        <f>+IFERROR(VLOOKUP(N3222,[1]Hoja1!$B$2:$F$52,4,0)*P3222,"")</f>
        <v/>
      </c>
      <c r="Y3222" s="8" t="e">
        <f>+VLOOKUP(M3222,[1]SKU!$B$3:$E$81,4,0)</f>
        <v>#N/A</v>
      </c>
      <c r="Z3222" s="8" t="str">
        <f t="shared" si="50"/>
        <v>FLEX</v>
      </c>
      <c r="AA3222" s="8" t="e">
        <f>+VLOOKUP(I3222,[1]SKU!$H$2:$I$97,2,0)</f>
        <v>#N/A</v>
      </c>
    </row>
    <row r="3223" spans="24:27">
      <c r="X3223" s="8" t="str">
        <f>+IFERROR(VLOOKUP(N3223,[1]Hoja1!$B$2:$F$52,4,0)*P3223,"")</f>
        <v/>
      </c>
      <c r="Y3223" s="8" t="e">
        <f>+VLOOKUP(M3223,[1]SKU!$B$3:$E$81,4,0)</f>
        <v>#N/A</v>
      </c>
      <c r="Z3223" s="8" t="str">
        <f t="shared" si="50"/>
        <v>FLEX</v>
      </c>
      <c r="AA3223" s="8" t="e">
        <f>+VLOOKUP(I3223,[1]SKU!$H$2:$I$97,2,0)</f>
        <v>#N/A</v>
      </c>
    </row>
    <row r="3224" spans="24:27">
      <c r="X3224" s="8" t="str">
        <f>+IFERROR(VLOOKUP(N3224,[1]Hoja1!$B$2:$F$52,4,0)*P3224,"")</f>
        <v/>
      </c>
      <c r="Y3224" s="8" t="e">
        <f>+VLOOKUP(M3224,[1]SKU!$B$3:$E$81,4,0)</f>
        <v>#N/A</v>
      </c>
      <c r="Z3224" s="8" t="str">
        <f t="shared" si="50"/>
        <v>FLEX</v>
      </c>
      <c r="AA3224" s="8" t="e">
        <f>+VLOOKUP(I3224,[1]SKU!$H$2:$I$97,2,0)</f>
        <v>#N/A</v>
      </c>
    </row>
    <row r="3225" spans="24:27">
      <c r="X3225" s="8" t="str">
        <f>+IFERROR(VLOOKUP(N3225,[1]Hoja1!$B$2:$F$52,4,0)*P3225,"")</f>
        <v/>
      </c>
      <c r="Y3225" s="8" t="e">
        <f>+VLOOKUP(M3225,[1]SKU!$B$3:$E$81,4,0)</f>
        <v>#N/A</v>
      </c>
      <c r="Z3225" s="8" t="str">
        <f t="shared" si="50"/>
        <v>FLEX</v>
      </c>
      <c r="AA3225" s="8" t="e">
        <f>+VLOOKUP(I3225,[1]SKU!$H$2:$I$97,2,0)</f>
        <v>#N/A</v>
      </c>
    </row>
    <row r="3226" spans="24:27">
      <c r="X3226" s="8" t="str">
        <f>+IFERROR(VLOOKUP(N3226,[1]Hoja1!$B$2:$F$52,4,0)*P3226,"")</f>
        <v/>
      </c>
      <c r="Y3226" s="8" t="e">
        <f>+VLOOKUP(M3226,[1]SKU!$B$3:$E$81,4,0)</f>
        <v>#N/A</v>
      </c>
      <c r="Z3226" s="8" t="str">
        <f t="shared" si="50"/>
        <v>FLEX</v>
      </c>
      <c r="AA3226" s="8" t="e">
        <f>+VLOOKUP(I3226,[1]SKU!$H$2:$I$97,2,0)</f>
        <v>#N/A</v>
      </c>
    </row>
    <row r="3227" spans="24:27">
      <c r="X3227" s="8" t="str">
        <f>+IFERROR(VLOOKUP(N3227,[1]Hoja1!$B$2:$F$52,4,0)*P3227,"")</f>
        <v/>
      </c>
      <c r="Y3227" s="8" t="e">
        <f>+VLOOKUP(M3227,[1]SKU!$B$3:$E$81,4,0)</f>
        <v>#N/A</v>
      </c>
      <c r="Z3227" s="8" t="str">
        <f t="shared" si="50"/>
        <v>FLEX</v>
      </c>
      <c r="AA3227" s="8" t="e">
        <f>+VLOOKUP(I3227,[1]SKU!$H$2:$I$97,2,0)</f>
        <v>#N/A</v>
      </c>
    </row>
    <row r="3228" spans="24:27">
      <c r="X3228" s="8" t="str">
        <f>+IFERROR(VLOOKUP(N3228,[1]Hoja1!$B$2:$F$52,4,0)*P3228,"")</f>
        <v/>
      </c>
      <c r="Y3228" s="8" t="e">
        <f>+VLOOKUP(M3228,[1]SKU!$B$3:$E$81,4,0)</f>
        <v>#N/A</v>
      </c>
      <c r="Z3228" s="8" t="str">
        <f t="shared" si="50"/>
        <v>FLEX</v>
      </c>
      <c r="AA3228" s="8" t="e">
        <f>+VLOOKUP(I3228,[1]SKU!$H$2:$I$97,2,0)</f>
        <v>#N/A</v>
      </c>
    </row>
    <row r="3229" spans="24:27">
      <c r="X3229" s="8" t="str">
        <f>+IFERROR(VLOOKUP(N3229,[1]Hoja1!$B$2:$F$52,4,0)*P3229,"")</f>
        <v/>
      </c>
      <c r="Y3229" s="8" t="e">
        <f>+VLOOKUP(M3229,[1]SKU!$B$3:$E$81,4,0)</f>
        <v>#N/A</v>
      </c>
      <c r="Z3229" s="8" t="str">
        <f t="shared" si="50"/>
        <v>FLEX</v>
      </c>
      <c r="AA3229" s="8" t="e">
        <f>+VLOOKUP(I3229,[1]SKU!$H$2:$I$97,2,0)</f>
        <v>#N/A</v>
      </c>
    </row>
    <row r="3230" spans="24:27">
      <c r="X3230" s="8" t="str">
        <f>+IFERROR(VLOOKUP(N3230,[1]Hoja1!$B$2:$F$52,4,0)*P3230,"")</f>
        <v/>
      </c>
      <c r="Y3230" s="8" t="e">
        <f>+VLOOKUP(M3230,[1]SKU!$B$3:$E$81,4,0)</f>
        <v>#N/A</v>
      </c>
      <c r="Z3230" s="8" t="str">
        <f t="shared" si="50"/>
        <v>FLEX</v>
      </c>
      <c r="AA3230" s="8" t="e">
        <f>+VLOOKUP(I3230,[1]SKU!$H$2:$I$97,2,0)</f>
        <v>#N/A</v>
      </c>
    </row>
    <row r="3231" spans="24:27">
      <c r="X3231" s="8" t="str">
        <f>+IFERROR(VLOOKUP(N3231,[1]Hoja1!$B$2:$F$52,4,0)*P3231,"")</f>
        <v/>
      </c>
      <c r="Y3231" s="8" t="e">
        <f>+VLOOKUP(M3231,[1]SKU!$B$3:$E$81,4,0)</f>
        <v>#N/A</v>
      </c>
      <c r="Z3231" s="8" t="str">
        <f t="shared" si="50"/>
        <v>FLEX</v>
      </c>
      <c r="AA3231" s="8" t="e">
        <f>+VLOOKUP(I3231,[1]SKU!$H$2:$I$97,2,0)</f>
        <v>#N/A</v>
      </c>
    </row>
    <row r="3232" spans="24:27">
      <c r="X3232" s="8" t="str">
        <f>+IFERROR(VLOOKUP(N3232,[1]Hoja1!$B$2:$F$52,4,0)*P3232,"")</f>
        <v/>
      </c>
      <c r="Y3232" s="8" t="e">
        <f>+VLOOKUP(M3232,[1]SKU!$B$3:$E$81,4,0)</f>
        <v>#N/A</v>
      </c>
      <c r="Z3232" s="8" t="str">
        <f t="shared" si="50"/>
        <v>FLEX</v>
      </c>
      <c r="AA3232" s="8" t="e">
        <f>+VLOOKUP(I3232,[1]SKU!$H$2:$I$97,2,0)</f>
        <v>#N/A</v>
      </c>
    </row>
    <row r="3233" spans="24:27">
      <c r="X3233" s="8" t="str">
        <f>+IFERROR(VLOOKUP(N3233,[1]Hoja1!$B$2:$F$52,4,0)*P3233,"")</f>
        <v/>
      </c>
      <c r="Y3233" s="8" t="e">
        <f>+VLOOKUP(M3233,[1]SKU!$B$3:$E$81,4,0)</f>
        <v>#N/A</v>
      </c>
      <c r="Z3233" s="8" t="str">
        <f t="shared" si="50"/>
        <v>FLEX</v>
      </c>
      <c r="AA3233" s="8" t="e">
        <f>+VLOOKUP(I3233,[1]SKU!$H$2:$I$97,2,0)</f>
        <v>#N/A</v>
      </c>
    </row>
    <row r="3234" spans="24:27">
      <c r="X3234" s="8" t="str">
        <f>+IFERROR(VLOOKUP(N3234,[1]Hoja1!$B$2:$F$52,4,0)*P3234,"")</f>
        <v/>
      </c>
      <c r="Y3234" s="8" t="e">
        <f>+VLOOKUP(M3234,[1]SKU!$B$3:$E$81,4,0)</f>
        <v>#N/A</v>
      </c>
      <c r="Z3234" s="8" t="str">
        <f t="shared" si="50"/>
        <v>FLEX</v>
      </c>
      <c r="AA3234" s="8" t="e">
        <f>+VLOOKUP(I3234,[1]SKU!$H$2:$I$97,2,0)</f>
        <v>#N/A</v>
      </c>
    </row>
    <row r="3235" spans="24:27">
      <c r="X3235" s="8" t="str">
        <f>+IFERROR(VLOOKUP(N3235,[1]Hoja1!$B$2:$F$52,4,0)*P3235,"")</f>
        <v/>
      </c>
      <c r="Y3235" s="8" t="e">
        <f>+VLOOKUP(M3235,[1]SKU!$B$3:$E$81,4,0)</f>
        <v>#N/A</v>
      </c>
      <c r="Z3235" s="8" t="str">
        <f t="shared" si="50"/>
        <v>FLEX</v>
      </c>
      <c r="AA3235" s="8" t="e">
        <f>+VLOOKUP(I3235,[1]SKU!$H$2:$I$97,2,0)</f>
        <v>#N/A</v>
      </c>
    </row>
    <row r="3236" spans="24:27">
      <c r="X3236" s="8" t="str">
        <f>+IFERROR(VLOOKUP(N3236,[1]Hoja1!$B$2:$F$52,4,0)*P3236,"")</f>
        <v/>
      </c>
      <c r="Y3236" s="8" t="e">
        <f>+VLOOKUP(M3236,[1]SKU!$B$3:$E$81,4,0)</f>
        <v>#N/A</v>
      </c>
      <c r="Z3236" s="8" t="str">
        <f t="shared" si="50"/>
        <v>FLEX</v>
      </c>
      <c r="AA3236" s="8" t="e">
        <f>+VLOOKUP(I3236,[1]SKU!$H$2:$I$97,2,0)</f>
        <v>#N/A</v>
      </c>
    </row>
    <row r="3237" spans="24:27">
      <c r="X3237" s="8" t="str">
        <f>+IFERROR(VLOOKUP(N3237,[1]Hoja1!$B$2:$F$52,4,0)*P3237,"")</f>
        <v/>
      </c>
      <c r="Y3237" s="8" t="e">
        <f>+VLOOKUP(M3237,[1]SKU!$B$3:$E$81,4,0)</f>
        <v>#N/A</v>
      </c>
      <c r="Z3237" s="8" t="str">
        <f t="shared" si="50"/>
        <v>FLEX</v>
      </c>
      <c r="AA3237" s="8" t="e">
        <f>+VLOOKUP(I3237,[1]SKU!$H$2:$I$97,2,0)</f>
        <v>#N/A</v>
      </c>
    </row>
    <row r="3238" spans="24:27">
      <c r="X3238" s="8" t="str">
        <f>+IFERROR(VLOOKUP(N3238,[1]Hoja1!$B$2:$F$52,4,0)*P3238,"")</f>
        <v/>
      </c>
      <c r="Y3238" s="8" t="e">
        <f>+VLOOKUP(M3238,[1]SKU!$B$3:$E$81,4,0)</f>
        <v>#N/A</v>
      </c>
      <c r="Z3238" s="8" t="str">
        <f t="shared" si="50"/>
        <v>FLEX</v>
      </c>
      <c r="AA3238" s="8" t="e">
        <f>+VLOOKUP(I3238,[1]SKU!$H$2:$I$97,2,0)</f>
        <v>#N/A</v>
      </c>
    </row>
    <row r="3239" spans="24:27">
      <c r="X3239" s="8" t="str">
        <f>+IFERROR(VLOOKUP(N3239,[1]Hoja1!$B$2:$F$52,4,0)*P3239,"")</f>
        <v/>
      </c>
      <c r="Y3239" s="8" t="e">
        <f>+VLOOKUP(M3239,[1]SKU!$B$3:$E$81,4,0)</f>
        <v>#N/A</v>
      </c>
      <c r="Z3239" s="8" t="str">
        <f t="shared" si="50"/>
        <v>FLEX</v>
      </c>
      <c r="AA3239" s="8" t="e">
        <f>+VLOOKUP(I3239,[1]SKU!$H$2:$I$97,2,0)</f>
        <v>#N/A</v>
      </c>
    </row>
    <row r="3240" spans="24:27">
      <c r="X3240" s="8" t="str">
        <f>+IFERROR(VLOOKUP(N3240,[1]Hoja1!$B$2:$F$52,4,0)*P3240,"")</f>
        <v/>
      </c>
      <c r="Y3240" s="8" t="e">
        <f>+VLOOKUP(M3240,[1]SKU!$B$3:$E$81,4,0)</f>
        <v>#N/A</v>
      </c>
      <c r="Z3240" s="8" t="str">
        <f t="shared" si="50"/>
        <v>FLEX</v>
      </c>
      <c r="AA3240" s="8" t="e">
        <f>+VLOOKUP(I3240,[1]SKU!$H$2:$I$97,2,0)</f>
        <v>#N/A</v>
      </c>
    </row>
    <row r="3241" spans="24:27">
      <c r="X3241" s="8" t="str">
        <f>+IFERROR(VLOOKUP(N3241,[1]Hoja1!$B$2:$F$52,4,0)*P3241,"")</f>
        <v/>
      </c>
      <c r="Y3241" s="8" t="e">
        <f>+VLOOKUP(M3241,[1]SKU!$B$3:$E$81,4,0)</f>
        <v>#N/A</v>
      </c>
      <c r="Z3241" s="8" t="str">
        <f t="shared" si="50"/>
        <v>FLEX</v>
      </c>
      <c r="AA3241" s="8" t="e">
        <f>+VLOOKUP(I3241,[1]SKU!$H$2:$I$97,2,0)</f>
        <v>#N/A</v>
      </c>
    </row>
    <row r="3242" spans="24:27">
      <c r="X3242" s="8" t="str">
        <f>+IFERROR(VLOOKUP(N3242,[1]Hoja1!$B$2:$F$52,4,0)*P3242,"")</f>
        <v/>
      </c>
      <c r="Y3242" s="8" t="e">
        <f>+VLOOKUP(M3242,[1]SKU!$B$3:$E$81,4,0)</f>
        <v>#N/A</v>
      </c>
      <c r="Z3242" s="8" t="str">
        <f t="shared" si="50"/>
        <v>FLEX</v>
      </c>
      <c r="AA3242" s="8" t="e">
        <f>+VLOOKUP(I3242,[1]SKU!$H$2:$I$97,2,0)</f>
        <v>#N/A</v>
      </c>
    </row>
    <row r="3243" spans="24:27">
      <c r="X3243" s="8" t="str">
        <f>+IFERROR(VLOOKUP(N3243,[1]Hoja1!$B$2:$F$52,4,0)*P3243,"")</f>
        <v/>
      </c>
      <c r="Y3243" s="8" t="e">
        <f>+VLOOKUP(M3243,[1]SKU!$B$3:$E$81,4,0)</f>
        <v>#N/A</v>
      </c>
      <c r="Z3243" s="8" t="str">
        <f t="shared" si="50"/>
        <v>FLEX</v>
      </c>
      <c r="AA3243" s="8" t="e">
        <f>+VLOOKUP(I3243,[1]SKU!$H$2:$I$97,2,0)</f>
        <v>#N/A</v>
      </c>
    </row>
    <row r="3244" spans="24:27">
      <c r="X3244" s="8" t="str">
        <f>+IFERROR(VLOOKUP(N3244,[1]Hoja1!$B$2:$F$52,4,0)*P3244,"")</f>
        <v/>
      </c>
      <c r="Y3244" s="8" t="e">
        <f>+VLOOKUP(M3244,[1]SKU!$B$3:$E$81,4,0)</f>
        <v>#N/A</v>
      </c>
      <c r="Z3244" s="8" t="str">
        <f t="shared" si="50"/>
        <v>FLEX</v>
      </c>
      <c r="AA3244" s="8" t="e">
        <f>+VLOOKUP(I3244,[1]SKU!$H$2:$I$97,2,0)</f>
        <v>#N/A</v>
      </c>
    </row>
    <row r="3245" spans="24:27">
      <c r="X3245" s="8" t="str">
        <f>+IFERROR(VLOOKUP(N3245,[1]Hoja1!$B$2:$F$52,4,0)*P3245,"")</f>
        <v/>
      </c>
      <c r="Y3245" s="8" t="e">
        <f>+VLOOKUP(M3245,[1]SKU!$B$3:$E$81,4,0)</f>
        <v>#N/A</v>
      </c>
      <c r="Z3245" s="8" t="str">
        <f t="shared" si="50"/>
        <v>FLEX</v>
      </c>
      <c r="AA3245" s="8" t="e">
        <f>+VLOOKUP(I3245,[1]SKU!$H$2:$I$97,2,0)</f>
        <v>#N/A</v>
      </c>
    </row>
    <row r="3246" spans="24:27">
      <c r="X3246" s="8" t="str">
        <f>+IFERROR(VLOOKUP(N3246,[1]Hoja1!$B$2:$F$52,4,0)*P3246,"")</f>
        <v/>
      </c>
      <c r="Y3246" s="8" t="e">
        <f>+VLOOKUP(M3246,[1]SKU!$B$3:$E$81,4,0)</f>
        <v>#N/A</v>
      </c>
      <c r="Z3246" s="8" t="str">
        <f t="shared" si="50"/>
        <v>FLEX</v>
      </c>
      <c r="AA3246" s="8" t="e">
        <f>+VLOOKUP(I3246,[1]SKU!$H$2:$I$97,2,0)</f>
        <v>#N/A</v>
      </c>
    </row>
    <row r="3247" spans="24:27">
      <c r="X3247" s="8" t="str">
        <f>+IFERROR(VLOOKUP(N3247,[1]Hoja1!$B$2:$F$52,4,0)*P3247,"")</f>
        <v/>
      </c>
      <c r="Y3247" s="8" t="e">
        <f>+VLOOKUP(M3247,[1]SKU!$B$3:$E$81,4,0)</f>
        <v>#N/A</v>
      </c>
      <c r="Z3247" s="8" t="str">
        <f t="shared" si="50"/>
        <v>FLEX</v>
      </c>
      <c r="AA3247" s="8" t="e">
        <f>+VLOOKUP(I3247,[1]SKU!$H$2:$I$97,2,0)</f>
        <v>#N/A</v>
      </c>
    </row>
    <row r="3248" spans="24:27">
      <c r="X3248" s="8" t="str">
        <f>+IFERROR(VLOOKUP(N3248,[1]Hoja1!$B$2:$F$52,4,0)*P3248,"")</f>
        <v/>
      </c>
      <c r="Y3248" s="8" t="e">
        <f>+VLOOKUP(M3248,[1]SKU!$B$3:$E$81,4,0)</f>
        <v>#N/A</v>
      </c>
      <c r="Z3248" s="8" t="str">
        <f t="shared" si="50"/>
        <v>FLEX</v>
      </c>
      <c r="AA3248" s="8" t="e">
        <f>+VLOOKUP(I3248,[1]SKU!$H$2:$I$97,2,0)</f>
        <v>#N/A</v>
      </c>
    </row>
    <row r="3249" spans="24:27">
      <c r="X3249" s="8" t="str">
        <f>+IFERROR(VLOOKUP(N3249,[1]Hoja1!$B$2:$F$52,4,0)*P3249,"")</f>
        <v/>
      </c>
      <c r="Y3249" s="8" t="e">
        <f>+VLOOKUP(M3249,[1]SKU!$B$3:$E$81,4,0)</f>
        <v>#N/A</v>
      </c>
      <c r="Z3249" s="8" t="str">
        <f t="shared" si="50"/>
        <v>FLEX</v>
      </c>
      <c r="AA3249" s="8" t="e">
        <f>+VLOOKUP(I3249,[1]SKU!$H$2:$I$97,2,0)</f>
        <v>#N/A</v>
      </c>
    </row>
    <row r="3250" spans="24:27">
      <c r="X3250" s="8" t="str">
        <f>+IFERROR(VLOOKUP(N3250,[1]Hoja1!$B$2:$F$52,4,0)*P3250,"")</f>
        <v/>
      </c>
      <c r="Y3250" s="8" t="e">
        <f>+VLOOKUP(M3250,[1]SKU!$B$3:$E$81,4,0)</f>
        <v>#N/A</v>
      </c>
      <c r="Z3250" s="8" t="str">
        <f t="shared" si="50"/>
        <v>FLEX</v>
      </c>
      <c r="AA3250" s="8" t="e">
        <f>+VLOOKUP(I3250,[1]SKU!$H$2:$I$97,2,0)</f>
        <v>#N/A</v>
      </c>
    </row>
    <row r="3251" spans="24:27">
      <c r="X3251" s="8" t="str">
        <f>+IFERROR(VLOOKUP(N3251,[1]Hoja1!$B$2:$F$52,4,0)*P3251,"")</f>
        <v/>
      </c>
      <c r="Y3251" s="8" t="e">
        <f>+VLOOKUP(M3251,[1]SKU!$B$3:$E$81,4,0)</f>
        <v>#N/A</v>
      </c>
      <c r="Z3251" s="8" t="str">
        <f t="shared" si="50"/>
        <v>FLEX</v>
      </c>
      <c r="AA3251" s="8" t="e">
        <f>+VLOOKUP(I3251,[1]SKU!$H$2:$I$97,2,0)</f>
        <v>#N/A</v>
      </c>
    </row>
    <row r="3252" spans="24:27">
      <c r="X3252" s="8" t="str">
        <f>+IFERROR(VLOOKUP(N3252,[1]Hoja1!$B$2:$F$52,4,0)*P3252,"")</f>
        <v/>
      </c>
      <c r="Y3252" s="8" t="e">
        <f>+VLOOKUP(M3252,[1]SKU!$B$3:$E$81,4,0)</f>
        <v>#N/A</v>
      </c>
      <c r="Z3252" s="8" t="str">
        <f t="shared" si="50"/>
        <v>FLEX</v>
      </c>
      <c r="AA3252" s="8" t="e">
        <f>+VLOOKUP(I3252,[1]SKU!$H$2:$I$97,2,0)</f>
        <v>#N/A</v>
      </c>
    </row>
    <row r="3253" spans="24:27">
      <c r="X3253" s="8" t="str">
        <f>+IFERROR(VLOOKUP(N3253,[1]Hoja1!$B$2:$F$52,4,0)*P3253,"")</f>
        <v/>
      </c>
      <c r="Y3253" s="8" t="e">
        <f>+VLOOKUP(M3253,[1]SKU!$B$3:$E$81,4,0)</f>
        <v>#N/A</v>
      </c>
      <c r="Z3253" s="8" t="str">
        <f t="shared" si="50"/>
        <v>FLEX</v>
      </c>
      <c r="AA3253" s="8" t="e">
        <f>+VLOOKUP(I3253,[1]SKU!$H$2:$I$97,2,0)</f>
        <v>#N/A</v>
      </c>
    </row>
    <row r="3254" spans="24:27">
      <c r="X3254" s="8" t="str">
        <f>+IFERROR(VLOOKUP(N3254,[1]Hoja1!$B$2:$F$52,4,0)*P3254,"")</f>
        <v/>
      </c>
      <c r="Y3254" s="8" t="e">
        <f>+VLOOKUP(M3254,[1]SKU!$B$3:$E$81,4,0)</f>
        <v>#N/A</v>
      </c>
      <c r="Z3254" s="8" t="str">
        <f t="shared" si="50"/>
        <v>FLEX</v>
      </c>
      <c r="AA3254" s="8" t="e">
        <f>+VLOOKUP(I3254,[1]SKU!$H$2:$I$97,2,0)</f>
        <v>#N/A</v>
      </c>
    </row>
    <row r="3255" spans="24:27">
      <c r="X3255" s="8" t="str">
        <f>+IFERROR(VLOOKUP(N3255,[1]Hoja1!$B$2:$F$52,4,0)*P3255,"")</f>
        <v/>
      </c>
      <c r="Y3255" s="8" t="e">
        <f>+VLOOKUP(M3255,[1]SKU!$B$3:$E$81,4,0)</f>
        <v>#N/A</v>
      </c>
      <c r="Z3255" s="8" t="str">
        <f t="shared" si="50"/>
        <v>FLEX</v>
      </c>
      <c r="AA3255" s="8" t="e">
        <f>+VLOOKUP(I3255,[1]SKU!$H$2:$I$97,2,0)</f>
        <v>#N/A</v>
      </c>
    </row>
    <row r="3256" spans="24:27">
      <c r="X3256" s="8" t="str">
        <f>+IFERROR(VLOOKUP(N3256,[1]Hoja1!$B$2:$F$52,4,0)*P3256,"")</f>
        <v/>
      </c>
      <c r="Y3256" s="8" t="e">
        <f>+VLOOKUP(M3256,[1]SKU!$B$3:$E$81,4,0)</f>
        <v>#N/A</v>
      </c>
      <c r="Z3256" s="8" t="str">
        <f t="shared" si="50"/>
        <v>FLEX</v>
      </c>
      <c r="AA3256" s="8" t="e">
        <f>+VLOOKUP(I3256,[1]SKU!$H$2:$I$97,2,0)</f>
        <v>#N/A</v>
      </c>
    </row>
    <row r="3257" spans="24:27">
      <c r="X3257" s="8" t="str">
        <f>+IFERROR(VLOOKUP(N3257,[1]Hoja1!$B$2:$F$52,4,0)*P3257,"")</f>
        <v/>
      </c>
      <c r="Y3257" s="8" t="e">
        <f>+VLOOKUP(M3257,[1]SKU!$B$3:$E$81,4,0)</f>
        <v>#N/A</v>
      </c>
      <c r="Z3257" s="8" t="str">
        <f t="shared" si="50"/>
        <v>FLEX</v>
      </c>
      <c r="AA3257" s="8" t="e">
        <f>+VLOOKUP(I3257,[1]SKU!$H$2:$I$97,2,0)</f>
        <v>#N/A</v>
      </c>
    </row>
    <row r="3258" spans="24:27">
      <c r="X3258" s="8" t="str">
        <f>+IFERROR(VLOOKUP(N3258,[1]Hoja1!$B$2:$F$52,4,0)*P3258,"")</f>
        <v/>
      </c>
      <c r="Y3258" s="8" t="e">
        <f>+VLOOKUP(M3258,[1]SKU!$B$3:$E$81,4,0)</f>
        <v>#N/A</v>
      </c>
      <c r="Z3258" s="8" t="str">
        <f t="shared" si="50"/>
        <v>FLEX</v>
      </c>
      <c r="AA3258" s="8" t="e">
        <f>+VLOOKUP(I3258,[1]SKU!$H$2:$I$97,2,0)</f>
        <v>#N/A</v>
      </c>
    </row>
    <row r="3259" spans="24:27">
      <c r="X3259" s="8" t="str">
        <f>+IFERROR(VLOOKUP(N3259,[1]Hoja1!$B$2:$F$52,4,0)*P3259,"")</f>
        <v/>
      </c>
      <c r="Y3259" s="8" t="e">
        <f>+VLOOKUP(M3259,[1]SKU!$B$3:$E$81,4,0)</f>
        <v>#N/A</v>
      </c>
      <c r="Z3259" s="8" t="str">
        <f t="shared" si="50"/>
        <v>FLEX</v>
      </c>
      <c r="AA3259" s="8" t="e">
        <f>+VLOOKUP(I3259,[1]SKU!$H$2:$I$97,2,0)</f>
        <v>#N/A</v>
      </c>
    </row>
    <row r="3260" spans="24:27">
      <c r="X3260" s="8" t="str">
        <f>+IFERROR(VLOOKUP(N3260,[1]Hoja1!$B$2:$F$52,4,0)*P3260,"")</f>
        <v/>
      </c>
      <c r="Y3260" s="8" t="e">
        <f>+VLOOKUP(M3260,[1]SKU!$B$3:$E$81,4,0)</f>
        <v>#N/A</v>
      </c>
      <c r="Z3260" s="8" t="str">
        <f t="shared" si="50"/>
        <v>FLEX</v>
      </c>
      <c r="AA3260" s="8" t="e">
        <f>+VLOOKUP(I3260,[1]SKU!$H$2:$I$97,2,0)</f>
        <v>#N/A</v>
      </c>
    </row>
    <row r="3261" spans="24:27">
      <c r="X3261" s="8" t="str">
        <f>+IFERROR(VLOOKUP(N3261,[1]Hoja1!$B$2:$F$52,4,0)*P3261,"")</f>
        <v/>
      </c>
      <c r="Y3261" s="8" t="e">
        <f>+VLOOKUP(M3261,[1]SKU!$B$3:$E$81,4,0)</f>
        <v>#N/A</v>
      </c>
      <c r="Z3261" s="8" t="str">
        <f t="shared" si="50"/>
        <v>FLEX</v>
      </c>
      <c r="AA3261" s="8" t="e">
        <f>+VLOOKUP(I3261,[1]SKU!$H$2:$I$97,2,0)</f>
        <v>#N/A</v>
      </c>
    </row>
    <row r="3262" spans="24:27">
      <c r="X3262" s="8" t="str">
        <f>+IFERROR(VLOOKUP(N3262,[1]Hoja1!$B$2:$F$52,4,0)*P3262,"")</f>
        <v/>
      </c>
      <c r="Y3262" s="8" t="e">
        <f>+VLOOKUP(M3262,[1]SKU!$B$3:$E$81,4,0)</f>
        <v>#N/A</v>
      </c>
      <c r="Z3262" s="8" t="str">
        <f t="shared" si="50"/>
        <v>FLEX</v>
      </c>
      <c r="AA3262" s="8" t="e">
        <f>+VLOOKUP(I3262,[1]SKU!$H$2:$I$97,2,0)</f>
        <v>#N/A</v>
      </c>
    </row>
    <row r="3263" spans="24:27">
      <c r="X3263" s="8" t="str">
        <f>+IFERROR(VLOOKUP(N3263,[1]Hoja1!$B$2:$F$52,4,0)*P3263,"")</f>
        <v/>
      </c>
      <c r="Y3263" s="8" t="e">
        <f>+VLOOKUP(M3263,[1]SKU!$B$3:$E$81,4,0)</f>
        <v>#N/A</v>
      </c>
      <c r="Z3263" s="8" t="str">
        <f t="shared" si="50"/>
        <v>FLEX</v>
      </c>
      <c r="AA3263" s="8" t="e">
        <f>+VLOOKUP(I3263,[1]SKU!$H$2:$I$97,2,0)</f>
        <v>#N/A</v>
      </c>
    </row>
    <row r="3264" spans="24:27">
      <c r="X3264" s="8" t="str">
        <f>+IFERROR(VLOOKUP(N3264,[1]Hoja1!$B$2:$F$52,4,0)*P3264,"")</f>
        <v/>
      </c>
      <c r="Y3264" s="8" t="e">
        <f>+VLOOKUP(M3264,[1]SKU!$B$3:$E$81,4,0)</f>
        <v>#N/A</v>
      </c>
      <c r="Z3264" s="8" t="str">
        <f t="shared" si="50"/>
        <v>FLEX</v>
      </c>
      <c r="AA3264" s="8" t="e">
        <f>+VLOOKUP(I3264,[1]SKU!$H$2:$I$97,2,0)</f>
        <v>#N/A</v>
      </c>
    </row>
    <row r="3265" spans="24:27">
      <c r="X3265" s="8" t="str">
        <f>+IFERROR(VLOOKUP(N3265,[1]Hoja1!$B$2:$F$52,4,0)*P3265,"")</f>
        <v/>
      </c>
      <c r="Y3265" s="8" t="e">
        <f>+VLOOKUP(M3265,[1]SKU!$B$3:$E$81,4,0)</f>
        <v>#N/A</v>
      </c>
      <c r="Z3265" s="8" t="str">
        <f t="shared" si="50"/>
        <v>FLEX</v>
      </c>
      <c r="AA3265" s="8" t="e">
        <f>+VLOOKUP(I3265,[1]SKU!$H$2:$I$97,2,0)</f>
        <v>#N/A</v>
      </c>
    </row>
    <row r="3266" spans="24:27">
      <c r="X3266" s="8" t="str">
        <f>+IFERROR(VLOOKUP(N3266,[1]Hoja1!$B$2:$F$52,4,0)*P3266,"")</f>
        <v/>
      </c>
      <c r="Y3266" s="8" t="e">
        <f>+VLOOKUP(M3266,[1]SKU!$B$3:$E$81,4,0)</f>
        <v>#N/A</v>
      </c>
      <c r="Z3266" s="8" t="str">
        <f t="shared" si="50"/>
        <v>FLEX</v>
      </c>
      <c r="AA3266" s="8" t="e">
        <f>+VLOOKUP(I3266,[1]SKU!$H$2:$I$97,2,0)</f>
        <v>#N/A</v>
      </c>
    </row>
    <row r="3267" spans="24:27">
      <c r="X3267" s="8" t="str">
        <f>+IFERROR(VLOOKUP(N3267,[1]Hoja1!$B$2:$F$52,4,0)*P3267,"")</f>
        <v/>
      </c>
      <c r="Y3267" s="8" t="e">
        <f>+VLOOKUP(M3267,[1]SKU!$B$3:$E$81,4,0)</f>
        <v>#N/A</v>
      </c>
      <c r="Z3267" s="8" t="str">
        <f t="shared" ref="Z3267:Z3330" si="51">+IF(J3267="VB01                          ","BEES","FLEX")</f>
        <v>FLEX</v>
      </c>
      <c r="AA3267" s="8" t="e">
        <f>+VLOOKUP(I3267,[1]SKU!$H$2:$I$97,2,0)</f>
        <v>#N/A</v>
      </c>
    </row>
    <row r="3268" spans="24:27">
      <c r="X3268" s="8" t="str">
        <f>+IFERROR(VLOOKUP(N3268,[1]Hoja1!$B$2:$F$52,4,0)*P3268,"")</f>
        <v/>
      </c>
      <c r="Y3268" s="8" t="e">
        <f>+VLOOKUP(M3268,[1]SKU!$B$3:$E$81,4,0)</f>
        <v>#N/A</v>
      </c>
      <c r="Z3268" s="8" t="str">
        <f t="shared" si="51"/>
        <v>FLEX</v>
      </c>
      <c r="AA3268" s="8" t="e">
        <f>+VLOOKUP(I3268,[1]SKU!$H$2:$I$97,2,0)</f>
        <v>#N/A</v>
      </c>
    </row>
    <row r="3269" spans="24:27">
      <c r="X3269" s="8" t="str">
        <f>+IFERROR(VLOOKUP(N3269,[1]Hoja1!$B$2:$F$52,4,0)*P3269,"")</f>
        <v/>
      </c>
      <c r="Y3269" s="8" t="e">
        <f>+VLOOKUP(M3269,[1]SKU!$B$3:$E$81,4,0)</f>
        <v>#N/A</v>
      </c>
      <c r="Z3269" s="8" t="str">
        <f t="shared" si="51"/>
        <v>FLEX</v>
      </c>
      <c r="AA3269" s="8" t="e">
        <f>+VLOOKUP(I3269,[1]SKU!$H$2:$I$97,2,0)</f>
        <v>#N/A</v>
      </c>
    </row>
    <row r="3270" spans="24:27">
      <c r="X3270" s="8" t="str">
        <f>+IFERROR(VLOOKUP(N3270,[1]Hoja1!$B$2:$F$52,4,0)*P3270,"")</f>
        <v/>
      </c>
      <c r="Y3270" s="8" t="e">
        <f>+VLOOKUP(M3270,[1]SKU!$B$3:$E$81,4,0)</f>
        <v>#N/A</v>
      </c>
      <c r="Z3270" s="8" t="str">
        <f t="shared" si="51"/>
        <v>FLEX</v>
      </c>
      <c r="AA3270" s="8" t="e">
        <f>+VLOOKUP(I3270,[1]SKU!$H$2:$I$97,2,0)</f>
        <v>#N/A</v>
      </c>
    </row>
    <row r="3271" spans="24:27">
      <c r="X3271" s="8" t="str">
        <f>+IFERROR(VLOOKUP(N3271,[1]Hoja1!$B$2:$F$52,4,0)*P3271,"")</f>
        <v/>
      </c>
      <c r="Y3271" s="8" t="e">
        <f>+VLOOKUP(M3271,[1]SKU!$B$3:$E$81,4,0)</f>
        <v>#N/A</v>
      </c>
      <c r="Z3271" s="8" t="str">
        <f t="shared" si="51"/>
        <v>FLEX</v>
      </c>
      <c r="AA3271" s="8" t="e">
        <f>+VLOOKUP(I3271,[1]SKU!$H$2:$I$97,2,0)</f>
        <v>#N/A</v>
      </c>
    </row>
    <row r="3272" spans="24:27">
      <c r="X3272" s="8" t="str">
        <f>+IFERROR(VLOOKUP(N3272,[1]Hoja1!$B$2:$F$52,4,0)*P3272,"")</f>
        <v/>
      </c>
      <c r="Y3272" s="8" t="e">
        <f>+VLOOKUP(M3272,[1]SKU!$B$3:$E$81,4,0)</f>
        <v>#N/A</v>
      </c>
      <c r="Z3272" s="8" t="str">
        <f t="shared" si="51"/>
        <v>FLEX</v>
      </c>
      <c r="AA3272" s="8" t="e">
        <f>+VLOOKUP(I3272,[1]SKU!$H$2:$I$97,2,0)</f>
        <v>#N/A</v>
      </c>
    </row>
    <row r="3273" spans="24:27">
      <c r="X3273" s="8" t="str">
        <f>+IFERROR(VLOOKUP(N3273,[1]Hoja1!$B$2:$F$52,4,0)*P3273,"")</f>
        <v/>
      </c>
      <c r="Y3273" s="8" t="e">
        <f>+VLOOKUP(M3273,[1]SKU!$B$3:$E$81,4,0)</f>
        <v>#N/A</v>
      </c>
      <c r="Z3273" s="8" t="str">
        <f t="shared" si="51"/>
        <v>FLEX</v>
      </c>
      <c r="AA3273" s="8" t="e">
        <f>+VLOOKUP(I3273,[1]SKU!$H$2:$I$97,2,0)</f>
        <v>#N/A</v>
      </c>
    </row>
    <row r="3274" spans="24:27">
      <c r="X3274" s="8" t="str">
        <f>+IFERROR(VLOOKUP(N3274,[1]Hoja1!$B$2:$F$52,4,0)*P3274,"")</f>
        <v/>
      </c>
      <c r="Y3274" s="8" t="e">
        <f>+VLOOKUP(M3274,[1]SKU!$B$3:$E$81,4,0)</f>
        <v>#N/A</v>
      </c>
      <c r="Z3274" s="8" t="str">
        <f t="shared" si="51"/>
        <v>FLEX</v>
      </c>
      <c r="AA3274" s="8" t="e">
        <f>+VLOOKUP(I3274,[1]SKU!$H$2:$I$97,2,0)</f>
        <v>#N/A</v>
      </c>
    </row>
    <row r="3275" spans="24:27">
      <c r="X3275" s="8" t="str">
        <f>+IFERROR(VLOOKUP(N3275,[1]Hoja1!$B$2:$F$52,4,0)*P3275,"")</f>
        <v/>
      </c>
      <c r="Y3275" s="8" t="e">
        <f>+VLOOKUP(M3275,[1]SKU!$B$3:$E$81,4,0)</f>
        <v>#N/A</v>
      </c>
      <c r="Z3275" s="8" t="str">
        <f t="shared" si="51"/>
        <v>FLEX</v>
      </c>
      <c r="AA3275" s="8" t="e">
        <f>+VLOOKUP(I3275,[1]SKU!$H$2:$I$97,2,0)</f>
        <v>#N/A</v>
      </c>
    </row>
    <row r="3276" spans="24:27">
      <c r="X3276" s="8" t="str">
        <f>+IFERROR(VLOOKUP(N3276,[1]Hoja1!$B$2:$F$52,4,0)*P3276,"")</f>
        <v/>
      </c>
      <c r="Y3276" s="8" t="e">
        <f>+VLOOKUP(M3276,[1]SKU!$B$3:$E$81,4,0)</f>
        <v>#N/A</v>
      </c>
      <c r="Z3276" s="8" t="str">
        <f t="shared" si="51"/>
        <v>FLEX</v>
      </c>
      <c r="AA3276" s="8" t="e">
        <f>+VLOOKUP(I3276,[1]SKU!$H$2:$I$97,2,0)</f>
        <v>#N/A</v>
      </c>
    </row>
    <row r="3277" spans="24:27">
      <c r="X3277" s="8" t="str">
        <f>+IFERROR(VLOOKUP(N3277,[1]Hoja1!$B$2:$F$52,4,0)*P3277,"")</f>
        <v/>
      </c>
      <c r="Y3277" s="8" t="e">
        <f>+VLOOKUP(M3277,[1]SKU!$B$3:$E$81,4,0)</f>
        <v>#N/A</v>
      </c>
      <c r="Z3277" s="8" t="str">
        <f t="shared" si="51"/>
        <v>FLEX</v>
      </c>
      <c r="AA3277" s="8" t="e">
        <f>+VLOOKUP(I3277,[1]SKU!$H$2:$I$97,2,0)</f>
        <v>#N/A</v>
      </c>
    </row>
    <row r="3278" spans="24:27">
      <c r="X3278" s="8" t="str">
        <f>+IFERROR(VLOOKUP(N3278,[1]Hoja1!$B$2:$F$52,4,0)*P3278,"")</f>
        <v/>
      </c>
      <c r="Y3278" s="8" t="e">
        <f>+VLOOKUP(M3278,[1]SKU!$B$3:$E$81,4,0)</f>
        <v>#N/A</v>
      </c>
      <c r="Z3278" s="8" t="str">
        <f t="shared" si="51"/>
        <v>FLEX</v>
      </c>
      <c r="AA3278" s="8" t="e">
        <f>+VLOOKUP(I3278,[1]SKU!$H$2:$I$97,2,0)</f>
        <v>#N/A</v>
      </c>
    </row>
    <row r="3279" spans="24:27">
      <c r="X3279" s="8" t="str">
        <f>+IFERROR(VLOOKUP(N3279,[1]Hoja1!$B$2:$F$52,4,0)*P3279,"")</f>
        <v/>
      </c>
      <c r="Y3279" s="8" t="e">
        <f>+VLOOKUP(M3279,[1]SKU!$B$3:$E$81,4,0)</f>
        <v>#N/A</v>
      </c>
      <c r="Z3279" s="8" t="str">
        <f t="shared" si="51"/>
        <v>FLEX</v>
      </c>
      <c r="AA3279" s="8" t="e">
        <f>+VLOOKUP(I3279,[1]SKU!$H$2:$I$97,2,0)</f>
        <v>#N/A</v>
      </c>
    </row>
    <row r="3280" spans="24:27">
      <c r="X3280" s="8" t="str">
        <f>+IFERROR(VLOOKUP(N3280,[1]Hoja1!$B$2:$F$52,4,0)*P3280,"")</f>
        <v/>
      </c>
      <c r="Y3280" s="8" t="e">
        <f>+VLOOKUP(M3280,[1]SKU!$B$3:$E$81,4,0)</f>
        <v>#N/A</v>
      </c>
      <c r="Z3280" s="8" t="str">
        <f t="shared" si="51"/>
        <v>FLEX</v>
      </c>
      <c r="AA3280" s="8" t="e">
        <f>+VLOOKUP(I3280,[1]SKU!$H$2:$I$97,2,0)</f>
        <v>#N/A</v>
      </c>
    </row>
    <row r="3281" spans="24:27">
      <c r="X3281" s="8" t="str">
        <f>+IFERROR(VLOOKUP(N3281,[1]Hoja1!$B$2:$F$52,4,0)*P3281,"")</f>
        <v/>
      </c>
      <c r="Y3281" s="8" t="e">
        <f>+VLOOKUP(M3281,[1]SKU!$B$3:$E$81,4,0)</f>
        <v>#N/A</v>
      </c>
      <c r="Z3281" s="8" t="str">
        <f t="shared" si="51"/>
        <v>FLEX</v>
      </c>
      <c r="AA3281" s="8" t="e">
        <f>+VLOOKUP(I3281,[1]SKU!$H$2:$I$97,2,0)</f>
        <v>#N/A</v>
      </c>
    </row>
    <row r="3282" spans="24:27">
      <c r="X3282" s="8" t="str">
        <f>+IFERROR(VLOOKUP(N3282,[1]Hoja1!$B$2:$F$52,4,0)*P3282,"")</f>
        <v/>
      </c>
      <c r="Y3282" s="8" t="e">
        <f>+VLOOKUP(M3282,[1]SKU!$B$3:$E$81,4,0)</f>
        <v>#N/A</v>
      </c>
      <c r="Z3282" s="8" t="str">
        <f t="shared" si="51"/>
        <v>FLEX</v>
      </c>
      <c r="AA3282" s="8" t="e">
        <f>+VLOOKUP(I3282,[1]SKU!$H$2:$I$97,2,0)</f>
        <v>#N/A</v>
      </c>
    </row>
    <row r="3283" spans="24:27">
      <c r="X3283" s="8" t="str">
        <f>+IFERROR(VLOOKUP(N3283,[1]Hoja1!$B$2:$F$52,4,0)*P3283,"")</f>
        <v/>
      </c>
      <c r="Y3283" s="8" t="e">
        <f>+VLOOKUP(M3283,[1]SKU!$B$3:$E$81,4,0)</f>
        <v>#N/A</v>
      </c>
      <c r="Z3283" s="8" t="str">
        <f t="shared" si="51"/>
        <v>FLEX</v>
      </c>
      <c r="AA3283" s="8" t="e">
        <f>+VLOOKUP(I3283,[1]SKU!$H$2:$I$97,2,0)</f>
        <v>#N/A</v>
      </c>
    </row>
    <row r="3284" spans="24:27">
      <c r="X3284" s="8" t="str">
        <f>+IFERROR(VLOOKUP(N3284,[1]Hoja1!$B$2:$F$52,4,0)*P3284,"")</f>
        <v/>
      </c>
      <c r="Y3284" s="8" t="e">
        <f>+VLOOKUP(M3284,[1]SKU!$B$3:$E$81,4,0)</f>
        <v>#N/A</v>
      </c>
      <c r="Z3284" s="8" t="str">
        <f t="shared" si="51"/>
        <v>FLEX</v>
      </c>
      <c r="AA3284" s="8" t="e">
        <f>+VLOOKUP(I3284,[1]SKU!$H$2:$I$97,2,0)</f>
        <v>#N/A</v>
      </c>
    </row>
    <row r="3285" spans="24:27">
      <c r="X3285" s="8" t="str">
        <f>+IFERROR(VLOOKUP(N3285,[1]Hoja1!$B$2:$F$52,4,0)*P3285,"")</f>
        <v/>
      </c>
      <c r="Y3285" s="8" t="e">
        <f>+VLOOKUP(M3285,[1]SKU!$B$3:$E$81,4,0)</f>
        <v>#N/A</v>
      </c>
      <c r="Z3285" s="8" t="str">
        <f t="shared" si="51"/>
        <v>FLEX</v>
      </c>
      <c r="AA3285" s="8" t="e">
        <f>+VLOOKUP(I3285,[1]SKU!$H$2:$I$97,2,0)</f>
        <v>#N/A</v>
      </c>
    </row>
    <row r="3286" spans="24:27">
      <c r="X3286" s="8" t="str">
        <f>+IFERROR(VLOOKUP(N3286,[1]Hoja1!$B$2:$F$52,4,0)*P3286,"")</f>
        <v/>
      </c>
      <c r="Y3286" s="8" t="e">
        <f>+VLOOKUP(M3286,[1]SKU!$B$3:$E$81,4,0)</f>
        <v>#N/A</v>
      </c>
      <c r="Z3286" s="8" t="str">
        <f t="shared" si="51"/>
        <v>FLEX</v>
      </c>
      <c r="AA3286" s="8" t="e">
        <f>+VLOOKUP(I3286,[1]SKU!$H$2:$I$97,2,0)</f>
        <v>#N/A</v>
      </c>
    </row>
    <row r="3287" spans="24:27">
      <c r="X3287" s="8" t="str">
        <f>+IFERROR(VLOOKUP(N3287,[1]Hoja1!$B$2:$F$52,4,0)*P3287,"")</f>
        <v/>
      </c>
      <c r="Y3287" s="8" t="e">
        <f>+VLOOKUP(M3287,[1]SKU!$B$3:$E$81,4,0)</f>
        <v>#N/A</v>
      </c>
      <c r="Z3287" s="8" t="str">
        <f t="shared" si="51"/>
        <v>FLEX</v>
      </c>
      <c r="AA3287" s="8" t="e">
        <f>+VLOOKUP(I3287,[1]SKU!$H$2:$I$97,2,0)</f>
        <v>#N/A</v>
      </c>
    </row>
    <row r="3288" spans="24:27">
      <c r="X3288" s="8" t="str">
        <f>+IFERROR(VLOOKUP(N3288,[1]Hoja1!$B$2:$F$52,4,0)*P3288,"")</f>
        <v/>
      </c>
      <c r="Y3288" s="8" t="e">
        <f>+VLOOKUP(M3288,[1]SKU!$B$3:$E$81,4,0)</f>
        <v>#N/A</v>
      </c>
      <c r="Z3288" s="8" t="str">
        <f t="shared" si="51"/>
        <v>FLEX</v>
      </c>
      <c r="AA3288" s="8" t="e">
        <f>+VLOOKUP(I3288,[1]SKU!$H$2:$I$97,2,0)</f>
        <v>#N/A</v>
      </c>
    </row>
    <row r="3289" spans="24:27">
      <c r="X3289" s="8" t="str">
        <f>+IFERROR(VLOOKUP(N3289,[1]Hoja1!$B$2:$F$52,4,0)*P3289,"")</f>
        <v/>
      </c>
      <c r="Y3289" s="8" t="e">
        <f>+VLOOKUP(M3289,[1]SKU!$B$3:$E$81,4,0)</f>
        <v>#N/A</v>
      </c>
      <c r="Z3289" s="8" t="str">
        <f t="shared" si="51"/>
        <v>FLEX</v>
      </c>
      <c r="AA3289" s="8" t="e">
        <f>+VLOOKUP(I3289,[1]SKU!$H$2:$I$97,2,0)</f>
        <v>#N/A</v>
      </c>
    </row>
    <row r="3290" spans="24:27">
      <c r="X3290" s="8" t="str">
        <f>+IFERROR(VLOOKUP(N3290,[1]Hoja1!$B$2:$F$52,4,0)*P3290,"")</f>
        <v/>
      </c>
      <c r="Y3290" s="8" t="e">
        <f>+VLOOKUP(M3290,[1]SKU!$B$3:$E$81,4,0)</f>
        <v>#N/A</v>
      </c>
      <c r="Z3290" s="8" t="str">
        <f t="shared" si="51"/>
        <v>FLEX</v>
      </c>
      <c r="AA3290" s="8" t="e">
        <f>+VLOOKUP(I3290,[1]SKU!$H$2:$I$97,2,0)</f>
        <v>#N/A</v>
      </c>
    </row>
    <row r="3291" spans="24:27">
      <c r="X3291" s="8" t="str">
        <f>+IFERROR(VLOOKUP(N3291,[1]Hoja1!$B$2:$F$52,4,0)*P3291,"")</f>
        <v/>
      </c>
      <c r="Y3291" s="8" t="e">
        <f>+VLOOKUP(M3291,[1]SKU!$B$3:$E$81,4,0)</f>
        <v>#N/A</v>
      </c>
      <c r="Z3291" s="8" t="str">
        <f t="shared" si="51"/>
        <v>FLEX</v>
      </c>
      <c r="AA3291" s="8" t="e">
        <f>+VLOOKUP(I3291,[1]SKU!$H$2:$I$97,2,0)</f>
        <v>#N/A</v>
      </c>
    </row>
    <row r="3292" spans="24:27">
      <c r="X3292" s="8" t="str">
        <f>+IFERROR(VLOOKUP(N3292,[1]Hoja1!$B$2:$F$52,4,0)*P3292,"")</f>
        <v/>
      </c>
      <c r="Y3292" s="8" t="e">
        <f>+VLOOKUP(M3292,[1]SKU!$B$3:$E$81,4,0)</f>
        <v>#N/A</v>
      </c>
      <c r="Z3292" s="8" t="str">
        <f t="shared" si="51"/>
        <v>FLEX</v>
      </c>
      <c r="AA3292" s="8" t="e">
        <f>+VLOOKUP(I3292,[1]SKU!$H$2:$I$97,2,0)</f>
        <v>#N/A</v>
      </c>
    </row>
    <row r="3293" spans="24:27">
      <c r="X3293" s="8" t="str">
        <f>+IFERROR(VLOOKUP(N3293,[1]Hoja1!$B$2:$F$52,4,0)*P3293,"")</f>
        <v/>
      </c>
      <c r="Y3293" s="8" t="e">
        <f>+VLOOKUP(M3293,[1]SKU!$B$3:$E$81,4,0)</f>
        <v>#N/A</v>
      </c>
      <c r="Z3293" s="8" t="str">
        <f t="shared" si="51"/>
        <v>FLEX</v>
      </c>
      <c r="AA3293" s="8" t="e">
        <f>+VLOOKUP(I3293,[1]SKU!$H$2:$I$97,2,0)</f>
        <v>#N/A</v>
      </c>
    </row>
    <row r="3294" spans="24:27">
      <c r="X3294" s="8" t="str">
        <f>+IFERROR(VLOOKUP(N3294,[1]Hoja1!$B$2:$F$52,4,0)*P3294,"")</f>
        <v/>
      </c>
      <c r="Y3294" s="8" t="e">
        <f>+VLOOKUP(M3294,[1]SKU!$B$3:$E$81,4,0)</f>
        <v>#N/A</v>
      </c>
      <c r="Z3294" s="8" t="str">
        <f t="shared" si="51"/>
        <v>FLEX</v>
      </c>
      <c r="AA3294" s="8" t="e">
        <f>+VLOOKUP(I3294,[1]SKU!$H$2:$I$97,2,0)</f>
        <v>#N/A</v>
      </c>
    </row>
    <row r="3295" spans="24:27">
      <c r="X3295" s="8" t="str">
        <f>+IFERROR(VLOOKUP(N3295,[1]Hoja1!$B$2:$F$52,4,0)*P3295,"")</f>
        <v/>
      </c>
      <c r="Y3295" s="8" t="e">
        <f>+VLOOKUP(M3295,[1]SKU!$B$3:$E$81,4,0)</f>
        <v>#N/A</v>
      </c>
      <c r="Z3295" s="8" t="str">
        <f t="shared" si="51"/>
        <v>FLEX</v>
      </c>
      <c r="AA3295" s="8" t="e">
        <f>+VLOOKUP(I3295,[1]SKU!$H$2:$I$97,2,0)</f>
        <v>#N/A</v>
      </c>
    </row>
    <row r="3296" spans="24:27">
      <c r="X3296" s="8" t="str">
        <f>+IFERROR(VLOOKUP(N3296,[1]Hoja1!$B$2:$F$52,4,0)*P3296,"")</f>
        <v/>
      </c>
      <c r="Y3296" s="8" t="e">
        <f>+VLOOKUP(M3296,[1]SKU!$B$3:$E$81,4,0)</f>
        <v>#N/A</v>
      </c>
      <c r="Z3296" s="8" t="str">
        <f t="shared" si="51"/>
        <v>FLEX</v>
      </c>
      <c r="AA3296" s="8" t="e">
        <f>+VLOOKUP(I3296,[1]SKU!$H$2:$I$97,2,0)</f>
        <v>#N/A</v>
      </c>
    </row>
    <row r="3297" spans="24:27">
      <c r="X3297" s="8" t="str">
        <f>+IFERROR(VLOOKUP(N3297,[1]Hoja1!$B$2:$F$52,4,0)*P3297,"")</f>
        <v/>
      </c>
      <c r="Y3297" s="8" t="e">
        <f>+VLOOKUP(M3297,[1]SKU!$B$3:$E$81,4,0)</f>
        <v>#N/A</v>
      </c>
      <c r="Z3297" s="8" t="str">
        <f t="shared" si="51"/>
        <v>FLEX</v>
      </c>
      <c r="AA3297" s="8" t="e">
        <f>+VLOOKUP(I3297,[1]SKU!$H$2:$I$97,2,0)</f>
        <v>#N/A</v>
      </c>
    </row>
    <row r="3298" spans="24:27">
      <c r="X3298" s="8" t="str">
        <f>+IFERROR(VLOOKUP(N3298,[1]Hoja1!$B$2:$F$52,4,0)*P3298,"")</f>
        <v/>
      </c>
      <c r="Y3298" s="8" t="e">
        <f>+VLOOKUP(M3298,[1]SKU!$B$3:$E$81,4,0)</f>
        <v>#N/A</v>
      </c>
      <c r="Z3298" s="8" t="str">
        <f t="shared" si="51"/>
        <v>FLEX</v>
      </c>
      <c r="AA3298" s="8" t="e">
        <f>+VLOOKUP(I3298,[1]SKU!$H$2:$I$97,2,0)</f>
        <v>#N/A</v>
      </c>
    </row>
    <row r="3299" spans="24:27">
      <c r="X3299" s="8" t="str">
        <f>+IFERROR(VLOOKUP(N3299,[1]Hoja1!$B$2:$F$52,4,0)*P3299,"")</f>
        <v/>
      </c>
      <c r="Y3299" s="8" t="e">
        <f>+VLOOKUP(M3299,[1]SKU!$B$3:$E$81,4,0)</f>
        <v>#N/A</v>
      </c>
      <c r="Z3299" s="8" t="str">
        <f t="shared" si="51"/>
        <v>FLEX</v>
      </c>
      <c r="AA3299" s="8" t="e">
        <f>+VLOOKUP(I3299,[1]SKU!$H$2:$I$97,2,0)</f>
        <v>#N/A</v>
      </c>
    </row>
    <row r="3300" spans="24:27">
      <c r="X3300" s="8" t="str">
        <f>+IFERROR(VLOOKUP(N3300,[1]Hoja1!$B$2:$F$52,4,0)*P3300,"")</f>
        <v/>
      </c>
      <c r="Y3300" s="8" t="e">
        <f>+VLOOKUP(M3300,[1]SKU!$B$3:$E$81,4,0)</f>
        <v>#N/A</v>
      </c>
      <c r="Z3300" s="8" t="str">
        <f t="shared" si="51"/>
        <v>FLEX</v>
      </c>
      <c r="AA3300" s="8" t="e">
        <f>+VLOOKUP(I3300,[1]SKU!$H$2:$I$97,2,0)</f>
        <v>#N/A</v>
      </c>
    </row>
    <row r="3301" spans="24:27">
      <c r="X3301" s="8" t="str">
        <f>+IFERROR(VLOOKUP(N3301,[1]Hoja1!$B$2:$F$52,4,0)*P3301,"")</f>
        <v/>
      </c>
      <c r="Y3301" s="8" t="e">
        <f>+VLOOKUP(M3301,[1]SKU!$B$3:$E$81,4,0)</f>
        <v>#N/A</v>
      </c>
      <c r="Z3301" s="8" t="str">
        <f t="shared" si="51"/>
        <v>FLEX</v>
      </c>
      <c r="AA3301" s="8" t="e">
        <f>+VLOOKUP(I3301,[1]SKU!$H$2:$I$97,2,0)</f>
        <v>#N/A</v>
      </c>
    </row>
    <row r="3302" spans="24:27">
      <c r="X3302" s="8" t="str">
        <f>+IFERROR(VLOOKUP(N3302,[1]Hoja1!$B$2:$F$52,4,0)*P3302,"")</f>
        <v/>
      </c>
      <c r="Y3302" s="8" t="e">
        <f>+VLOOKUP(M3302,[1]SKU!$B$3:$E$81,4,0)</f>
        <v>#N/A</v>
      </c>
      <c r="Z3302" s="8" t="str">
        <f t="shared" si="51"/>
        <v>FLEX</v>
      </c>
      <c r="AA3302" s="8" t="e">
        <f>+VLOOKUP(I3302,[1]SKU!$H$2:$I$97,2,0)</f>
        <v>#N/A</v>
      </c>
    </row>
    <row r="3303" spans="24:27">
      <c r="X3303" s="8" t="str">
        <f>+IFERROR(VLOOKUP(N3303,[1]Hoja1!$B$2:$F$52,4,0)*P3303,"")</f>
        <v/>
      </c>
      <c r="Y3303" s="8" t="e">
        <f>+VLOOKUP(M3303,[1]SKU!$B$3:$E$81,4,0)</f>
        <v>#N/A</v>
      </c>
      <c r="Z3303" s="8" t="str">
        <f t="shared" si="51"/>
        <v>FLEX</v>
      </c>
      <c r="AA3303" s="8" t="e">
        <f>+VLOOKUP(I3303,[1]SKU!$H$2:$I$97,2,0)</f>
        <v>#N/A</v>
      </c>
    </row>
    <row r="3304" spans="24:27">
      <c r="X3304" s="8" t="str">
        <f>+IFERROR(VLOOKUP(N3304,[1]Hoja1!$B$2:$F$52,4,0)*P3304,"")</f>
        <v/>
      </c>
      <c r="Y3304" s="8" t="e">
        <f>+VLOOKUP(M3304,[1]SKU!$B$3:$E$81,4,0)</f>
        <v>#N/A</v>
      </c>
      <c r="Z3304" s="8" t="str">
        <f t="shared" si="51"/>
        <v>FLEX</v>
      </c>
      <c r="AA3304" s="8" t="e">
        <f>+VLOOKUP(I3304,[1]SKU!$H$2:$I$97,2,0)</f>
        <v>#N/A</v>
      </c>
    </row>
    <row r="3305" spans="24:27">
      <c r="X3305" s="8" t="str">
        <f>+IFERROR(VLOOKUP(N3305,[1]Hoja1!$B$2:$F$52,4,0)*P3305,"")</f>
        <v/>
      </c>
      <c r="Y3305" s="8" t="e">
        <f>+VLOOKUP(M3305,[1]SKU!$B$3:$E$81,4,0)</f>
        <v>#N/A</v>
      </c>
      <c r="Z3305" s="8" t="str">
        <f t="shared" si="51"/>
        <v>FLEX</v>
      </c>
      <c r="AA3305" s="8" t="e">
        <f>+VLOOKUP(I3305,[1]SKU!$H$2:$I$97,2,0)</f>
        <v>#N/A</v>
      </c>
    </row>
    <row r="3306" spans="24:27">
      <c r="X3306" s="8" t="str">
        <f>+IFERROR(VLOOKUP(N3306,[1]Hoja1!$B$2:$F$52,4,0)*P3306,"")</f>
        <v/>
      </c>
      <c r="Y3306" s="8" t="e">
        <f>+VLOOKUP(M3306,[1]SKU!$B$3:$E$81,4,0)</f>
        <v>#N/A</v>
      </c>
      <c r="Z3306" s="8" t="str">
        <f t="shared" si="51"/>
        <v>FLEX</v>
      </c>
      <c r="AA3306" s="8" t="e">
        <f>+VLOOKUP(I3306,[1]SKU!$H$2:$I$97,2,0)</f>
        <v>#N/A</v>
      </c>
    </row>
    <row r="3307" spans="24:27">
      <c r="X3307" s="8" t="str">
        <f>+IFERROR(VLOOKUP(N3307,[1]Hoja1!$B$2:$F$52,4,0)*P3307,"")</f>
        <v/>
      </c>
      <c r="Y3307" s="8" t="e">
        <f>+VLOOKUP(M3307,[1]SKU!$B$3:$E$81,4,0)</f>
        <v>#N/A</v>
      </c>
      <c r="Z3307" s="8" t="str">
        <f t="shared" si="51"/>
        <v>FLEX</v>
      </c>
      <c r="AA3307" s="8" t="e">
        <f>+VLOOKUP(I3307,[1]SKU!$H$2:$I$97,2,0)</f>
        <v>#N/A</v>
      </c>
    </row>
    <row r="3308" spans="24:27">
      <c r="X3308" s="8" t="str">
        <f>+IFERROR(VLOOKUP(N3308,[1]Hoja1!$B$2:$F$52,4,0)*P3308,"")</f>
        <v/>
      </c>
      <c r="Y3308" s="8" t="e">
        <f>+VLOOKUP(M3308,[1]SKU!$B$3:$E$81,4,0)</f>
        <v>#N/A</v>
      </c>
      <c r="Z3308" s="8" t="str">
        <f t="shared" si="51"/>
        <v>FLEX</v>
      </c>
      <c r="AA3308" s="8" t="e">
        <f>+VLOOKUP(I3308,[1]SKU!$H$2:$I$97,2,0)</f>
        <v>#N/A</v>
      </c>
    </row>
    <row r="3309" spans="24:27">
      <c r="X3309" s="8" t="str">
        <f>+IFERROR(VLOOKUP(N3309,[1]Hoja1!$B$2:$F$52,4,0)*P3309,"")</f>
        <v/>
      </c>
      <c r="Y3309" s="8" t="e">
        <f>+VLOOKUP(M3309,[1]SKU!$B$3:$E$81,4,0)</f>
        <v>#N/A</v>
      </c>
      <c r="Z3309" s="8" t="str">
        <f t="shared" si="51"/>
        <v>FLEX</v>
      </c>
      <c r="AA3309" s="8" t="e">
        <f>+VLOOKUP(I3309,[1]SKU!$H$2:$I$97,2,0)</f>
        <v>#N/A</v>
      </c>
    </row>
    <row r="3310" spans="24:27">
      <c r="X3310" s="8" t="str">
        <f>+IFERROR(VLOOKUP(N3310,[1]Hoja1!$B$2:$F$52,4,0)*P3310,"")</f>
        <v/>
      </c>
      <c r="Y3310" s="8" t="e">
        <f>+VLOOKUP(M3310,[1]SKU!$B$3:$E$81,4,0)</f>
        <v>#N/A</v>
      </c>
      <c r="Z3310" s="8" t="str">
        <f t="shared" si="51"/>
        <v>FLEX</v>
      </c>
      <c r="AA3310" s="8" t="e">
        <f>+VLOOKUP(I3310,[1]SKU!$H$2:$I$97,2,0)</f>
        <v>#N/A</v>
      </c>
    </row>
    <row r="3311" spans="24:27">
      <c r="X3311" s="8" t="str">
        <f>+IFERROR(VLOOKUP(N3311,[1]Hoja1!$B$2:$F$52,4,0)*P3311,"")</f>
        <v/>
      </c>
      <c r="Y3311" s="8" t="e">
        <f>+VLOOKUP(M3311,[1]SKU!$B$3:$E$81,4,0)</f>
        <v>#N/A</v>
      </c>
      <c r="Z3311" s="8" t="str">
        <f t="shared" si="51"/>
        <v>FLEX</v>
      </c>
      <c r="AA3311" s="8" t="e">
        <f>+VLOOKUP(I3311,[1]SKU!$H$2:$I$97,2,0)</f>
        <v>#N/A</v>
      </c>
    </row>
    <row r="3312" spans="24:27">
      <c r="X3312" s="8" t="str">
        <f>+IFERROR(VLOOKUP(N3312,[1]Hoja1!$B$2:$F$52,4,0)*P3312,"")</f>
        <v/>
      </c>
      <c r="Y3312" s="8" t="e">
        <f>+VLOOKUP(M3312,[1]SKU!$B$3:$E$81,4,0)</f>
        <v>#N/A</v>
      </c>
      <c r="Z3312" s="8" t="str">
        <f t="shared" si="51"/>
        <v>FLEX</v>
      </c>
      <c r="AA3312" s="8" t="e">
        <f>+VLOOKUP(I3312,[1]SKU!$H$2:$I$97,2,0)</f>
        <v>#N/A</v>
      </c>
    </row>
    <row r="3313" spans="24:27">
      <c r="X3313" s="8" t="str">
        <f>+IFERROR(VLOOKUP(N3313,[1]Hoja1!$B$2:$F$52,4,0)*P3313,"")</f>
        <v/>
      </c>
      <c r="Y3313" s="8" t="e">
        <f>+VLOOKUP(M3313,[1]SKU!$B$3:$E$81,4,0)</f>
        <v>#N/A</v>
      </c>
      <c r="Z3313" s="8" t="str">
        <f t="shared" si="51"/>
        <v>FLEX</v>
      </c>
      <c r="AA3313" s="8" t="e">
        <f>+VLOOKUP(I3313,[1]SKU!$H$2:$I$97,2,0)</f>
        <v>#N/A</v>
      </c>
    </row>
    <row r="3314" spans="24:27">
      <c r="X3314" s="8" t="str">
        <f>+IFERROR(VLOOKUP(N3314,[1]Hoja1!$B$2:$F$52,4,0)*P3314,"")</f>
        <v/>
      </c>
      <c r="Y3314" s="8" t="e">
        <f>+VLOOKUP(M3314,[1]SKU!$B$3:$E$81,4,0)</f>
        <v>#N/A</v>
      </c>
      <c r="Z3314" s="8" t="str">
        <f t="shared" si="51"/>
        <v>FLEX</v>
      </c>
      <c r="AA3314" s="8" t="e">
        <f>+VLOOKUP(I3314,[1]SKU!$H$2:$I$97,2,0)</f>
        <v>#N/A</v>
      </c>
    </row>
    <row r="3315" spans="24:27">
      <c r="X3315" s="8" t="str">
        <f>+IFERROR(VLOOKUP(N3315,[1]Hoja1!$B$2:$F$52,4,0)*P3315,"")</f>
        <v/>
      </c>
      <c r="Y3315" s="8" t="e">
        <f>+VLOOKUP(M3315,[1]SKU!$B$3:$E$81,4,0)</f>
        <v>#N/A</v>
      </c>
      <c r="Z3315" s="8" t="str">
        <f t="shared" si="51"/>
        <v>FLEX</v>
      </c>
      <c r="AA3315" s="8" t="e">
        <f>+VLOOKUP(I3315,[1]SKU!$H$2:$I$97,2,0)</f>
        <v>#N/A</v>
      </c>
    </row>
    <row r="3316" spans="24:27">
      <c r="X3316" s="8" t="str">
        <f>+IFERROR(VLOOKUP(N3316,[1]Hoja1!$B$2:$F$52,4,0)*P3316,"")</f>
        <v/>
      </c>
      <c r="Y3316" s="8" t="e">
        <f>+VLOOKUP(M3316,[1]SKU!$B$3:$E$81,4,0)</f>
        <v>#N/A</v>
      </c>
      <c r="Z3316" s="8" t="str">
        <f t="shared" si="51"/>
        <v>FLEX</v>
      </c>
      <c r="AA3316" s="8" t="e">
        <f>+VLOOKUP(I3316,[1]SKU!$H$2:$I$97,2,0)</f>
        <v>#N/A</v>
      </c>
    </row>
    <row r="3317" spans="24:27">
      <c r="X3317" s="8" t="str">
        <f>+IFERROR(VLOOKUP(N3317,[1]Hoja1!$B$2:$F$52,4,0)*P3317,"")</f>
        <v/>
      </c>
      <c r="Y3317" s="8" t="e">
        <f>+VLOOKUP(M3317,[1]SKU!$B$3:$E$81,4,0)</f>
        <v>#N/A</v>
      </c>
      <c r="Z3317" s="8" t="str">
        <f t="shared" si="51"/>
        <v>FLEX</v>
      </c>
      <c r="AA3317" s="8" t="e">
        <f>+VLOOKUP(I3317,[1]SKU!$H$2:$I$97,2,0)</f>
        <v>#N/A</v>
      </c>
    </row>
    <row r="3318" spans="24:27">
      <c r="X3318" s="8" t="str">
        <f>+IFERROR(VLOOKUP(N3318,[1]Hoja1!$B$2:$F$52,4,0)*P3318,"")</f>
        <v/>
      </c>
      <c r="Y3318" s="8" t="e">
        <f>+VLOOKUP(M3318,[1]SKU!$B$3:$E$81,4,0)</f>
        <v>#N/A</v>
      </c>
      <c r="Z3318" s="8" t="str">
        <f t="shared" si="51"/>
        <v>FLEX</v>
      </c>
      <c r="AA3318" s="8" t="e">
        <f>+VLOOKUP(I3318,[1]SKU!$H$2:$I$97,2,0)</f>
        <v>#N/A</v>
      </c>
    </row>
    <row r="3319" spans="24:27">
      <c r="X3319" s="8" t="str">
        <f>+IFERROR(VLOOKUP(N3319,[1]Hoja1!$B$2:$F$52,4,0)*P3319,"")</f>
        <v/>
      </c>
      <c r="Y3319" s="8" t="e">
        <f>+VLOOKUP(M3319,[1]SKU!$B$3:$E$81,4,0)</f>
        <v>#N/A</v>
      </c>
      <c r="Z3319" s="8" t="str">
        <f t="shared" si="51"/>
        <v>FLEX</v>
      </c>
      <c r="AA3319" s="8" t="e">
        <f>+VLOOKUP(I3319,[1]SKU!$H$2:$I$97,2,0)</f>
        <v>#N/A</v>
      </c>
    </row>
    <row r="3320" spans="24:27">
      <c r="X3320" s="8" t="str">
        <f>+IFERROR(VLOOKUP(N3320,[1]Hoja1!$B$2:$F$52,4,0)*P3320,"")</f>
        <v/>
      </c>
      <c r="Y3320" s="8" t="e">
        <f>+VLOOKUP(M3320,[1]SKU!$B$3:$E$81,4,0)</f>
        <v>#N/A</v>
      </c>
      <c r="Z3320" s="8" t="str">
        <f t="shared" si="51"/>
        <v>FLEX</v>
      </c>
      <c r="AA3320" s="8" t="e">
        <f>+VLOOKUP(I3320,[1]SKU!$H$2:$I$97,2,0)</f>
        <v>#N/A</v>
      </c>
    </row>
    <row r="3321" spans="24:27">
      <c r="X3321" s="8" t="str">
        <f>+IFERROR(VLOOKUP(N3321,[1]Hoja1!$B$2:$F$52,4,0)*P3321,"")</f>
        <v/>
      </c>
      <c r="Y3321" s="8" t="e">
        <f>+VLOOKUP(M3321,[1]SKU!$B$3:$E$81,4,0)</f>
        <v>#N/A</v>
      </c>
      <c r="Z3321" s="8" t="str">
        <f t="shared" si="51"/>
        <v>FLEX</v>
      </c>
      <c r="AA3321" s="8" t="e">
        <f>+VLOOKUP(I3321,[1]SKU!$H$2:$I$97,2,0)</f>
        <v>#N/A</v>
      </c>
    </row>
    <row r="3322" spans="24:27">
      <c r="X3322" s="8" t="str">
        <f>+IFERROR(VLOOKUP(N3322,[1]Hoja1!$B$2:$F$52,4,0)*P3322,"")</f>
        <v/>
      </c>
      <c r="Y3322" s="8" t="e">
        <f>+VLOOKUP(M3322,[1]SKU!$B$3:$E$81,4,0)</f>
        <v>#N/A</v>
      </c>
      <c r="Z3322" s="8" t="str">
        <f t="shared" si="51"/>
        <v>FLEX</v>
      </c>
      <c r="AA3322" s="8" t="e">
        <f>+VLOOKUP(I3322,[1]SKU!$H$2:$I$97,2,0)</f>
        <v>#N/A</v>
      </c>
    </row>
    <row r="3323" spans="24:27">
      <c r="X3323" s="8" t="str">
        <f>+IFERROR(VLOOKUP(N3323,[1]Hoja1!$B$2:$F$52,4,0)*P3323,"")</f>
        <v/>
      </c>
      <c r="Y3323" s="8" t="e">
        <f>+VLOOKUP(M3323,[1]SKU!$B$3:$E$81,4,0)</f>
        <v>#N/A</v>
      </c>
      <c r="Z3323" s="8" t="str">
        <f t="shared" si="51"/>
        <v>FLEX</v>
      </c>
      <c r="AA3323" s="8" t="e">
        <f>+VLOOKUP(I3323,[1]SKU!$H$2:$I$97,2,0)</f>
        <v>#N/A</v>
      </c>
    </row>
    <row r="3324" spans="24:27">
      <c r="X3324" s="8" t="str">
        <f>+IFERROR(VLOOKUP(N3324,[1]Hoja1!$B$2:$F$52,4,0)*P3324,"")</f>
        <v/>
      </c>
      <c r="Y3324" s="8" t="e">
        <f>+VLOOKUP(M3324,[1]SKU!$B$3:$E$81,4,0)</f>
        <v>#N/A</v>
      </c>
      <c r="Z3324" s="8" t="str">
        <f t="shared" si="51"/>
        <v>FLEX</v>
      </c>
      <c r="AA3324" s="8" t="e">
        <f>+VLOOKUP(I3324,[1]SKU!$H$2:$I$97,2,0)</f>
        <v>#N/A</v>
      </c>
    </row>
    <row r="3325" spans="24:27">
      <c r="X3325" s="8" t="str">
        <f>+IFERROR(VLOOKUP(N3325,[1]Hoja1!$B$2:$F$52,4,0)*P3325,"")</f>
        <v/>
      </c>
      <c r="Y3325" s="8" t="e">
        <f>+VLOOKUP(M3325,[1]SKU!$B$3:$E$81,4,0)</f>
        <v>#N/A</v>
      </c>
      <c r="Z3325" s="8" t="str">
        <f t="shared" si="51"/>
        <v>FLEX</v>
      </c>
      <c r="AA3325" s="8" t="e">
        <f>+VLOOKUP(I3325,[1]SKU!$H$2:$I$97,2,0)</f>
        <v>#N/A</v>
      </c>
    </row>
    <row r="3326" spans="24:27">
      <c r="X3326" s="8" t="str">
        <f>+IFERROR(VLOOKUP(N3326,[1]Hoja1!$B$2:$F$52,4,0)*P3326,"")</f>
        <v/>
      </c>
      <c r="Y3326" s="8" t="e">
        <f>+VLOOKUP(M3326,[1]SKU!$B$3:$E$81,4,0)</f>
        <v>#N/A</v>
      </c>
      <c r="Z3326" s="8" t="str">
        <f t="shared" si="51"/>
        <v>FLEX</v>
      </c>
      <c r="AA3326" s="8" t="e">
        <f>+VLOOKUP(I3326,[1]SKU!$H$2:$I$97,2,0)</f>
        <v>#N/A</v>
      </c>
    </row>
    <row r="3327" spans="24:27">
      <c r="X3327" s="8" t="str">
        <f>+IFERROR(VLOOKUP(N3327,[1]Hoja1!$B$2:$F$52,4,0)*P3327,"")</f>
        <v/>
      </c>
      <c r="Y3327" s="8" t="e">
        <f>+VLOOKUP(M3327,[1]SKU!$B$3:$E$81,4,0)</f>
        <v>#N/A</v>
      </c>
      <c r="Z3327" s="8" t="str">
        <f t="shared" si="51"/>
        <v>FLEX</v>
      </c>
      <c r="AA3327" s="8" t="e">
        <f>+VLOOKUP(I3327,[1]SKU!$H$2:$I$97,2,0)</f>
        <v>#N/A</v>
      </c>
    </row>
    <row r="3328" spans="24:27">
      <c r="X3328" s="8" t="str">
        <f>+IFERROR(VLOOKUP(N3328,[1]Hoja1!$B$2:$F$52,4,0)*P3328,"")</f>
        <v/>
      </c>
      <c r="Y3328" s="8" t="e">
        <f>+VLOOKUP(M3328,[1]SKU!$B$3:$E$81,4,0)</f>
        <v>#N/A</v>
      </c>
      <c r="Z3328" s="8" t="str">
        <f t="shared" si="51"/>
        <v>FLEX</v>
      </c>
      <c r="AA3328" s="8" t="e">
        <f>+VLOOKUP(I3328,[1]SKU!$H$2:$I$97,2,0)</f>
        <v>#N/A</v>
      </c>
    </row>
    <row r="3329" spans="24:27">
      <c r="X3329" s="8" t="str">
        <f>+IFERROR(VLOOKUP(N3329,[1]Hoja1!$B$2:$F$52,4,0)*P3329,"")</f>
        <v/>
      </c>
      <c r="Y3329" s="8" t="e">
        <f>+VLOOKUP(M3329,[1]SKU!$B$3:$E$81,4,0)</f>
        <v>#N/A</v>
      </c>
      <c r="Z3329" s="8" t="str">
        <f t="shared" si="51"/>
        <v>FLEX</v>
      </c>
      <c r="AA3329" s="8" t="e">
        <f>+VLOOKUP(I3329,[1]SKU!$H$2:$I$97,2,0)</f>
        <v>#N/A</v>
      </c>
    </row>
    <row r="3330" spans="24:27">
      <c r="X3330" s="8" t="str">
        <f>+IFERROR(VLOOKUP(N3330,[1]Hoja1!$B$2:$F$52,4,0)*P3330,"")</f>
        <v/>
      </c>
      <c r="Y3330" s="8" t="e">
        <f>+VLOOKUP(M3330,[1]SKU!$B$3:$E$81,4,0)</f>
        <v>#N/A</v>
      </c>
      <c r="Z3330" s="8" t="str">
        <f t="shared" si="51"/>
        <v>FLEX</v>
      </c>
      <c r="AA3330" s="8" t="e">
        <f>+VLOOKUP(I3330,[1]SKU!$H$2:$I$97,2,0)</f>
        <v>#N/A</v>
      </c>
    </row>
    <row r="3331" spans="24:27">
      <c r="X3331" s="8" t="str">
        <f>+IFERROR(VLOOKUP(N3331,[1]Hoja1!$B$2:$F$52,4,0)*P3331,"")</f>
        <v/>
      </c>
      <c r="Y3331" s="8" t="e">
        <f>+VLOOKUP(M3331,[1]SKU!$B$3:$E$81,4,0)</f>
        <v>#N/A</v>
      </c>
      <c r="Z3331" s="8" t="str">
        <f t="shared" ref="Z3331:Z3394" si="52">+IF(J3331="VB01                          ","BEES","FLEX")</f>
        <v>FLEX</v>
      </c>
      <c r="AA3331" s="8" t="e">
        <f>+VLOOKUP(I3331,[1]SKU!$H$2:$I$97,2,0)</f>
        <v>#N/A</v>
      </c>
    </row>
    <row r="3332" spans="24:27">
      <c r="X3332" s="8" t="str">
        <f>+IFERROR(VLOOKUP(N3332,[1]Hoja1!$B$2:$F$52,4,0)*P3332,"")</f>
        <v/>
      </c>
      <c r="Y3332" s="8" t="e">
        <f>+VLOOKUP(M3332,[1]SKU!$B$3:$E$81,4,0)</f>
        <v>#N/A</v>
      </c>
      <c r="Z3332" s="8" t="str">
        <f t="shared" si="52"/>
        <v>FLEX</v>
      </c>
      <c r="AA3332" s="8" t="e">
        <f>+VLOOKUP(I3332,[1]SKU!$H$2:$I$97,2,0)</f>
        <v>#N/A</v>
      </c>
    </row>
    <row r="3333" spans="24:27">
      <c r="X3333" s="8" t="str">
        <f>+IFERROR(VLOOKUP(N3333,[1]Hoja1!$B$2:$F$52,4,0)*P3333,"")</f>
        <v/>
      </c>
      <c r="Y3333" s="8" t="e">
        <f>+VLOOKUP(M3333,[1]SKU!$B$3:$E$81,4,0)</f>
        <v>#N/A</v>
      </c>
      <c r="Z3333" s="8" t="str">
        <f t="shared" si="52"/>
        <v>FLEX</v>
      </c>
      <c r="AA3333" s="8" t="e">
        <f>+VLOOKUP(I3333,[1]SKU!$H$2:$I$97,2,0)</f>
        <v>#N/A</v>
      </c>
    </row>
    <row r="3334" spans="24:27">
      <c r="X3334" s="8" t="str">
        <f>+IFERROR(VLOOKUP(N3334,[1]Hoja1!$B$2:$F$52,4,0)*P3334,"")</f>
        <v/>
      </c>
      <c r="Y3334" s="8" t="e">
        <f>+VLOOKUP(M3334,[1]SKU!$B$3:$E$81,4,0)</f>
        <v>#N/A</v>
      </c>
      <c r="Z3334" s="8" t="str">
        <f t="shared" si="52"/>
        <v>FLEX</v>
      </c>
      <c r="AA3334" s="8" t="e">
        <f>+VLOOKUP(I3334,[1]SKU!$H$2:$I$97,2,0)</f>
        <v>#N/A</v>
      </c>
    </row>
    <row r="3335" spans="24:27">
      <c r="X3335" s="8" t="str">
        <f>+IFERROR(VLOOKUP(N3335,[1]Hoja1!$B$2:$F$52,4,0)*P3335,"")</f>
        <v/>
      </c>
      <c r="Y3335" s="8" t="e">
        <f>+VLOOKUP(M3335,[1]SKU!$B$3:$E$81,4,0)</f>
        <v>#N/A</v>
      </c>
      <c r="Z3335" s="8" t="str">
        <f t="shared" si="52"/>
        <v>FLEX</v>
      </c>
      <c r="AA3335" s="8" t="e">
        <f>+VLOOKUP(I3335,[1]SKU!$H$2:$I$97,2,0)</f>
        <v>#N/A</v>
      </c>
    </row>
    <row r="3336" spans="24:27">
      <c r="X3336" s="8" t="str">
        <f>+IFERROR(VLOOKUP(N3336,[1]Hoja1!$B$2:$F$52,4,0)*P3336,"")</f>
        <v/>
      </c>
      <c r="Y3336" s="8" t="e">
        <f>+VLOOKUP(M3336,[1]SKU!$B$3:$E$81,4,0)</f>
        <v>#N/A</v>
      </c>
      <c r="Z3336" s="8" t="str">
        <f t="shared" si="52"/>
        <v>FLEX</v>
      </c>
      <c r="AA3336" s="8" t="e">
        <f>+VLOOKUP(I3336,[1]SKU!$H$2:$I$97,2,0)</f>
        <v>#N/A</v>
      </c>
    </row>
    <row r="3337" spans="24:27">
      <c r="X3337" s="8" t="str">
        <f>+IFERROR(VLOOKUP(N3337,[1]Hoja1!$B$2:$F$52,4,0)*P3337,"")</f>
        <v/>
      </c>
      <c r="Y3337" s="8" t="e">
        <f>+VLOOKUP(M3337,[1]SKU!$B$3:$E$81,4,0)</f>
        <v>#N/A</v>
      </c>
      <c r="Z3337" s="8" t="str">
        <f t="shared" si="52"/>
        <v>FLEX</v>
      </c>
      <c r="AA3337" s="8" t="e">
        <f>+VLOOKUP(I3337,[1]SKU!$H$2:$I$97,2,0)</f>
        <v>#N/A</v>
      </c>
    </row>
    <row r="3338" spans="24:27">
      <c r="X3338" s="8" t="str">
        <f>+IFERROR(VLOOKUP(N3338,[1]Hoja1!$B$2:$F$52,4,0)*P3338,"")</f>
        <v/>
      </c>
      <c r="Y3338" s="8" t="e">
        <f>+VLOOKUP(M3338,[1]SKU!$B$3:$E$81,4,0)</f>
        <v>#N/A</v>
      </c>
      <c r="Z3338" s="8" t="str">
        <f t="shared" si="52"/>
        <v>FLEX</v>
      </c>
      <c r="AA3338" s="8" t="e">
        <f>+VLOOKUP(I3338,[1]SKU!$H$2:$I$97,2,0)</f>
        <v>#N/A</v>
      </c>
    </row>
    <row r="3339" spans="24:27">
      <c r="X3339" s="8" t="str">
        <f>+IFERROR(VLOOKUP(N3339,[1]Hoja1!$B$2:$F$52,4,0)*P3339,"")</f>
        <v/>
      </c>
      <c r="Y3339" s="8" t="e">
        <f>+VLOOKUP(M3339,[1]SKU!$B$3:$E$81,4,0)</f>
        <v>#N/A</v>
      </c>
      <c r="Z3339" s="8" t="str">
        <f t="shared" si="52"/>
        <v>FLEX</v>
      </c>
      <c r="AA3339" s="8" t="e">
        <f>+VLOOKUP(I3339,[1]SKU!$H$2:$I$97,2,0)</f>
        <v>#N/A</v>
      </c>
    </row>
    <row r="3340" spans="24:27">
      <c r="X3340" s="8" t="str">
        <f>+IFERROR(VLOOKUP(N3340,[1]Hoja1!$B$2:$F$52,4,0)*P3340,"")</f>
        <v/>
      </c>
      <c r="Y3340" s="8" t="e">
        <f>+VLOOKUP(M3340,[1]SKU!$B$3:$E$81,4,0)</f>
        <v>#N/A</v>
      </c>
      <c r="Z3340" s="8" t="str">
        <f t="shared" si="52"/>
        <v>FLEX</v>
      </c>
      <c r="AA3340" s="8" t="e">
        <f>+VLOOKUP(I3340,[1]SKU!$H$2:$I$97,2,0)</f>
        <v>#N/A</v>
      </c>
    </row>
    <row r="3341" spans="24:27">
      <c r="X3341" s="8" t="str">
        <f>+IFERROR(VLOOKUP(N3341,[1]Hoja1!$B$2:$F$52,4,0)*P3341,"")</f>
        <v/>
      </c>
      <c r="Y3341" s="8" t="e">
        <f>+VLOOKUP(M3341,[1]SKU!$B$3:$E$81,4,0)</f>
        <v>#N/A</v>
      </c>
      <c r="Z3341" s="8" t="str">
        <f t="shared" si="52"/>
        <v>FLEX</v>
      </c>
      <c r="AA3341" s="8" t="e">
        <f>+VLOOKUP(I3341,[1]SKU!$H$2:$I$97,2,0)</f>
        <v>#N/A</v>
      </c>
    </row>
    <row r="3342" spans="24:27">
      <c r="X3342" s="8" t="str">
        <f>+IFERROR(VLOOKUP(N3342,[1]Hoja1!$B$2:$F$52,4,0)*P3342,"")</f>
        <v/>
      </c>
      <c r="Y3342" s="8" t="e">
        <f>+VLOOKUP(M3342,[1]SKU!$B$3:$E$81,4,0)</f>
        <v>#N/A</v>
      </c>
      <c r="Z3342" s="8" t="str">
        <f t="shared" si="52"/>
        <v>FLEX</v>
      </c>
      <c r="AA3342" s="8" t="e">
        <f>+VLOOKUP(I3342,[1]SKU!$H$2:$I$97,2,0)</f>
        <v>#N/A</v>
      </c>
    </row>
    <row r="3343" spans="24:27">
      <c r="X3343" s="8" t="str">
        <f>+IFERROR(VLOOKUP(N3343,[1]Hoja1!$B$2:$F$52,4,0)*P3343,"")</f>
        <v/>
      </c>
      <c r="Y3343" s="8" t="e">
        <f>+VLOOKUP(M3343,[1]SKU!$B$3:$E$81,4,0)</f>
        <v>#N/A</v>
      </c>
      <c r="Z3343" s="8" t="str">
        <f t="shared" si="52"/>
        <v>FLEX</v>
      </c>
      <c r="AA3343" s="8" t="e">
        <f>+VLOOKUP(I3343,[1]SKU!$H$2:$I$97,2,0)</f>
        <v>#N/A</v>
      </c>
    </row>
    <row r="3344" spans="24:27">
      <c r="X3344" s="8" t="str">
        <f>+IFERROR(VLOOKUP(N3344,[1]Hoja1!$B$2:$F$52,4,0)*P3344,"")</f>
        <v/>
      </c>
      <c r="Y3344" s="8" t="e">
        <f>+VLOOKUP(M3344,[1]SKU!$B$3:$E$81,4,0)</f>
        <v>#N/A</v>
      </c>
      <c r="Z3344" s="8" t="str">
        <f t="shared" si="52"/>
        <v>FLEX</v>
      </c>
      <c r="AA3344" s="8" t="e">
        <f>+VLOOKUP(I3344,[1]SKU!$H$2:$I$97,2,0)</f>
        <v>#N/A</v>
      </c>
    </row>
    <row r="3345" spans="24:27">
      <c r="X3345" s="8" t="str">
        <f>+IFERROR(VLOOKUP(N3345,[1]Hoja1!$B$2:$F$52,4,0)*P3345,"")</f>
        <v/>
      </c>
      <c r="Y3345" s="8" t="e">
        <f>+VLOOKUP(M3345,[1]SKU!$B$3:$E$81,4,0)</f>
        <v>#N/A</v>
      </c>
      <c r="Z3345" s="8" t="str">
        <f t="shared" si="52"/>
        <v>FLEX</v>
      </c>
      <c r="AA3345" s="8" t="e">
        <f>+VLOOKUP(I3345,[1]SKU!$H$2:$I$97,2,0)</f>
        <v>#N/A</v>
      </c>
    </row>
    <row r="3346" spans="24:27">
      <c r="X3346" s="8" t="str">
        <f>+IFERROR(VLOOKUP(N3346,[1]Hoja1!$B$2:$F$52,4,0)*P3346,"")</f>
        <v/>
      </c>
      <c r="Y3346" s="8" t="e">
        <f>+VLOOKUP(M3346,[1]SKU!$B$3:$E$81,4,0)</f>
        <v>#N/A</v>
      </c>
      <c r="Z3346" s="8" t="str">
        <f t="shared" si="52"/>
        <v>FLEX</v>
      </c>
      <c r="AA3346" s="8" t="e">
        <f>+VLOOKUP(I3346,[1]SKU!$H$2:$I$97,2,0)</f>
        <v>#N/A</v>
      </c>
    </row>
    <row r="3347" spans="24:27">
      <c r="X3347" s="8" t="str">
        <f>+IFERROR(VLOOKUP(N3347,[1]Hoja1!$B$2:$F$52,4,0)*P3347,"")</f>
        <v/>
      </c>
      <c r="Y3347" s="8" t="e">
        <f>+VLOOKUP(M3347,[1]SKU!$B$3:$E$81,4,0)</f>
        <v>#N/A</v>
      </c>
      <c r="Z3347" s="8" t="str">
        <f t="shared" si="52"/>
        <v>FLEX</v>
      </c>
      <c r="AA3347" s="8" t="e">
        <f>+VLOOKUP(I3347,[1]SKU!$H$2:$I$97,2,0)</f>
        <v>#N/A</v>
      </c>
    </row>
    <row r="3348" spans="24:27">
      <c r="X3348" s="8" t="str">
        <f>+IFERROR(VLOOKUP(N3348,[1]Hoja1!$B$2:$F$52,4,0)*P3348,"")</f>
        <v/>
      </c>
      <c r="Y3348" s="8" t="e">
        <f>+VLOOKUP(M3348,[1]SKU!$B$3:$E$81,4,0)</f>
        <v>#N/A</v>
      </c>
      <c r="Z3348" s="8" t="str">
        <f t="shared" si="52"/>
        <v>FLEX</v>
      </c>
      <c r="AA3348" s="8" t="e">
        <f>+VLOOKUP(I3348,[1]SKU!$H$2:$I$97,2,0)</f>
        <v>#N/A</v>
      </c>
    </row>
    <row r="3349" spans="24:27">
      <c r="X3349" s="8" t="str">
        <f>+IFERROR(VLOOKUP(N3349,[1]Hoja1!$B$2:$F$52,4,0)*P3349,"")</f>
        <v/>
      </c>
      <c r="Y3349" s="8" t="e">
        <f>+VLOOKUP(M3349,[1]SKU!$B$3:$E$81,4,0)</f>
        <v>#N/A</v>
      </c>
      <c r="Z3349" s="8" t="str">
        <f t="shared" si="52"/>
        <v>FLEX</v>
      </c>
      <c r="AA3349" s="8" t="e">
        <f>+VLOOKUP(I3349,[1]SKU!$H$2:$I$97,2,0)</f>
        <v>#N/A</v>
      </c>
    </row>
    <row r="3350" spans="24:27">
      <c r="X3350" s="8" t="str">
        <f>+IFERROR(VLOOKUP(N3350,[1]Hoja1!$B$2:$F$52,4,0)*P3350,"")</f>
        <v/>
      </c>
      <c r="Y3350" s="8" t="e">
        <f>+VLOOKUP(M3350,[1]SKU!$B$3:$E$81,4,0)</f>
        <v>#N/A</v>
      </c>
      <c r="Z3350" s="8" t="str">
        <f t="shared" si="52"/>
        <v>FLEX</v>
      </c>
      <c r="AA3350" s="8" t="e">
        <f>+VLOOKUP(I3350,[1]SKU!$H$2:$I$97,2,0)</f>
        <v>#N/A</v>
      </c>
    </row>
    <row r="3351" spans="24:27">
      <c r="X3351" s="8" t="str">
        <f>+IFERROR(VLOOKUP(N3351,[1]Hoja1!$B$2:$F$52,4,0)*P3351,"")</f>
        <v/>
      </c>
      <c r="Y3351" s="8" t="e">
        <f>+VLOOKUP(M3351,[1]SKU!$B$3:$E$81,4,0)</f>
        <v>#N/A</v>
      </c>
      <c r="Z3351" s="8" t="str">
        <f t="shared" si="52"/>
        <v>FLEX</v>
      </c>
      <c r="AA3351" s="8" t="e">
        <f>+VLOOKUP(I3351,[1]SKU!$H$2:$I$97,2,0)</f>
        <v>#N/A</v>
      </c>
    </row>
    <row r="3352" spans="24:27">
      <c r="X3352" s="8" t="str">
        <f>+IFERROR(VLOOKUP(N3352,[1]Hoja1!$B$2:$F$52,4,0)*P3352,"")</f>
        <v/>
      </c>
      <c r="Y3352" s="8" t="e">
        <f>+VLOOKUP(M3352,[1]SKU!$B$3:$E$81,4,0)</f>
        <v>#N/A</v>
      </c>
      <c r="Z3352" s="8" t="str">
        <f t="shared" si="52"/>
        <v>FLEX</v>
      </c>
      <c r="AA3352" s="8" t="e">
        <f>+VLOOKUP(I3352,[1]SKU!$H$2:$I$97,2,0)</f>
        <v>#N/A</v>
      </c>
    </row>
    <row r="3353" spans="24:27">
      <c r="X3353" s="8" t="str">
        <f>+IFERROR(VLOOKUP(N3353,[1]Hoja1!$B$2:$F$52,4,0)*P3353,"")</f>
        <v/>
      </c>
      <c r="Y3353" s="8" t="e">
        <f>+VLOOKUP(M3353,[1]SKU!$B$3:$E$81,4,0)</f>
        <v>#N/A</v>
      </c>
      <c r="Z3353" s="8" t="str">
        <f t="shared" si="52"/>
        <v>FLEX</v>
      </c>
      <c r="AA3353" s="8" t="e">
        <f>+VLOOKUP(I3353,[1]SKU!$H$2:$I$97,2,0)</f>
        <v>#N/A</v>
      </c>
    </row>
    <row r="3354" spans="24:27">
      <c r="X3354" s="8" t="str">
        <f>+IFERROR(VLOOKUP(N3354,[1]Hoja1!$B$2:$F$52,4,0)*P3354,"")</f>
        <v/>
      </c>
      <c r="Y3354" s="8" t="e">
        <f>+VLOOKUP(M3354,[1]SKU!$B$3:$E$81,4,0)</f>
        <v>#N/A</v>
      </c>
      <c r="Z3354" s="8" t="str">
        <f t="shared" si="52"/>
        <v>FLEX</v>
      </c>
      <c r="AA3354" s="8" t="e">
        <f>+VLOOKUP(I3354,[1]SKU!$H$2:$I$97,2,0)</f>
        <v>#N/A</v>
      </c>
    </row>
    <row r="3355" spans="24:27">
      <c r="X3355" s="8" t="str">
        <f>+IFERROR(VLOOKUP(N3355,[1]Hoja1!$B$2:$F$52,4,0)*P3355,"")</f>
        <v/>
      </c>
      <c r="Y3355" s="8" t="e">
        <f>+VLOOKUP(M3355,[1]SKU!$B$3:$E$81,4,0)</f>
        <v>#N/A</v>
      </c>
      <c r="Z3355" s="8" t="str">
        <f t="shared" si="52"/>
        <v>FLEX</v>
      </c>
      <c r="AA3355" s="8" t="e">
        <f>+VLOOKUP(I3355,[1]SKU!$H$2:$I$97,2,0)</f>
        <v>#N/A</v>
      </c>
    </row>
    <row r="3356" spans="24:27">
      <c r="X3356" s="8" t="str">
        <f>+IFERROR(VLOOKUP(N3356,[1]Hoja1!$B$2:$F$52,4,0)*P3356,"")</f>
        <v/>
      </c>
      <c r="Y3356" s="8" t="e">
        <f>+VLOOKUP(M3356,[1]SKU!$B$3:$E$81,4,0)</f>
        <v>#N/A</v>
      </c>
      <c r="Z3356" s="8" t="str">
        <f t="shared" si="52"/>
        <v>FLEX</v>
      </c>
      <c r="AA3356" s="8" t="e">
        <f>+VLOOKUP(I3356,[1]SKU!$H$2:$I$97,2,0)</f>
        <v>#N/A</v>
      </c>
    </row>
    <row r="3357" spans="24:27">
      <c r="X3357" s="8" t="str">
        <f>+IFERROR(VLOOKUP(N3357,[1]Hoja1!$B$2:$F$52,4,0)*P3357,"")</f>
        <v/>
      </c>
      <c r="Y3357" s="8" t="e">
        <f>+VLOOKUP(M3357,[1]SKU!$B$3:$E$81,4,0)</f>
        <v>#N/A</v>
      </c>
      <c r="Z3357" s="8" t="str">
        <f t="shared" si="52"/>
        <v>FLEX</v>
      </c>
      <c r="AA3357" s="8" t="e">
        <f>+VLOOKUP(I3357,[1]SKU!$H$2:$I$97,2,0)</f>
        <v>#N/A</v>
      </c>
    </row>
    <row r="3358" spans="24:27">
      <c r="X3358" s="8" t="str">
        <f>+IFERROR(VLOOKUP(N3358,[1]Hoja1!$B$2:$F$52,4,0)*P3358,"")</f>
        <v/>
      </c>
      <c r="Y3358" s="8" t="e">
        <f>+VLOOKUP(M3358,[1]SKU!$B$3:$E$81,4,0)</f>
        <v>#N/A</v>
      </c>
      <c r="Z3358" s="8" t="str">
        <f t="shared" si="52"/>
        <v>FLEX</v>
      </c>
      <c r="AA3358" s="8" t="e">
        <f>+VLOOKUP(I3358,[1]SKU!$H$2:$I$97,2,0)</f>
        <v>#N/A</v>
      </c>
    </row>
    <row r="3359" spans="24:27">
      <c r="X3359" s="8" t="str">
        <f>+IFERROR(VLOOKUP(N3359,[1]Hoja1!$B$2:$F$52,4,0)*P3359,"")</f>
        <v/>
      </c>
      <c r="Y3359" s="8" t="e">
        <f>+VLOOKUP(M3359,[1]SKU!$B$3:$E$81,4,0)</f>
        <v>#N/A</v>
      </c>
      <c r="Z3359" s="8" t="str">
        <f t="shared" si="52"/>
        <v>FLEX</v>
      </c>
      <c r="AA3359" s="8" t="e">
        <f>+VLOOKUP(I3359,[1]SKU!$H$2:$I$97,2,0)</f>
        <v>#N/A</v>
      </c>
    </row>
    <row r="3360" spans="24:27">
      <c r="X3360" s="8" t="str">
        <f>+IFERROR(VLOOKUP(N3360,[1]Hoja1!$B$2:$F$52,4,0)*P3360,"")</f>
        <v/>
      </c>
      <c r="Y3360" s="8" t="e">
        <f>+VLOOKUP(M3360,[1]SKU!$B$3:$E$81,4,0)</f>
        <v>#N/A</v>
      </c>
      <c r="Z3360" s="8" t="str">
        <f t="shared" si="52"/>
        <v>FLEX</v>
      </c>
      <c r="AA3360" s="8" t="e">
        <f>+VLOOKUP(I3360,[1]SKU!$H$2:$I$97,2,0)</f>
        <v>#N/A</v>
      </c>
    </row>
    <row r="3361" spans="24:27">
      <c r="X3361" s="8" t="str">
        <f>+IFERROR(VLOOKUP(N3361,[1]Hoja1!$B$2:$F$52,4,0)*P3361,"")</f>
        <v/>
      </c>
      <c r="Y3361" s="8" t="e">
        <f>+VLOOKUP(M3361,[1]SKU!$B$3:$E$81,4,0)</f>
        <v>#N/A</v>
      </c>
      <c r="Z3361" s="8" t="str">
        <f t="shared" si="52"/>
        <v>FLEX</v>
      </c>
      <c r="AA3361" s="8" t="e">
        <f>+VLOOKUP(I3361,[1]SKU!$H$2:$I$97,2,0)</f>
        <v>#N/A</v>
      </c>
    </row>
    <row r="3362" spans="24:27">
      <c r="X3362" s="8" t="str">
        <f>+IFERROR(VLOOKUP(N3362,[1]Hoja1!$B$2:$F$52,4,0)*P3362,"")</f>
        <v/>
      </c>
      <c r="Y3362" s="8" t="e">
        <f>+VLOOKUP(M3362,[1]SKU!$B$3:$E$81,4,0)</f>
        <v>#N/A</v>
      </c>
      <c r="Z3362" s="8" t="str">
        <f t="shared" si="52"/>
        <v>FLEX</v>
      </c>
      <c r="AA3362" s="8" t="e">
        <f>+VLOOKUP(I3362,[1]SKU!$H$2:$I$97,2,0)</f>
        <v>#N/A</v>
      </c>
    </row>
    <row r="3363" spans="24:27">
      <c r="X3363" s="8" t="str">
        <f>+IFERROR(VLOOKUP(N3363,[1]Hoja1!$B$2:$F$52,4,0)*P3363,"")</f>
        <v/>
      </c>
      <c r="Y3363" s="8" t="e">
        <f>+VLOOKUP(M3363,[1]SKU!$B$3:$E$81,4,0)</f>
        <v>#N/A</v>
      </c>
      <c r="Z3363" s="8" t="str">
        <f t="shared" si="52"/>
        <v>FLEX</v>
      </c>
      <c r="AA3363" s="8" t="e">
        <f>+VLOOKUP(I3363,[1]SKU!$H$2:$I$97,2,0)</f>
        <v>#N/A</v>
      </c>
    </row>
    <row r="3364" spans="24:27">
      <c r="X3364" s="8" t="str">
        <f>+IFERROR(VLOOKUP(N3364,[1]Hoja1!$B$2:$F$52,4,0)*P3364,"")</f>
        <v/>
      </c>
      <c r="Y3364" s="8" t="e">
        <f>+VLOOKUP(M3364,[1]SKU!$B$3:$E$81,4,0)</f>
        <v>#N/A</v>
      </c>
      <c r="Z3364" s="8" t="str">
        <f t="shared" si="52"/>
        <v>FLEX</v>
      </c>
      <c r="AA3364" s="8" t="e">
        <f>+VLOOKUP(I3364,[1]SKU!$H$2:$I$97,2,0)</f>
        <v>#N/A</v>
      </c>
    </row>
    <row r="3365" spans="24:27">
      <c r="X3365" s="8" t="str">
        <f>+IFERROR(VLOOKUP(N3365,[1]Hoja1!$B$2:$F$52,4,0)*P3365,"")</f>
        <v/>
      </c>
      <c r="Y3365" s="8" t="e">
        <f>+VLOOKUP(M3365,[1]SKU!$B$3:$E$81,4,0)</f>
        <v>#N/A</v>
      </c>
      <c r="Z3365" s="8" t="str">
        <f t="shared" si="52"/>
        <v>FLEX</v>
      </c>
      <c r="AA3365" s="8" t="e">
        <f>+VLOOKUP(I3365,[1]SKU!$H$2:$I$97,2,0)</f>
        <v>#N/A</v>
      </c>
    </row>
    <row r="3366" spans="24:27">
      <c r="X3366" s="8" t="str">
        <f>+IFERROR(VLOOKUP(N3366,[1]Hoja1!$B$2:$F$52,4,0)*P3366,"")</f>
        <v/>
      </c>
      <c r="Y3366" s="8" t="e">
        <f>+VLOOKUP(M3366,[1]SKU!$B$3:$E$81,4,0)</f>
        <v>#N/A</v>
      </c>
      <c r="Z3366" s="8" t="str">
        <f t="shared" si="52"/>
        <v>FLEX</v>
      </c>
      <c r="AA3366" s="8" t="e">
        <f>+VLOOKUP(I3366,[1]SKU!$H$2:$I$97,2,0)</f>
        <v>#N/A</v>
      </c>
    </row>
    <row r="3367" spans="24:27">
      <c r="X3367" s="8" t="str">
        <f>+IFERROR(VLOOKUP(N3367,[1]Hoja1!$B$2:$F$52,4,0)*P3367,"")</f>
        <v/>
      </c>
      <c r="Y3367" s="8" t="e">
        <f>+VLOOKUP(M3367,[1]SKU!$B$3:$E$81,4,0)</f>
        <v>#N/A</v>
      </c>
      <c r="Z3367" s="8" t="str">
        <f t="shared" si="52"/>
        <v>FLEX</v>
      </c>
      <c r="AA3367" s="8" t="e">
        <f>+VLOOKUP(I3367,[1]SKU!$H$2:$I$97,2,0)</f>
        <v>#N/A</v>
      </c>
    </row>
    <row r="3368" spans="24:27">
      <c r="X3368" s="8" t="str">
        <f>+IFERROR(VLOOKUP(N3368,[1]Hoja1!$B$2:$F$52,4,0)*P3368,"")</f>
        <v/>
      </c>
      <c r="Y3368" s="8" t="e">
        <f>+VLOOKUP(M3368,[1]SKU!$B$3:$E$81,4,0)</f>
        <v>#N/A</v>
      </c>
      <c r="Z3368" s="8" t="str">
        <f t="shared" si="52"/>
        <v>FLEX</v>
      </c>
      <c r="AA3368" s="8" t="e">
        <f>+VLOOKUP(I3368,[1]SKU!$H$2:$I$97,2,0)</f>
        <v>#N/A</v>
      </c>
    </row>
    <row r="3369" spans="24:27">
      <c r="X3369" s="8" t="str">
        <f>+IFERROR(VLOOKUP(N3369,[1]Hoja1!$B$2:$F$52,4,0)*P3369,"")</f>
        <v/>
      </c>
      <c r="Y3369" s="8" t="e">
        <f>+VLOOKUP(M3369,[1]SKU!$B$3:$E$81,4,0)</f>
        <v>#N/A</v>
      </c>
      <c r="Z3369" s="8" t="str">
        <f t="shared" si="52"/>
        <v>FLEX</v>
      </c>
      <c r="AA3369" s="8" t="e">
        <f>+VLOOKUP(I3369,[1]SKU!$H$2:$I$97,2,0)</f>
        <v>#N/A</v>
      </c>
    </row>
    <row r="3370" spans="24:27">
      <c r="X3370" s="8" t="str">
        <f>+IFERROR(VLOOKUP(N3370,[1]Hoja1!$B$2:$F$52,4,0)*P3370,"")</f>
        <v/>
      </c>
      <c r="Y3370" s="8" t="e">
        <f>+VLOOKUP(M3370,[1]SKU!$B$3:$E$81,4,0)</f>
        <v>#N/A</v>
      </c>
      <c r="Z3370" s="8" t="str">
        <f t="shared" si="52"/>
        <v>FLEX</v>
      </c>
      <c r="AA3370" s="8" t="e">
        <f>+VLOOKUP(I3370,[1]SKU!$H$2:$I$97,2,0)</f>
        <v>#N/A</v>
      </c>
    </row>
    <row r="3371" spans="24:27">
      <c r="X3371" s="8" t="str">
        <f>+IFERROR(VLOOKUP(N3371,[1]Hoja1!$B$2:$F$52,4,0)*P3371,"")</f>
        <v/>
      </c>
      <c r="Y3371" s="8" t="e">
        <f>+VLOOKUP(M3371,[1]SKU!$B$3:$E$81,4,0)</f>
        <v>#N/A</v>
      </c>
      <c r="Z3371" s="8" t="str">
        <f t="shared" si="52"/>
        <v>FLEX</v>
      </c>
      <c r="AA3371" s="8" t="e">
        <f>+VLOOKUP(I3371,[1]SKU!$H$2:$I$97,2,0)</f>
        <v>#N/A</v>
      </c>
    </row>
    <row r="3372" spans="24:27">
      <c r="X3372" s="8" t="str">
        <f>+IFERROR(VLOOKUP(N3372,[1]Hoja1!$B$2:$F$52,4,0)*P3372,"")</f>
        <v/>
      </c>
      <c r="Y3372" s="8" t="e">
        <f>+VLOOKUP(M3372,[1]SKU!$B$3:$E$81,4,0)</f>
        <v>#N/A</v>
      </c>
      <c r="Z3372" s="8" t="str">
        <f t="shared" si="52"/>
        <v>FLEX</v>
      </c>
      <c r="AA3372" s="8" t="e">
        <f>+VLOOKUP(I3372,[1]SKU!$H$2:$I$97,2,0)</f>
        <v>#N/A</v>
      </c>
    </row>
    <row r="3373" spans="24:27">
      <c r="X3373" s="8" t="str">
        <f>+IFERROR(VLOOKUP(N3373,[1]Hoja1!$B$2:$F$52,4,0)*P3373,"")</f>
        <v/>
      </c>
      <c r="Y3373" s="8" t="e">
        <f>+VLOOKUP(M3373,[1]SKU!$B$3:$E$81,4,0)</f>
        <v>#N/A</v>
      </c>
      <c r="Z3373" s="8" t="str">
        <f t="shared" si="52"/>
        <v>FLEX</v>
      </c>
      <c r="AA3373" s="8" t="e">
        <f>+VLOOKUP(I3373,[1]SKU!$H$2:$I$97,2,0)</f>
        <v>#N/A</v>
      </c>
    </row>
    <row r="3374" spans="24:27">
      <c r="X3374" s="8" t="str">
        <f>+IFERROR(VLOOKUP(N3374,[1]Hoja1!$B$2:$F$52,4,0)*P3374,"")</f>
        <v/>
      </c>
      <c r="Y3374" s="8" t="e">
        <f>+VLOOKUP(M3374,[1]SKU!$B$3:$E$81,4,0)</f>
        <v>#N/A</v>
      </c>
      <c r="Z3374" s="8" t="str">
        <f t="shared" si="52"/>
        <v>FLEX</v>
      </c>
      <c r="AA3374" s="8" t="e">
        <f>+VLOOKUP(I3374,[1]SKU!$H$2:$I$97,2,0)</f>
        <v>#N/A</v>
      </c>
    </row>
    <row r="3375" spans="24:27">
      <c r="X3375" s="8" t="str">
        <f>+IFERROR(VLOOKUP(N3375,[1]Hoja1!$B$2:$F$52,4,0)*P3375,"")</f>
        <v/>
      </c>
      <c r="Y3375" s="8" t="e">
        <f>+VLOOKUP(M3375,[1]SKU!$B$3:$E$81,4,0)</f>
        <v>#N/A</v>
      </c>
      <c r="Z3375" s="8" t="str">
        <f t="shared" si="52"/>
        <v>FLEX</v>
      </c>
      <c r="AA3375" s="8" t="e">
        <f>+VLOOKUP(I3375,[1]SKU!$H$2:$I$97,2,0)</f>
        <v>#N/A</v>
      </c>
    </row>
    <row r="3376" spans="24:27">
      <c r="X3376" s="8" t="str">
        <f>+IFERROR(VLOOKUP(N3376,[1]Hoja1!$B$2:$F$52,4,0)*P3376,"")</f>
        <v/>
      </c>
      <c r="Y3376" s="8" t="e">
        <f>+VLOOKUP(M3376,[1]SKU!$B$3:$E$81,4,0)</f>
        <v>#N/A</v>
      </c>
      <c r="Z3376" s="8" t="str">
        <f t="shared" si="52"/>
        <v>FLEX</v>
      </c>
      <c r="AA3376" s="8" t="e">
        <f>+VLOOKUP(I3376,[1]SKU!$H$2:$I$97,2,0)</f>
        <v>#N/A</v>
      </c>
    </row>
    <row r="3377" spans="24:27">
      <c r="X3377" s="8" t="str">
        <f>+IFERROR(VLOOKUP(N3377,[1]Hoja1!$B$2:$F$52,4,0)*P3377,"")</f>
        <v/>
      </c>
      <c r="Y3377" s="8" t="e">
        <f>+VLOOKUP(M3377,[1]SKU!$B$3:$E$81,4,0)</f>
        <v>#N/A</v>
      </c>
      <c r="Z3377" s="8" t="str">
        <f t="shared" si="52"/>
        <v>FLEX</v>
      </c>
      <c r="AA3377" s="8" t="e">
        <f>+VLOOKUP(I3377,[1]SKU!$H$2:$I$97,2,0)</f>
        <v>#N/A</v>
      </c>
    </row>
    <row r="3378" spans="24:27">
      <c r="X3378" s="8" t="str">
        <f>+IFERROR(VLOOKUP(N3378,[1]Hoja1!$B$2:$F$52,4,0)*P3378,"")</f>
        <v/>
      </c>
      <c r="Y3378" s="8" t="e">
        <f>+VLOOKUP(M3378,[1]SKU!$B$3:$E$81,4,0)</f>
        <v>#N/A</v>
      </c>
      <c r="Z3378" s="8" t="str">
        <f t="shared" si="52"/>
        <v>FLEX</v>
      </c>
      <c r="AA3378" s="8" t="e">
        <f>+VLOOKUP(I3378,[1]SKU!$H$2:$I$97,2,0)</f>
        <v>#N/A</v>
      </c>
    </row>
    <row r="3379" spans="24:27">
      <c r="X3379" s="8" t="str">
        <f>+IFERROR(VLOOKUP(N3379,[1]Hoja1!$B$2:$F$52,4,0)*P3379,"")</f>
        <v/>
      </c>
      <c r="Y3379" s="8" t="e">
        <f>+VLOOKUP(M3379,[1]SKU!$B$3:$E$81,4,0)</f>
        <v>#N/A</v>
      </c>
      <c r="Z3379" s="8" t="str">
        <f t="shared" si="52"/>
        <v>FLEX</v>
      </c>
      <c r="AA3379" s="8" t="e">
        <f>+VLOOKUP(I3379,[1]SKU!$H$2:$I$97,2,0)</f>
        <v>#N/A</v>
      </c>
    </row>
    <row r="3380" spans="24:27">
      <c r="X3380" s="8" t="str">
        <f>+IFERROR(VLOOKUP(N3380,[1]Hoja1!$B$2:$F$52,4,0)*P3380,"")</f>
        <v/>
      </c>
      <c r="Y3380" s="8" t="e">
        <f>+VLOOKUP(M3380,[1]SKU!$B$3:$E$81,4,0)</f>
        <v>#N/A</v>
      </c>
      <c r="Z3380" s="8" t="str">
        <f t="shared" si="52"/>
        <v>FLEX</v>
      </c>
      <c r="AA3380" s="8" t="e">
        <f>+VLOOKUP(I3380,[1]SKU!$H$2:$I$97,2,0)</f>
        <v>#N/A</v>
      </c>
    </row>
    <row r="3381" spans="24:27">
      <c r="X3381" s="8" t="str">
        <f>+IFERROR(VLOOKUP(N3381,[1]Hoja1!$B$2:$F$52,4,0)*P3381,"")</f>
        <v/>
      </c>
      <c r="Y3381" s="8" t="e">
        <f>+VLOOKUP(M3381,[1]SKU!$B$3:$E$81,4,0)</f>
        <v>#N/A</v>
      </c>
      <c r="Z3381" s="8" t="str">
        <f t="shared" si="52"/>
        <v>FLEX</v>
      </c>
      <c r="AA3381" s="8" t="e">
        <f>+VLOOKUP(I3381,[1]SKU!$H$2:$I$97,2,0)</f>
        <v>#N/A</v>
      </c>
    </row>
    <row r="3382" spans="24:27">
      <c r="X3382" s="8" t="str">
        <f>+IFERROR(VLOOKUP(N3382,[1]Hoja1!$B$2:$F$52,4,0)*P3382,"")</f>
        <v/>
      </c>
      <c r="Y3382" s="8" t="e">
        <f>+VLOOKUP(M3382,[1]SKU!$B$3:$E$81,4,0)</f>
        <v>#N/A</v>
      </c>
      <c r="Z3382" s="8" t="str">
        <f t="shared" si="52"/>
        <v>FLEX</v>
      </c>
      <c r="AA3382" s="8" t="e">
        <f>+VLOOKUP(I3382,[1]SKU!$H$2:$I$97,2,0)</f>
        <v>#N/A</v>
      </c>
    </row>
    <row r="3383" spans="24:27">
      <c r="X3383" s="8" t="str">
        <f>+IFERROR(VLOOKUP(N3383,[1]Hoja1!$B$2:$F$52,4,0)*P3383,"")</f>
        <v/>
      </c>
      <c r="Y3383" s="8" t="e">
        <f>+VLOOKUP(M3383,[1]SKU!$B$3:$E$81,4,0)</f>
        <v>#N/A</v>
      </c>
      <c r="Z3383" s="8" t="str">
        <f t="shared" si="52"/>
        <v>FLEX</v>
      </c>
      <c r="AA3383" s="8" t="e">
        <f>+VLOOKUP(I3383,[1]SKU!$H$2:$I$97,2,0)</f>
        <v>#N/A</v>
      </c>
    </row>
    <row r="3384" spans="24:27">
      <c r="X3384" s="8" t="str">
        <f>+IFERROR(VLOOKUP(N3384,[1]Hoja1!$B$2:$F$52,4,0)*P3384,"")</f>
        <v/>
      </c>
      <c r="Y3384" s="8" t="e">
        <f>+VLOOKUP(M3384,[1]SKU!$B$3:$E$81,4,0)</f>
        <v>#N/A</v>
      </c>
      <c r="Z3384" s="8" t="str">
        <f t="shared" si="52"/>
        <v>FLEX</v>
      </c>
      <c r="AA3384" s="8" t="e">
        <f>+VLOOKUP(I3384,[1]SKU!$H$2:$I$97,2,0)</f>
        <v>#N/A</v>
      </c>
    </row>
    <row r="3385" spans="24:27">
      <c r="X3385" s="8" t="str">
        <f>+IFERROR(VLOOKUP(N3385,[1]Hoja1!$B$2:$F$52,4,0)*P3385,"")</f>
        <v/>
      </c>
      <c r="Y3385" s="8" t="e">
        <f>+VLOOKUP(M3385,[1]SKU!$B$3:$E$81,4,0)</f>
        <v>#N/A</v>
      </c>
      <c r="Z3385" s="8" t="str">
        <f t="shared" si="52"/>
        <v>FLEX</v>
      </c>
      <c r="AA3385" s="8" t="e">
        <f>+VLOOKUP(I3385,[1]SKU!$H$2:$I$97,2,0)</f>
        <v>#N/A</v>
      </c>
    </row>
    <row r="3386" spans="24:27">
      <c r="X3386" s="8" t="str">
        <f>+IFERROR(VLOOKUP(N3386,[1]Hoja1!$B$2:$F$52,4,0)*P3386,"")</f>
        <v/>
      </c>
      <c r="Y3386" s="8" t="e">
        <f>+VLOOKUP(M3386,[1]SKU!$B$3:$E$81,4,0)</f>
        <v>#N/A</v>
      </c>
      <c r="Z3386" s="8" t="str">
        <f t="shared" si="52"/>
        <v>FLEX</v>
      </c>
      <c r="AA3386" s="8" t="e">
        <f>+VLOOKUP(I3386,[1]SKU!$H$2:$I$97,2,0)</f>
        <v>#N/A</v>
      </c>
    </row>
    <row r="3387" spans="24:27">
      <c r="X3387" s="8" t="str">
        <f>+IFERROR(VLOOKUP(N3387,[1]Hoja1!$B$2:$F$52,4,0)*P3387,"")</f>
        <v/>
      </c>
      <c r="Y3387" s="8" t="e">
        <f>+VLOOKUP(M3387,[1]SKU!$B$3:$E$81,4,0)</f>
        <v>#N/A</v>
      </c>
      <c r="Z3387" s="8" t="str">
        <f t="shared" si="52"/>
        <v>FLEX</v>
      </c>
      <c r="AA3387" s="8" t="e">
        <f>+VLOOKUP(I3387,[1]SKU!$H$2:$I$97,2,0)</f>
        <v>#N/A</v>
      </c>
    </row>
    <row r="3388" spans="24:27">
      <c r="X3388" s="8" t="str">
        <f>+IFERROR(VLOOKUP(N3388,[1]Hoja1!$B$2:$F$52,4,0)*P3388,"")</f>
        <v/>
      </c>
      <c r="Y3388" s="8" t="e">
        <f>+VLOOKUP(M3388,[1]SKU!$B$3:$E$81,4,0)</f>
        <v>#N/A</v>
      </c>
      <c r="Z3388" s="8" t="str">
        <f t="shared" si="52"/>
        <v>FLEX</v>
      </c>
      <c r="AA3388" s="8" t="e">
        <f>+VLOOKUP(I3388,[1]SKU!$H$2:$I$97,2,0)</f>
        <v>#N/A</v>
      </c>
    </row>
    <row r="3389" spans="24:27">
      <c r="X3389" s="8" t="str">
        <f>+IFERROR(VLOOKUP(N3389,[1]Hoja1!$B$2:$F$52,4,0)*P3389,"")</f>
        <v/>
      </c>
      <c r="Y3389" s="8" t="e">
        <f>+VLOOKUP(M3389,[1]SKU!$B$3:$E$81,4,0)</f>
        <v>#N/A</v>
      </c>
      <c r="Z3389" s="8" t="str">
        <f t="shared" si="52"/>
        <v>FLEX</v>
      </c>
      <c r="AA3389" s="8" t="e">
        <f>+VLOOKUP(I3389,[1]SKU!$H$2:$I$97,2,0)</f>
        <v>#N/A</v>
      </c>
    </row>
    <row r="3390" spans="24:27">
      <c r="X3390" s="8" t="str">
        <f>+IFERROR(VLOOKUP(N3390,[1]Hoja1!$B$2:$F$52,4,0)*P3390,"")</f>
        <v/>
      </c>
      <c r="Y3390" s="8" t="e">
        <f>+VLOOKUP(M3390,[1]SKU!$B$3:$E$81,4,0)</f>
        <v>#N/A</v>
      </c>
      <c r="Z3390" s="8" t="str">
        <f t="shared" si="52"/>
        <v>FLEX</v>
      </c>
      <c r="AA3390" s="8" t="e">
        <f>+VLOOKUP(I3390,[1]SKU!$H$2:$I$97,2,0)</f>
        <v>#N/A</v>
      </c>
    </row>
    <row r="3391" spans="24:27">
      <c r="X3391" s="8" t="str">
        <f>+IFERROR(VLOOKUP(N3391,[1]Hoja1!$B$2:$F$52,4,0)*P3391,"")</f>
        <v/>
      </c>
      <c r="Y3391" s="8" t="e">
        <f>+VLOOKUP(M3391,[1]SKU!$B$3:$E$81,4,0)</f>
        <v>#N/A</v>
      </c>
      <c r="Z3391" s="8" t="str">
        <f t="shared" si="52"/>
        <v>FLEX</v>
      </c>
      <c r="AA3391" s="8" t="e">
        <f>+VLOOKUP(I3391,[1]SKU!$H$2:$I$97,2,0)</f>
        <v>#N/A</v>
      </c>
    </row>
    <row r="3392" spans="24:27">
      <c r="X3392" s="8" t="str">
        <f>+IFERROR(VLOOKUP(N3392,[1]Hoja1!$B$2:$F$52,4,0)*P3392,"")</f>
        <v/>
      </c>
      <c r="Y3392" s="8" t="e">
        <f>+VLOOKUP(M3392,[1]SKU!$B$3:$E$81,4,0)</f>
        <v>#N/A</v>
      </c>
      <c r="Z3392" s="8" t="str">
        <f t="shared" si="52"/>
        <v>FLEX</v>
      </c>
      <c r="AA3392" s="8" t="e">
        <f>+VLOOKUP(I3392,[1]SKU!$H$2:$I$97,2,0)</f>
        <v>#N/A</v>
      </c>
    </row>
    <row r="3393" spans="24:27">
      <c r="X3393" s="8" t="str">
        <f>+IFERROR(VLOOKUP(N3393,[1]Hoja1!$B$2:$F$52,4,0)*P3393,"")</f>
        <v/>
      </c>
      <c r="Y3393" s="8" t="e">
        <f>+VLOOKUP(M3393,[1]SKU!$B$3:$E$81,4,0)</f>
        <v>#N/A</v>
      </c>
      <c r="Z3393" s="8" t="str">
        <f t="shared" si="52"/>
        <v>FLEX</v>
      </c>
      <c r="AA3393" s="8" t="e">
        <f>+VLOOKUP(I3393,[1]SKU!$H$2:$I$97,2,0)</f>
        <v>#N/A</v>
      </c>
    </row>
    <row r="3394" spans="24:27">
      <c r="X3394" s="8" t="str">
        <f>+IFERROR(VLOOKUP(N3394,[1]Hoja1!$B$2:$F$52,4,0)*P3394,"")</f>
        <v/>
      </c>
      <c r="Y3394" s="8" t="e">
        <f>+VLOOKUP(M3394,[1]SKU!$B$3:$E$81,4,0)</f>
        <v>#N/A</v>
      </c>
      <c r="Z3394" s="8" t="str">
        <f t="shared" si="52"/>
        <v>FLEX</v>
      </c>
      <c r="AA3394" s="8" t="e">
        <f>+VLOOKUP(I3394,[1]SKU!$H$2:$I$97,2,0)</f>
        <v>#N/A</v>
      </c>
    </row>
    <row r="3395" spans="24:27">
      <c r="X3395" s="8" t="str">
        <f>+IFERROR(VLOOKUP(N3395,[1]Hoja1!$B$2:$F$52,4,0)*P3395,"")</f>
        <v/>
      </c>
      <c r="Y3395" s="8" t="e">
        <f>+VLOOKUP(M3395,[1]SKU!$B$3:$E$81,4,0)</f>
        <v>#N/A</v>
      </c>
      <c r="Z3395" s="8" t="str">
        <f t="shared" ref="Z3395:Z3458" si="53">+IF(J3395="VB01                          ","BEES","FLEX")</f>
        <v>FLEX</v>
      </c>
      <c r="AA3395" s="8" t="e">
        <f>+VLOOKUP(I3395,[1]SKU!$H$2:$I$97,2,0)</f>
        <v>#N/A</v>
      </c>
    </row>
    <row r="3396" spans="24:27">
      <c r="X3396" s="8" t="str">
        <f>+IFERROR(VLOOKUP(N3396,[1]Hoja1!$B$2:$F$52,4,0)*P3396,"")</f>
        <v/>
      </c>
      <c r="Y3396" s="8" t="e">
        <f>+VLOOKUP(M3396,[1]SKU!$B$3:$E$81,4,0)</f>
        <v>#N/A</v>
      </c>
      <c r="Z3396" s="8" t="str">
        <f t="shared" si="53"/>
        <v>FLEX</v>
      </c>
      <c r="AA3396" s="8" t="e">
        <f>+VLOOKUP(I3396,[1]SKU!$H$2:$I$97,2,0)</f>
        <v>#N/A</v>
      </c>
    </row>
    <row r="3397" spans="24:27">
      <c r="X3397" s="8" t="str">
        <f>+IFERROR(VLOOKUP(N3397,[1]Hoja1!$B$2:$F$52,4,0)*P3397,"")</f>
        <v/>
      </c>
      <c r="Y3397" s="8" t="e">
        <f>+VLOOKUP(M3397,[1]SKU!$B$3:$E$81,4,0)</f>
        <v>#N/A</v>
      </c>
      <c r="Z3397" s="8" t="str">
        <f t="shared" si="53"/>
        <v>FLEX</v>
      </c>
      <c r="AA3397" s="8" t="e">
        <f>+VLOOKUP(I3397,[1]SKU!$H$2:$I$97,2,0)</f>
        <v>#N/A</v>
      </c>
    </row>
    <row r="3398" spans="24:27">
      <c r="X3398" s="8" t="str">
        <f>+IFERROR(VLOOKUP(N3398,[1]Hoja1!$B$2:$F$52,4,0)*P3398,"")</f>
        <v/>
      </c>
      <c r="Y3398" s="8" t="e">
        <f>+VLOOKUP(M3398,[1]SKU!$B$3:$E$81,4,0)</f>
        <v>#N/A</v>
      </c>
      <c r="Z3398" s="8" t="str">
        <f t="shared" si="53"/>
        <v>FLEX</v>
      </c>
      <c r="AA3398" s="8" t="e">
        <f>+VLOOKUP(I3398,[1]SKU!$H$2:$I$97,2,0)</f>
        <v>#N/A</v>
      </c>
    </row>
    <row r="3399" spans="24:27">
      <c r="X3399" s="8" t="str">
        <f>+IFERROR(VLOOKUP(N3399,[1]Hoja1!$B$2:$F$52,4,0)*P3399,"")</f>
        <v/>
      </c>
      <c r="Y3399" s="8" t="e">
        <f>+VLOOKUP(M3399,[1]SKU!$B$3:$E$81,4,0)</f>
        <v>#N/A</v>
      </c>
      <c r="Z3399" s="8" t="str">
        <f t="shared" si="53"/>
        <v>FLEX</v>
      </c>
      <c r="AA3399" s="8" t="e">
        <f>+VLOOKUP(I3399,[1]SKU!$H$2:$I$97,2,0)</f>
        <v>#N/A</v>
      </c>
    </row>
    <row r="3400" spans="24:27">
      <c r="X3400" s="8" t="str">
        <f>+IFERROR(VLOOKUP(N3400,[1]Hoja1!$B$2:$F$52,4,0)*P3400,"")</f>
        <v/>
      </c>
      <c r="Y3400" s="8" t="e">
        <f>+VLOOKUP(M3400,[1]SKU!$B$3:$E$81,4,0)</f>
        <v>#N/A</v>
      </c>
      <c r="Z3400" s="8" t="str">
        <f t="shared" si="53"/>
        <v>FLEX</v>
      </c>
      <c r="AA3400" s="8" t="e">
        <f>+VLOOKUP(I3400,[1]SKU!$H$2:$I$97,2,0)</f>
        <v>#N/A</v>
      </c>
    </row>
    <row r="3401" spans="24:27">
      <c r="X3401" s="8" t="str">
        <f>+IFERROR(VLOOKUP(N3401,[1]Hoja1!$B$2:$F$52,4,0)*P3401,"")</f>
        <v/>
      </c>
      <c r="Y3401" s="8" t="e">
        <f>+VLOOKUP(M3401,[1]SKU!$B$3:$E$81,4,0)</f>
        <v>#N/A</v>
      </c>
      <c r="Z3401" s="8" t="str">
        <f t="shared" si="53"/>
        <v>FLEX</v>
      </c>
      <c r="AA3401" s="8" t="e">
        <f>+VLOOKUP(I3401,[1]SKU!$H$2:$I$97,2,0)</f>
        <v>#N/A</v>
      </c>
    </row>
    <row r="3402" spans="24:27">
      <c r="X3402" s="8" t="str">
        <f>+IFERROR(VLOOKUP(N3402,[1]Hoja1!$B$2:$F$52,4,0)*P3402,"")</f>
        <v/>
      </c>
      <c r="Y3402" s="8" t="e">
        <f>+VLOOKUP(M3402,[1]SKU!$B$3:$E$81,4,0)</f>
        <v>#N/A</v>
      </c>
      <c r="Z3402" s="8" t="str">
        <f t="shared" si="53"/>
        <v>FLEX</v>
      </c>
      <c r="AA3402" s="8" t="e">
        <f>+VLOOKUP(I3402,[1]SKU!$H$2:$I$97,2,0)</f>
        <v>#N/A</v>
      </c>
    </row>
    <row r="3403" spans="24:27">
      <c r="X3403" s="8" t="str">
        <f>+IFERROR(VLOOKUP(N3403,[1]Hoja1!$B$2:$F$52,4,0)*P3403,"")</f>
        <v/>
      </c>
      <c r="Y3403" s="8" t="e">
        <f>+VLOOKUP(M3403,[1]SKU!$B$3:$E$81,4,0)</f>
        <v>#N/A</v>
      </c>
      <c r="Z3403" s="8" t="str">
        <f t="shared" si="53"/>
        <v>FLEX</v>
      </c>
      <c r="AA3403" s="8" t="e">
        <f>+VLOOKUP(I3403,[1]SKU!$H$2:$I$97,2,0)</f>
        <v>#N/A</v>
      </c>
    </row>
    <row r="3404" spans="24:27">
      <c r="X3404" s="8" t="str">
        <f>+IFERROR(VLOOKUP(N3404,[1]Hoja1!$B$2:$F$52,4,0)*P3404,"")</f>
        <v/>
      </c>
      <c r="Y3404" s="8" t="e">
        <f>+VLOOKUP(M3404,[1]SKU!$B$3:$E$81,4,0)</f>
        <v>#N/A</v>
      </c>
      <c r="Z3404" s="8" t="str">
        <f t="shared" si="53"/>
        <v>FLEX</v>
      </c>
      <c r="AA3404" s="8" t="e">
        <f>+VLOOKUP(I3404,[1]SKU!$H$2:$I$97,2,0)</f>
        <v>#N/A</v>
      </c>
    </row>
    <row r="3405" spans="24:27">
      <c r="X3405" s="8" t="str">
        <f>+IFERROR(VLOOKUP(N3405,[1]Hoja1!$B$2:$F$52,4,0)*P3405,"")</f>
        <v/>
      </c>
      <c r="Y3405" s="8" t="e">
        <f>+VLOOKUP(M3405,[1]SKU!$B$3:$E$81,4,0)</f>
        <v>#N/A</v>
      </c>
      <c r="Z3405" s="8" t="str">
        <f t="shared" si="53"/>
        <v>FLEX</v>
      </c>
      <c r="AA3405" s="8" t="e">
        <f>+VLOOKUP(I3405,[1]SKU!$H$2:$I$97,2,0)</f>
        <v>#N/A</v>
      </c>
    </row>
    <row r="3406" spans="24:27">
      <c r="X3406" s="8" t="str">
        <f>+IFERROR(VLOOKUP(N3406,[1]Hoja1!$B$2:$F$52,4,0)*P3406,"")</f>
        <v/>
      </c>
      <c r="Y3406" s="8" t="e">
        <f>+VLOOKUP(M3406,[1]SKU!$B$3:$E$81,4,0)</f>
        <v>#N/A</v>
      </c>
      <c r="Z3406" s="8" t="str">
        <f t="shared" si="53"/>
        <v>FLEX</v>
      </c>
      <c r="AA3406" s="8" t="e">
        <f>+VLOOKUP(I3406,[1]SKU!$H$2:$I$97,2,0)</f>
        <v>#N/A</v>
      </c>
    </row>
    <row r="3407" spans="24:27">
      <c r="X3407" s="8" t="str">
        <f>+IFERROR(VLOOKUP(N3407,[1]Hoja1!$B$2:$F$52,4,0)*P3407,"")</f>
        <v/>
      </c>
      <c r="Y3407" s="8" t="e">
        <f>+VLOOKUP(M3407,[1]SKU!$B$3:$E$81,4,0)</f>
        <v>#N/A</v>
      </c>
      <c r="Z3407" s="8" t="str">
        <f t="shared" si="53"/>
        <v>FLEX</v>
      </c>
      <c r="AA3407" s="8" t="e">
        <f>+VLOOKUP(I3407,[1]SKU!$H$2:$I$97,2,0)</f>
        <v>#N/A</v>
      </c>
    </row>
    <row r="3408" spans="24:27">
      <c r="X3408" s="8" t="str">
        <f>+IFERROR(VLOOKUP(N3408,[1]Hoja1!$B$2:$F$52,4,0)*P3408,"")</f>
        <v/>
      </c>
      <c r="Y3408" s="8" t="e">
        <f>+VLOOKUP(M3408,[1]SKU!$B$3:$E$81,4,0)</f>
        <v>#N/A</v>
      </c>
      <c r="Z3408" s="8" t="str">
        <f t="shared" si="53"/>
        <v>FLEX</v>
      </c>
      <c r="AA3408" s="8" t="e">
        <f>+VLOOKUP(I3408,[1]SKU!$H$2:$I$97,2,0)</f>
        <v>#N/A</v>
      </c>
    </row>
    <row r="3409" spans="24:27">
      <c r="X3409" s="8" t="str">
        <f>+IFERROR(VLOOKUP(N3409,[1]Hoja1!$B$2:$F$52,4,0)*P3409,"")</f>
        <v/>
      </c>
      <c r="Y3409" s="8" t="e">
        <f>+VLOOKUP(M3409,[1]SKU!$B$3:$E$81,4,0)</f>
        <v>#N/A</v>
      </c>
      <c r="Z3409" s="8" t="str">
        <f t="shared" si="53"/>
        <v>FLEX</v>
      </c>
      <c r="AA3409" s="8" t="e">
        <f>+VLOOKUP(I3409,[1]SKU!$H$2:$I$97,2,0)</f>
        <v>#N/A</v>
      </c>
    </row>
    <row r="3410" spans="24:27">
      <c r="X3410" s="8" t="str">
        <f>+IFERROR(VLOOKUP(N3410,[1]Hoja1!$B$2:$F$52,4,0)*P3410,"")</f>
        <v/>
      </c>
      <c r="Y3410" s="8" t="e">
        <f>+VLOOKUP(M3410,[1]SKU!$B$3:$E$81,4,0)</f>
        <v>#N/A</v>
      </c>
      <c r="Z3410" s="8" t="str">
        <f t="shared" si="53"/>
        <v>FLEX</v>
      </c>
      <c r="AA3410" s="8" t="e">
        <f>+VLOOKUP(I3410,[1]SKU!$H$2:$I$97,2,0)</f>
        <v>#N/A</v>
      </c>
    </row>
    <row r="3411" spans="24:27">
      <c r="X3411" s="8" t="str">
        <f>+IFERROR(VLOOKUP(N3411,[1]Hoja1!$B$2:$F$52,4,0)*P3411,"")</f>
        <v/>
      </c>
      <c r="Y3411" s="8" t="e">
        <f>+VLOOKUP(M3411,[1]SKU!$B$3:$E$81,4,0)</f>
        <v>#N/A</v>
      </c>
      <c r="Z3411" s="8" t="str">
        <f t="shared" si="53"/>
        <v>FLEX</v>
      </c>
      <c r="AA3411" s="8" t="e">
        <f>+VLOOKUP(I3411,[1]SKU!$H$2:$I$97,2,0)</f>
        <v>#N/A</v>
      </c>
    </row>
    <row r="3412" spans="24:27">
      <c r="X3412" s="8" t="str">
        <f>+IFERROR(VLOOKUP(N3412,[1]Hoja1!$B$2:$F$52,4,0)*P3412,"")</f>
        <v/>
      </c>
      <c r="Y3412" s="8" t="e">
        <f>+VLOOKUP(M3412,[1]SKU!$B$3:$E$81,4,0)</f>
        <v>#N/A</v>
      </c>
      <c r="Z3412" s="8" t="str">
        <f t="shared" si="53"/>
        <v>FLEX</v>
      </c>
      <c r="AA3412" s="8" t="e">
        <f>+VLOOKUP(I3412,[1]SKU!$H$2:$I$97,2,0)</f>
        <v>#N/A</v>
      </c>
    </row>
    <row r="3413" spans="24:27">
      <c r="X3413" s="8" t="str">
        <f>+IFERROR(VLOOKUP(N3413,[1]Hoja1!$B$2:$F$52,4,0)*P3413,"")</f>
        <v/>
      </c>
      <c r="Y3413" s="8" t="e">
        <f>+VLOOKUP(M3413,[1]SKU!$B$3:$E$81,4,0)</f>
        <v>#N/A</v>
      </c>
      <c r="Z3413" s="8" t="str">
        <f t="shared" si="53"/>
        <v>FLEX</v>
      </c>
      <c r="AA3413" s="8" t="e">
        <f>+VLOOKUP(I3413,[1]SKU!$H$2:$I$97,2,0)</f>
        <v>#N/A</v>
      </c>
    </row>
    <row r="3414" spans="24:27">
      <c r="X3414" s="8" t="str">
        <f>+IFERROR(VLOOKUP(N3414,[1]Hoja1!$B$2:$F$52,4,0)*P3414,"")</f>
        <v/>
      </c>
      <c r="Y3414" s="8" t="e">
        <f>+VLOOKUP(M3414,[1]SKU!$B$3:$E$81,4,0)</f>
        <v>#N/A</v>
      </c>
      <c r="Z3414" s="8" t="str">
        <f t="shared" si="53"/>
        <v>FLEX</v>
      </c>
      <c r="AA3414" s="8" t="e">
        <f>+VLOOKUP(I3414,[1]SKU!$H$2:$I$97,2,0)</f>
        <v>#N/A</v>
      </c>
    </row>
    <row r="3415" spans="24:27">
      <c r="X3415" s="8" t="str">
        <f>+IFERROR(VLOOKUP(N3415,[1]Hoja1!$B$2:$F$52,4,0)*P3415,"")</f>
        <v/>
      </c>
      <c r="Y3415" s="8" t="e">
        <f>+VLOOKUP(M3415,[1]SKU!$B$3:$E$81,4,0)</f>
        <v>#N/A</v>
      </c>
      <c r="Z3415" s="8" t="str">
        <f t="shared" si="53"/>
        <v>FLEX</v>
      </c>
      <c r="AA3415" s="8" t="e">
        <f>+VLOOKUP(I3415,[1]SKU!$H$2:$I$97,2,0)</f>
        <v>#N/A</v>
      </c>
    </row>
    <row r="3416" spans="24:27">
      <c r="X3416" s="8" t="str">
        <f>+IFERROR(VLOOKUP(N3416,[1]Hoja1!$B$2:$F$52,4,0)*P3416,"")</f>
        <v/>
      </c>
      <c r="Y3416" s="8" t="e">
        <f>+VLOOKUP(M3416,[1]SKU!$B$3:$E$81,4,0)</f>
        <v>#N/A</v>
      </c>
      <c r="Z3416" s="8" t="str">
        <f t="shared" si="53"/>
        <v>FLEX</v>
      </c>
      <c r="AA3416" s="8" t="e">
        <f>+VLOOKUP(I3416,[1]SKU!$H$2:$I$97,2,0)</f>
        <v>#N/A</v>
      </c>
    </row>
    <row r="3417" spans="24:27">
      <c r="X3417" s="8" t="str">
        <f>+IFERROR(VLOOKUP(N3417,[1]Hoja1!$B$2:$F$52,4,0)*P3417,"")</f>
        <v/>
      </c>
      <c r="Y3417" s="8" t="e">
        <f>+VLOOKUP(M3417,[1]SKU!$B$3:$E$81,4,0)</f>
        <v>#N/A</v>
      </c>
      <c r="Z3417" s="8" t="str">
        <f t="shared" si="53"/>
        <v>FLEX</v>
      </c>
      <c r="AA3417" s="8" t="e">
        <f>+VLOOKUP(I3417,[1]SKU!$H$2:$I$97,2,0)</f>
        <v>#N/A</v>
      </c>
    </row>
    <row r="3418" spans="24:27">
      <c r="X3418" s="8" t="str">
        <f>+IFERROR(VLOOKUP(N3418,[1]Hoja1!$B$2:$F$52,4,0)*P3418,"")</f>
        <v/>
      </c>
      <c r="Y3418" s="8" t="e">
        <f>+VLOOKUP(M3418,[1]SKU!$B$3:$E$81,4,0)</f>
        <v>#N/A</v>
      </c>
      <c r="Z3418" s="8" t="str">
        <f t="shared" si="53"/>
        <v>FLEX</v>
      </c>
      <c r="AA3418" s="8" t="e">
        <f>+VLOOKUP(I3418,[1]SKU!$H$2:$I$97,2,0)</f>
        <v>#N/A</v>
      </c>
    </row>
    <row r="3419" spans="24:27">
      <c r="X3419" s="8" t="str">
        <f>+IFERROR(VLOOKUP(N3419,[1]Hoja1!$B$2:$F$52,4,0)*P3419,"")</f>
        <v/>
      </c>
      <c r="Y3419" s="8" t="e">
        <f>+VLOOKUP(M3419,[1]SKU!$B$3:$E$81,4,0)</f>
        <v>#N/A</v>
      </c>
      <c r="Z3419" s="8" t="str">
        <f t="shared" si="53"/>
        <v>FLEX</v>
      </c>
      <c r="AA3419" s="8" t="e">
        <f>+VLOOKUP(I3419,[1]SKU!$H$2:$I$97,2,0)</f>
        <v>#N/A</v>
      </c>
    </row>
    <row r="3420" spans="24:27">
      <c r="X3420" s="8" t="str">
        <f>+IFERROR(VLOOKUP(N3420,[1]Hoja1!$B$2:$F$52,4,0)*P3420,"")</f>
        <v/>
      </c>
      <c r="Y3420" s="8" t="e">
        <f>+VLOOKUP(M3420,[1]SKU!$B$3:$E$81,4,0)</f>
        <v>#N/A</v>
      </c>
      <c r="Z3420" s="8" t="str">
        <f t="shared" si="53"/>
        <v>FLEX</v>
      </c>
      <c r="AA3420" s="8" t="e">
        <f>+VLOOKUP(I3420,[1]SKU!$H$2:$I$97,2,0)</f>
        <v>#N/A</v>
      </c>
    </row>
    <row r="3421" spans="24:27">
      <c r="X3421" s="8" t="str">
        <f>+IFERROR(VLOOKUP(N3421,[1]Hoja1!$B$2:$F$52,4,0)*P3421,"")</f>
        <v/>
      </c>
      <c r="Y3421" s="8" t="e">
        <f>+VLOOKUP(M3421,[1]SKU!$B$3:$E$81,4,0)</f>
        <v>#N/A</v>
      </c>
      <c r="Z3421" s="8" t="str">
        <f t="shared" si="53"/>
        <v>FLEX</v>
      </c>
      <c r="AA3421" s="8" t="e">
        <f>+VLOOKUP(I3421,[1]SKU!$H$2:$I$97,2,0)</f>
        <v>#N/A</v>
      </c>
    </row>
    <row r="3422" spans="24:27">
      <c r="X3422" s="8" t="str">
        <f>+IFERROR(VLOOKUP(N3422,[1]Hoja1!$B$2:$F$52,4,0)*P3422,"")</f>
        <v/>
      </c>
      <c r="Y3422" s="8" t="e">
        <f>+VLOOKUP(M3422,[1]SKU!$B$3:$E$81,4,0)</f>
        <v>#N/A</v>
      </c>
      <c r="Z3422" s="8" t="str">
        <f t="shared" si="53"/>
        <v>FLEX</v>
      </c>
      <c r="AA3422" s="8" t="e">
        <f>+VLOOKUP(I3422,[1]SKU!$H$2:$I$97,2,0)</f>
        <v>#N/A</v>
      </c>
    </row>
    <row r="3423" spans="24:27">
      <c r="X3423" s="8" t="str">
        <f>+IFERROR(VLOOKUP(N3423,[1]Hoja1!$B$2:$F$52,4,0)*P3423,"")</f>
        <v/>
      </c>
      <c r="Y3423" s="8" t="e">
        <f>+VLOOKUP(M3423,[1]SKU!$B$3:$E$81,4,0)</f>
        <v>#N/A</v>
      </c>
      <c r="Z3423" s="8" t="str">
        <f t="shared" si="53"/>
        <v>FLEX</v>
      </c>
      <c r="AA3423" s="8" t="e">
        <f>+VLOOKUP(I3423,[1]SKU!$H$2:$I$97,2,0)</f>
        <v>#N/A</v>
      </c>
    </row>
    <row r="3424" spans="24:27">
      <c r="X3424" s="8" t="str">
        <f>+IFERROR(VLOOKUP(N3424,[1]Hoja1!$B$2:$F$52,4,0)*P3424,"")</f>
        <v/>
      </c>
      <c r="Y3424" s="8" t="e">
        <f>+VLOOKUP(M3424,[1]SKU!$B$3:$E$81,4,0)</f>
        <v>#N/A</v>
      </c>
      <c r="Z3424" s="8" t="str">
        <f t="shared" si="53"/>
        <v>FLEX</v>
      </c>
      <c r="AA3424" s="8" t="e">
        <f>+VLOOKUP(I3424,[1]SKU!$H$2:$I$97,2,0)</f>
        <v>#N/A</v>
      </c>
    </row>
    <row r="3425" spans="24:27">
      <c r="X3425" s="8" t="str">
        <f>+IFERROR(VLOOKUP(N3425,[1]Hoja1!$B$2:$F$52,4,0)*P3425,"")</f>
        <v/>
      </c>
      <c r="Y3425" s="8" t="e">
        <f>+VLOOKUP(M3425,[1]SKU!$B$3:$E$81,4,0)</f>
        <v>#N/A</v>
      </c>
      <c r="Z3425" s="8" t="str">
        <f t="shared" si="53"/>
        <v>FLEX</v>
      </c>
      <c r="AA3425" s="8" t="e">
        <f>+VLOOKUP(I3425,[1]SKU!$H$2:$I$97,2,0)</f>
        <v>#N/A</v>
      </c>
    </row>
    <row r="3426" spans="24:27">
      <c r="X3426" s="8" t="str">
        <f>+IFERROR(VLOOKUP(N3426,[1]Hoja1!$B$2:$F$52,4,0)*P3426,"")</f>
        <v/>
      </c>
      <c r="Y3426" s="8" t="e">
        <f>+VLOOKUP(M3426,[1]SKU!$B$3:$E$81,4,0)</f>
        <v>#N/A</v>
      </c>
      <c r="Z3426" s="8" t="str">
        <f t="shared" si="53"/>
        <v>FLEX</v>
      </c>
      <c r="AA3426" s="8" t="e">
        <f>+VLOOKUP(I3426,[1]SKU!$H$2:$I$97,2,0)</f>
        <v>#N/A</v>
      </c>
    </row>
    <row r="3427" spans="24:27">
      <c r="X3427" s="8" t="str">
        <f>+IFERROR(VLOOKUP(N3427,[1]Hoja1!$B$2:$F$52,4,0)*P3427,"")</f>
        <v/>
      </c>
      <c r="Y3427" s="8" t="e">
        <f>+VLOOKUP(M3427,[1]SKU!$B$3:$E$81,4,0)</f>
        <v>#N/A</v>
      </c>
      <c r="Z3427" s="8" t="str">
        <f t="shared" si="53"/>
        <v>FLEX</v>
      </c>
      <c r="AA3427" s="8" t="e">
        <f>+VLOOKUP(I3427,[1]SKU!$H$2:$I$97,2,0)</f>
        <v>#N/A</v>
      </c>
    </row>
    <row r="3428" spans="24:27">
      <c r="X3428" s="8" t="str">
        <f>+IFERROR(VLOOKUP(N3428,[1]Hoja1!$B$2:$F$52,4,0)*P3428,"")</f>
        <v/>
      </c>
      <c r="Y3428" s="8" t="e">
        <f>+VLOOKUP(M3428,[1]SKU!$B$3:$E$81,4,0)</f>
        <v>#N/A</v>
      </c>
      <c r="Z3428" s="8" t="str">
        <f t="shared" si="53"/>
        <v>FLEX</v>
      </c>
      <c r="AA3428" s="8" t="e">
        <f>+VLOOKUP(I3428,[1]SKU!$H$2:$I$97,2,0)</f>
        <v>#N/A</v>
      </c>
    </row>
    <row r="3429" spans="24:27">
      <c r="X3429" s="8" t="str">
        <f>+IFERROR(VLOOKUP(N3429,[1]Hoja1!$B$2:$F$52,4,0)*P3429,"")</f>
        <v/>
      </c>
      <c r="Y3429" s="8" t="e">
        <f>+VLOOKUP(M3429,[1]SKU!$B$3:$E$81,4,0)</f>
        <v>#N/A</v>
      </c>
      <c r="Z3429" s="8" t="str">
        <f t="shared" si="53"/>
        <v>FLEX</v>
      </c>
      <c r="AA3429" s="8" t="e">
        <f>+VLOOKUP(I3429,[1]SKU!$H$2:$I$97,2,0)</f>
        <v>#N/A</v>
      </c>
    </row>
    <row r="3430" spans="24:27">
      <c r="X3430" s="8" t="str">
        <f>+IFERROR(VLOOKUP(N3430,[1]Hoja1!$B$2:$F$52,4,0)*P3430,"")</f>
        <v/>
      </c>
      <c r="Y3430" s="8" t="e">
        <f>+VLOOKUP(M3430,[1]SKU!$B$3:$E$81,4,0)</f>
        <v>#N/A</v>
      </c>
      <c r="Z3430" s="8" t="str">
        <f t="shared" si="53"/>
        <v>FLEX</v>
      </c>
      <c r="AA3430" s="8" t="e">
        <f>+VLOOKUP(I3430,[1]SKU!$H$2:$I$97,2,0)</f>
        <v>#N/A</v>
      </c>
    </row>
    <row r="3431" spans="24:27">
      <c r="X3431" s="8" t="str">
        <f>+IFERROR(VLOOKUP(N3431,[1]Hoja1!$B$2:$F$52,4,0)*P3431,"")</f>
        <v/>
      </c>
      <c r="Y3431" s="8" t="e">
        <f>+VLOOKUP(M3431,[1]SKU!$B$3:$E$81,4,0)</f>
        <v>#N/A</v>
      </c>
      <c r="Z3431" s="8" t="str">
        <f t="shared" si="53"/>
        <v>FLEX</v>
      </c>
      <c r="AA3431" s="8" t="e">
        <f>+VLOOKUP(I3431,[1]SKU!$H$2:$I$97,2,0)</f>
        <v>#N/A</v>
      </c>
    </row>
    <row r="3432" spans="24:27">
      <c r="X3432" s="8" t="str">
        <f>+IFERROR(VLOOKUP(N3432,[1]Hoja1!$B$2:$F$52,4,0)*P3432,"")</f>
        <v/>
      </c>
      <c r="Y3432" s="8" t="e">
        <f>+VLOOKUP(M3432,[1]SKU!$B$3:$E$81,4,0)</f>
        <v>#N/A</v>
      </c>
      <c r="Z3432" s="8" t="str">
        <f t="shared" si="53"/>
        <v>FLEX</v>
      </c>
      <c r="AA3432" s="8" t="e">
        <f>+VLOOKUP(I3432,[1]SKU!$H$2:$I$97,2,0)</f>
        <v>#N/A</v>
      </c>
    </row>
    <row r="3433" spans="24:27">
      <c r="X3433" s="8" t="str">
        <f>+IFERROR(VLOOKUP(N3433,[1]Hoja1!$B$2:$F$52,4,0)*P3433,"")</f>
        <v/>
      </c>
      <c r="Y3433" s="8" t="e">
        <f>+VLOOKUP(M3433,[1]SKU!$B$3:$E$81,4,0)</f>
        <v>#N/A</v>
      </c>
      <c r="Z3433" s="8" t="str">
        <f t="shared" si="53"/>
        <v>FLEX</v>
      </c>
      <c r="AA3433" s="8" t="e">
        <f>+VLOOKUP(I3433,[1]SKU!$H$2:$I$97,2,0)</f>
        <v>#N/A</v>
      </c>
    </row>
    <row r="3434" spans="24:27">
      <c r="X3434" s="8" t="str">
        <f>+IFERROR(VLOOKUP(N3434,[1]Hoja1!$B$2:$F$52,4,0)*P3434,"")</f>
        <v/>
      </c>
      <c r="Y3434" s="8" t="e">
        <f>+VLOOKUP(M3434,[1]SKU!$B$3:$E$81,4,0)</f>
        <v>#N/A</v>
      </c>
      <c r="Z3434" s="8" t="str">
        <f t="shared" si="53"/>
        <v>FLEX</v>
      </c>
      <c r="AA3434" s="8" t="e">
        <f>+VLOOKUP(I3434,[1]SKU!$H$2:$I$97,2,0)</f>
        <v>#N/A</v>
      </c>
    </row>
    <row r="3435" spans="24:27">
      <c r="X3435" s="8" t="str">
        <f>+IFERROR(VLOOKUP(N3435,[1]Hoja1!$B$2:$F$52,4,0)*P3435,"")</f>
        <v/>
      </c>
      <c r="Y3435" s="8" t="e">
        <f>+VLOOKUP(M3435,[1]SKU!$B$3:$E$81,4,0)</f>
        <v>#N/A</v>
      </c>
      <c r="Z3435" s="8" t="str">
        <f t="shared" si="53"/>
        <v>FLEX</v>
      </c>
      <c r="AA3435" s="8" t="e">
        <f>+VLOOKUP(I3435,[1]SKU!$H$2:$I$97,2,0)</f>
        <v>#N/A</v>
      </c>
    </row>
    <row r="3436" spans="24:27">
      <c r="X3436" s="8" t="str">
        <f>+IFERROR(VLOOKUP(N3436,[1]Hoja1!$B$2:$F$52,4,0)*P3436,"")</f>
        <v/>
      </c>
      <c r="Y3436" s="8" t="e">
        <f>+VLOOKUP(M3436,[1]SKU!$B$3:$E$81,4,0)</f>
        <v>#N/A</v>
      </c>
      <c r="Z3436" s="8" t="str">
        <f t="shared" si="53"/>
        <v>FLEX</v>
      </c>
      <c r="AA3436" s="8" t="e">
        <f>+VLOOKUP(I3436,[1]SKU!$H$2:$I$97,2,0)</f>
        <v>#N/A</v>
      </c>
    </row>
    <row r="3437" spans="24:27">
      <c r="X3437" s="8" t="str">
        <f>+IFERROR(VLOOKUP(N3437,[1]Hoja1!$B$2:$F$52,4,0)*P3437,"")</f>
        <v/>
      </c>
      <c r="Y3437" s="8" t="e">
        <f>+VLOOKUP(M3437,[1]SKU!$B$3:$E$81,4,0)</f>
        <v>#N/A</v>
      </c>
      <c r="Z3437" s="8" t="str">
        <f t="shared" si="53"/>
        <v>FLEX</v>
      </c>
      <c r="AA3437" s="8" t="e">
        <f>+VLOOKUP(I3437,[1]SKU!$H$2:$I$97,2,0)</f>
        <v>#N/A</v>
      </c>
    </row>
    <row r="3438" spans="24:27">
      <c r="X3438" s="8" t="str">
        <f>+IFERROR(VLOOKUP(N3438,[1]Hoja1!$B$2:$F$52,4,0)*P3438,"")</f>
        <v/>
      </c>
      <c r="Y3438" s="8" t="e">
        <f>+VLOOKUP(M3438,[1]SKU!$B$3:$E$81,4,0)</f>
        <v>#N/A</v>
      </c>
      <c r="Z3438" s="8" t="str">
        <f t="shared" si="53"/>
        <v>FLEX</v>
      </c>
      <c r="AA3438" s="8" t="e">
        <f>+VLOOKUP(I3438,[1]SKU!$H$2:$I$97,2,0)</f>
        <v>#N/A</v>
      </c>
    </row>
    <row r="3439" spans="24:27">
      <c r="X3439" s="8" t="str">
        <f>+IFERROR(VLOOKUP(N3439,[1]Hoja1!$B$2:$F$52,4,0)*P3439,"")</f>
        <v/>
      </c>
      <c r="Y3439" s="8" t="e">
        <f>+VLOOKUP(M3439,[1]SKU!$B$3:$E$81,4,0)</f>
        <v>#N/A</v>
      </c>
      <c r="Z3439" s="8" t="str">
        <f t="shared" si="53"/>
        <v>FLEX</v>
      </c>
      <c r="AA3439" s="8" t="e">
        <f>+VLOOKUP(I3439,[1]SKU!$H$2:$I$97,2,0)</f>
        <v>#N/A</v>
      </c>
    </row>
    <row r="3440" spans="24:27">
      <c r="X3440" s="8" t="str">
        <f>+IFERROR(VLOOKUP(N3440,[1]Hoja1!$B$2:$F$52,4,0)*P3440,"")</f>
        <v/>
      </c>
      <c r="Y3440" s="8" t="e">
        <f>+VLOOKUP(M3440,[1]SKU!$B$3:$E$81,4,0)</f>
        <v>#N/A</v>
      </c>
      <c r="Z3440" s="8" t="str">
        <f t="shared" si="53"/>
        <v>FLEX</v>
      </c>
      <c r="AA3440" s="8" t="e">
        <f>+VLOOKUP(I3440,[1]SKU!$H$2:$I$97,2,0)</f>
        <v>#N/A</v>
      </c>
    </row>
    <row r="3441" spans="24:27">
      <c r="X3441" s="8" t="str">
        <f>+IFERROR(VLOOKUP(N3441,[1]Hoja1!$B$2:$F$52,4,0)*P3441,"")</f>
        <v/>
      </c>
      <c r="Y3441" s="8" t="e">
        <f>+VLOOKUP(M3441,[1]SKU!$B$3:$E$81,4,0)</f>
        <v>#N/A</v>
      </c>
      <c r="Z3441" s="8" t="str">
        <f t="shared" si="53"/>
        <v>FLEX</v>
      </c>
      <c r="AA3441" s="8" t="e">
        <f>+VLOOKUP(I3441,[1]SKU!$H$2:$I$97,2,0)</f>
        <v>#N/A</v>
      </c>
    </row>
    <row r="3442" spans="24:27">
      <c r="X3442" s="8" t="str">
        <f>+IFERROR(VLOOKUP(N3442,[1]Hoja1!$B$2:$F$52,4,0)*P3442,"")</f>
        <v/>
      </c>
      <c r="Y3442" s="8" t="e">
        <f>+VLOOKUP(M3442,[1]SKU!$B$3:$E$81,4,0)</f>
        <v>#N/A</v>
      </c>
      <c r="Z3442" s="8" t="str">
        <f t="shared" si="53"/>
        <v>FLEX</v>
      </c>
      <c r="AA3442" s="8" t="e">
        <f>+VLOOKUP(I3442,[1]SKU!$H$2:$I$97,2,0)</f>
        <v>#N/A</v>
      </c>
    </row>
    <row r="3443" spans="24:27">
      <c r="X3443" s="8" t="str">
        <f>+IFERROR(VLOOKUP(N3443,[1]Hoja1!$B$2:$F$52,4,0)*P3443,"")</f>
        <v/>
      </c>
      <c r="Y3443" s="8" t="e">
        <f>+VLOOKUP(M3443,[1]SKU!$B$3:$E$81,4,0)</f>
        <v>#N/A</v>
      </c>
      <c r="Z3443" s="8" t="str">
        <f t="shared" si="53"/>
        <v>FLEX</v>
      </c>
      <c r="AA3443" s="8" t="e">
        <f>+VLOOKUP(I3443,[1]SKU!$H$2:$I$97,2,0)</f>
        <v>#N/A</v>
      </c>
    </row>
    <row r="3444" spans="24:27">
      <c r="X3444" s="8" t="str">
        <f>+IFERROR(VLOOKUP(N3444,[1]Hoja1!$B$2:$F$52,4,0)*P3444,"")</f>
        <v/>
      </c>
      <c r="Y3444" s="8" t="e">
        <f>+VLOOKUP(M3444,[1]SKU!$B$3:$E$81,4,0)</f>
        <v>#N/A</v>
      </c>
      <c r="Z3444" s="8" t="str">
        <f t="shared" si="53"/>
        <v>FLEX</v>
      </c>
      <c r="AA3444" s="8" t="e">
        <f>+VLOOKUP(I3444,[1]SKU!$H$2:$I$97,2,0)</f>
        <v>#N/A</v>
      </c>
    </row>
    <row r="3445" spans="24:27">
      <c r="X3445" s="8" t="str">
        <f>+IFERROR(VLOOKUP(N3445,[1]Hoja1!$B$2:$F$52,4,0)*P3445,"")</f>
        <v/>
      </c>
      <c r="Y3445" s="8" t="e">
        <f>+VLOOKUP(M3445,[1]SKU!$B$3:$E$81,4,0)</f>
        <v>#N/A</v>
      </c>
      <c r="Z3445" s="8" t="str">
        <f t="shared" si="53"/>
        <v>FLEX</v>
      </c>
      <c r="AA3445" s="8" t="e">
        <f>+VLOOKUP(I3445,[1]SKU!$H$2:$I$97,2,0)</f>
        <v>#N/A</v>
      </c>
    </row>
    <row r="3446" spans="24:27">
      <c r="X3446" s="8" t="str">
        <f>+IFERROR(VLOOKUP(N3446,[1]Hoja1!$B$2:$F$52,4,0)*P3446,"")</f>
        <v/>
      </c>
      <c r="Y3446" s="8" t="e">
        <f>+VLOOKUP(M3446,[1]SKU!$B$3:$E$81,4,0)</f>
        <v>#N/A</v>
      </c>
      <c r="Z3446" s="8" t="str">
        <f t="shared" si="53"/>
        <v>FLEX</v>
      </c>
      <c r="AA3446" s="8" t="e">
        <f>+VLOOKUP(I3446,[1]SKU!$H$2:$I$97,2,0)</f>
        <v>#N/A</v>
      </c>
    </row>
    <row r="3447" spans="24:27">
      <c r="X3447" s="8" t="str">
        <f>+IFERROR(VLOOKUP(N3447,[1]Hoja1!$B$2:$F$52,4,0)*P3447,"")</f>
        <v/>
      </c>
      <c r="Y3447" s="8" t="e">
        <f>+VLOOKUP(M3447,[1]SKU!$B$3:$E$81,4,0)</f>
        <v>#N/A</v>
      </c>
      <c r="Z3447" s="8" t="str">
        <f t="shared" si="53"/>
        <v>FLEX</v>
      </c>
      <c r="AA3447" s="8" t="e">
        <f>+VLOOKUP(I3447,[1]SKU!$H$2:$I$97,2,0)</f>
        <v>#N/A</v>
      </c>
    </row>
    <row r="3448" spans="24:27">
      <c r="X3448" s="8" t="str">
        <f>+IFERROR(VLOOKUP(N3448,[1]Hoja1!$B$2:$F$52,4,0)*P3448,"")</f>
        <v/>
      </c>
      <c r="Y3448" s="8" t="e">
        <f>+VLOOKUP(M3448,[1]SKU!$B$3:$E$81,4,0)</f>
        <v>#N/A</v>
      </c>
      <c r="Z3448" s="8" t="str">
        <f t="shared" si="53"/>
        <v>FLEX</v>
      </c>
      <c r="AA3448" s="8" t="e">
        <f>+VLOOKUP(I3448,[1]SKU!$H$2:$I$97,2,0)</f>
        <v>#N/A</v>
      </c>
    </row>
    <row r="3449" spans="24:27">
      <c r="X3449" s="8" t="str">
        <f>+IFERROR(VLOOKUP(N3449,[1]Hoja1!$B$2:$F$52,4,0)*P3449,"")</f>
        <v/>
      </c>
      <c r="Y3449" s="8" t="e">
        <f>+VLOOKUP(M3449,[1]SKU!$B$3:$E$81,4,0)</f>
        <v>#N/A</v>
      </c>
      <c r="Z3449" s="8" t="str">
        <f t="shared" si="53"/>
        <v>FLEX</v>
      </c>
      <c r="AA3449" s="8" t="e">
        <f>+VLOOKUP(I3449,[1]SKU!$H$2:$I$97,2,0)</f>
        <v>#N/A</v>
      </c>
    </row>
    <row r="3450" spans="24:27">
      <c r="X3450" s="8" t="str">
        <f>+IFERROR(VLOOKUP(N3450,[1]Hoja1!$B$2:$F$52,4,0)*P3450,"")</f>
        <v/>
      </c>
      <c r="Y3450" s="8" t="e">
        <f>+VLOOKUP(M3450,[1]SKU!$B$3:$E$81,4,0)</f>
        <v>#N/A</v>
      </c>
      <c r="Z3450" s="8" t="str">
        <f t="shared" si="53"/>
        <v>FLEX</v>
      </c>
      <c r="AA3450" s="8" t="e">
        <f>+VLOOKUP(I3450,[1]SKU!$H$2:$I$97,2,0)</f>
        <v>#N/A</v>
      </c>
    </row>
    <row r="3451" spans="24:27">
      <c r="X3451" s="8" t="str">
        <f>+IFERROR(VLOOKUP(N3451,[1]Hoja1!$B$2:$F$52,4,0)*P3451,"")</f>
        <v/>
      </c>
      <c r="Y3451" s="8" t="e">
        <f>+VLOOKUP(M3451,[1]SKU!$B$3:$E$81,4,0)</f>
        <v>#N/A</v>
      </c>
      <c r="Z3451" s="8" t="str">
        <f t="shared" si="53"/>
        <v>FLEX</v>
      </c>
      <c r="AA3451" s="8" t="e">
        <f>+VLOOKUP(I3451,[1]SKU!$H$2:$I$97,2,0)</f>
        <v>#N/A</v>
      </c>
    </row>
    <row r="3452" spans="24:27">
      <c r="X3452" s="8" t="str">
        <f>+IFERROR(VLOOKUP(N3452,[1]Hoja1!$B$2:$F$52,4,0)*P3452,"")</f>
        <v/>
      </c>
      <c r="Y3452" s="8" t="e">
        <f>+VLOOKUP(M3452,[1]SKU!$B$3:$E$81,4,0)</f>
        <v>#N/A</v>
      </c>
      <c r="Z3452" s="8" t="str">
        <f t="shared" si="53"/>
        <v>FLEX</v>
      </c>
      <c r="AA3452" s="8" t="e">
        <f>+VLOOKUP(I3452,[1]SKU!$H$2:$I$97,2,0)</f>
        <v>#N/A</v>
      </c>
    </row>
    <row r="3453" spans="24:27">
      <c r="X3453" s="8" t="str">
        <f>+IFERROR(VLOOKUP(N3453,[1]Hoja1!$B$2:$F$52,4,0)*P3453,"")</f>
        <v/>
      </c>
      <c r="Y3453" s="8" t="e">
        <f>+VLOOKUP(M3453,[1]SKU!$B$3:$E$81,4,0)</f>
        <v>#N/A</v>
      </c>
      <c r="Z3453" s="8" t="str">
        <f t="shared" si="53"/>
        <v>FLEX</v>
      </c>
      <c r="AA3453" s="8" t="e">
        <f>+VLOOKUP(I3453,[1]SKU!$H$2:$I$97,2,0)</f>
        <v>#N/A</v>
      </c>
    </row>
    <row r="3454" spans="24:27">
      <c r="X3454" s="8" t="str">
        <f>+IFERROR(VLOOKUP(N3454,[1]Hoja1!$B$2:$F$52,4,0)*P3454,"")</f>
        <v/>
      </c>
      <c r="Y3454" s="8" t="e">
        <f>+VLOOKUP(M3454,[1]SKU!$B$3:$E$81,4,0)</f>
        <v>#N/A</v>
      </c>
      <c r="Z3454" s="8" t="str">
        <f t="shared" si="53"/>
        <v>FLEX</v>
      </c>
      <c r="AA3454" s="8" t="e">
        <f>+VLOOKUP(I3454,[1]SKU!$H$2:$I$97,2,0)</f>
        <v>#N/A</v>
      </c>
    </row>
    <row r="3455" spans="24:27">
      <c r="X3455" s="8" t="str">
        <f>+IFERROR(VLOOKUP(N3455,[1]Hoja1!$B$2:$F$52,4,0)*P3455,"")</f>
        <v/>
      </c>
      <c r="Y3455" s="8" t="e">
        <f>+VLOOKUP(M3455,[1]SKU!$B$3:$E$81,4,0)</f>
        <v>#N/A</v>
      </c>
      <c r="Z3455" s="8" t="str">
        <f t="shared" si="53"/>
        <v>FLEX</v>
      </c>
      <c r="AA3455" s="8" t="e">
        <f>+VLOOKUP(I3455,[1]SKU!$H$2:$I$97,2,0)</f>
        <v>#N/A</v>
      </c>
    </row>
    <row r="3456" spans="24:27">
      <c r="X3456" s="8" t="str">
        <f>+IFERROR(VLOOKUP(N3456,[1]Hoja1!$B$2:$F$52,4,0)*P3456,"")</f>
        <v/>
      </c>
      <c r="Y3456" s="8" t="e">
        <f>+VLOOKUP(M3456,[1]SKU!$B$3:$E$81,4,0)</f>
        <v>#N/A</v>
      </c>
      <c r="Z3456" s="8" t="str">
        <f t="shared" si="53"/>
        <v>FLEX</v>
      </c>
      <c r="AA3456" s="8" t="e">
        <f>+VLOOKUP(I3456,[1]SKU!$H$2:$I$97,2,0)</f>
        <v>#N/A</v>
      </c>
    </row>
    <row r="3457" spans="24:27">
      <c r="X3457" s="8" t="str">
        <f>+IFERROR(VLOOKUP(N3457,[1]Hoja1!$B$2:$F$52,4,0)*P3457,"")</f>
        <v/>
      </c>
      <c r="Y3457" s="8" t="e">
        <f>+VLOOKUP(M3457,[1]SKU!$B$3:$E$81,4,0)</f>
        <v>#N/A</v>
      </c>
      <c r="Z3457" s="8" t="str">
        <f t="shared" si="53"/>
        <v>FLEX</v>
      </c>
      <c r="AA3457" s="8" t="e">
        <f>+VLOOKUP(I3457,[1]SKU!$H$2:$I$97,2,0)</f>
        <v>#N/A</v>
      </c>
    </row>
    <row r="3458" spans="24:27">
      <c r="X3458" s="8" t="str">
        <f>+IFERROR(VLOOKUP(N3458,[1]Hoja1!$B$2:$F$52,4,0)*P3458,"")</f>
        <v/>
      </c>
      <c r="Y3458" s="8" t="e">
        <f>+VLOOKUP(M3458,[1]SKU!$B$3:$E$81,4,0)</f>
        <v>#N/A</v>
      </c>
      <c r="Z3458" s="8" t="str">
        <f t="shared" si="53"/>
        <v>FLEX</v>
      </c>
      <c r="AA3458" s="8" t="e">
        <f>+VLOOKUP(I3458,[1]SKU!$H$2:$I$97,2,0)</f>
        <v>#N/A</v>
      </c>
    </row>
    <row r="3459" spans="24:27">
      <c r="X3459" s="8" t="str">
        <f>+IFERROR(VLOOKUP(N3459,[1]Hoja1!$B$2:$F$52,4,0)*P3459,"")</f>
        <v/>
      </c>
      <c r="Y3459" s="8" t="e">
        <f>+VLOOKUP(M3459,[1]SKU!$B$3:$E$81,4,0)</f>
        <v>#N/A</v>
      </c>
      <c r="Z3459" s="8" t="str">
        <f t="shared" ref="Z3459:Z3522" si="54">+IF(J3459="VB01                          ","BEES","FLEX")</f>
        <v>FLEX</v>
      </c>
      <c r="AA3459" s="8" t="e">
        <f>+VLOOKUP(I3459,[1]SKU!$H$2:$I$97,2,0)</f>
        <v>#N/A</v>
      </c>
    </row>
    <row r="3460" spans="24:27">
      <c r="X3460" s="8" t="str">
        <f>+IFERROR(VLOOKUP(N3460,[1]Hoja1!$B$2:$F$52,4,0)*P3460,"")</f>
        <v/>
      </c>
      <c r="Y3460" s="8" t="e">
        <f>+VLOOKUP(M3460,[1]SKU!$B$3:$E$81,4,0)</f>
        <v>#N/A</v>
      </c>
      <c r="Z3460" s="8" t="str">
        <f t="shared" si="54"/>
        <v>FLEX</v>
      </c>
      <c r="AA3460" s="8" t="e">
        <f>+VLOOKUP(I3460,[1]SKU!$H$2:$I$97,2,0)</f>
        <v>#N/A</v>
      </c>
    </row>
    <row r="3461" spans="24:27">
      <c r="X3461" s="8" t="str">
        <f>+IFERROR(VLOOKUP(N3461,[1]Hoja1!$B$2:$F$52,4,0)*P3461,"")</f>
        <v/>
      </c>
      <c r="Y3461" s="8" t="e">
        <f>+VLOOKUP(M3461,[1]SKU!$B$3:$E$81,4,0)</f>
        <v>#N/A</v>
      </c>
      <c r="Z3461" s="8" t="str">
        <f t="shared" si="54"/>
        <v>FLEX</v>
      </c>
      <c r="AA3461" s="8" t="e">
        <f>+VLOOKUP(I3461,[1]SKU!$H$2:$I$97,2,0)</f>
        <v>#N/A</v>
      </c>
    </row>
    <row r="3462" spans="24:27">
      <c r="X3462" s="8" t="str">
        <f>+IFERROR(VLOOKUP(N3462,[1]Hoja1!$B$2:$F$52,4,0)*P3462,"")</f>
        <v/>
      </c>
      <c r="Y3462" s="8" t="e">
        <f>+VLOOKUP(M3462,[1]SKU!$B$3:$E$81,4,0)</f>
        <v>#N/A</v>
      </c>
      <c r="Z3462" s="8" t="str">
        <f t="shared" si="54"/>
        <v>FLEX</v>
      </c>
      <c r="AA3462" s="8" t="e">
        <f>+VLOOKUP(I3462,[1]SKU!$H$2:$I$97,2,0)</f>
        <v>#N/A</v>
      </c>
    </row>
    <row r="3463" spans="24:27">
      <c r="X3463" s="8" t="str">
        <f>+IFERROR(VLOOKUP(N3463,[1]Hoja1!$B$2:$F$52,4,0)*P3463,"")</f>
        <v/>
      </c>
      <c r="Y3463" s="8" t="e">
        <f>+VLOOKUP(M3463,[1]SKU!$B$3:$E$81,4,0)</f>
        <v>#N/A</v>
      </c>
      <c r="Z3463" s="8" t="str">
        <f t="shared" si="54"/>
        <v>FLEX</v>
      </c>
      <c r="AA3463" s="8" t="e">
        <f>+VLOOKUP(I3463,[1]SKU!$H$2:$I$97,2,0)</f>
        <v>#N/A</v>
      </c>
    </row>
    <row r="3464" spans="24:27">
      <c r="X3464" s="8" t="str">
        <f>+IFERROR(VLOOKUP(N3464,[1]Hoja1!$B$2:$F$52,4,0)*P3464,"")</f>
        <v/>
      </c>
      <c r="Y3464" s="8" t="e">
        <f>+VLOOKUP(M3464,[1]SKU!$B$3:$E$81,4,0)</f>
        <v>#N/A</v>
      </c>
      <c r="Z3464" s="8" t="str">
        <f t="shared" si="54"/>
        <v>FLEX</v>
      </c>
      <c r="AA3464" s="8" t="e">
        <f>+VLOOKUP(I3464,[1]SKU!$H$2:$I$97,2,0)</f>
        <v>#N/A</v>
      </c>
    </row>
    <row r="3465" spans="24:27">
      <c r="X3465" s="8" t="str">
        <f>+IFERROR(VLOOKUP(N3465,[1]Hoja1!$B$2:$F$52,4,0)*P3465,"")</f>
        <v/>
      </c>
      <c r="Y3465" s="8" t="e">
        <f>+VLOOKUP(M3465,[1]SKU!$B$3:$E$81,4,0)</f>
        <v>#N/A</v>
      </c>
      <c r="Z3465" s="8" t="str">
        <f t="shared" si="54"/>
        <v>FLEX</v>
      </c>
      <c r="AA3465" s="8" t="e">
        <f>+VLOOKUP(I3465,[1]SKU!$H$2:$I$97,2,0)</f>
        <v>#N/A</v>
      </c>
    </row>
    <row r="3466" spans="24:27">
      <c r="X3466" s="8" t="str">
        <f>+IFERROR(VLOOKUP(N3466,[1]Hoja1!$B$2:$F$52,4,0)*P3466,"")</f>
        <v/>
      </c>
      <c r="Y3466" s="8" t="e">
        <f>+VLOOKUP(M3466,[1]SKU!$B$3:$E$81,4,0)</f>
        <v>#N/A</v>
      </c>
      <c r="Z3466" s="8" t="str">
        <f t="shared" si="54"/>
        <v>FLEX</v>
      </c>
      <c r="AA3466" s="8" t="e">
        <f>+VLOOKUP(I3466,[1]SKU!$H$2:$I$97,2,0)</f>
        <v>#N/A</v>
      </c>
    </row>
    <row r="3467" spans="24:27">
      <c r="X3467" s="8" t="str">
        <f>+IFERROR(VLOOKUP(N3467,[1]Hoja1!$B$2:$F$52,4,0)*P3467,"")</f>
        <v/>
      </c>
      <c r="Y3467" s="8" t="e">
        <f>+VLOOKUP(M3467,[1]SKU!$B$3:$E$81,4,0)</f>
        <v>#N/A</v>
      </c>
      <c r="Z3467" s="8" t="str">
        <f t="shared" si="54"/>
        <v>FLEX</v>
      </c>
      <c r="AA3467" s="8" t="e">
        <f>+VLOOKUP(I3467,[1]SKU!$H$2:$I$97,2,0)</f>
        <v>#N/A</v>
      </c>
    </row>
    <row r="3468" spans="24:27">
      <c r="X3468" s="8" t="str">
        <f>+IFERROR(VLOOKUP(N3468,[1]Hoja1!$B$2:$F$52,4,0)*P3468,"")</f>
        <v/>
      </c>
      <c r="Y3468" s="8" t="e">
        <f>+VLOOKUP(M3468,[1]SKU!$B$3:$E$81,4,0)</f>
        <v>#N/A</v>
      </c>
      <c r="Z3468" s="8" t="str">
        <f t="shared" si="54"/>
        <v>FLEX</v>
      </c>
      <c r="AA3468" s="8" t="e">
        <f>+VLOOKUP(I3468,[1]SKU!$H$2:$I$97,2,0)</f>
        <v>#N/A</v>
      </c>
    </row>
    <row r="3469" spans="24:27">
      <c r="X3469" s="8" t="str">
        <f>+IFERROR(VLOOKUP(N3469,[1]Hoja1!$B$2:$F$52,4,0)*P3469,"")</f>
        <v/>
      </c>
      <c r="Y3469" s="8" t="e">
        <f>+VLOOKUP(M3469,[1]SKU!$B$3:$E$81,4,0)</f>
        <v>#N/A</v>
      </c>
      <c r="Z3469" s="8" t="str">
        <f t="shared" si="54"/>
        <v>FLEX</v>
      </c>
      <c r="AA3469" s="8" t="e">
        <f>+VLOOKUP(I3469,[1]SKU!$H$2:$I$97,2,0)</f>
        <v>#N/A</v>
      </c>
    </row>
    <row r="3470" spans="24:27">
      <c r="X3470" s="8" t="str">
        <f>+IFERROR(VLOOKUP(N3470,[1]Hoja1!$B$2:$F$52,4,0)*P3470,"")</f>
        <v/>
      </c>
      <c r="Y3470" s="8" t="e">
        <f>+VLOOKUP(M3470,[1]SKU!$B$3:$E$81,4,0)</f>
        <v>#N/A</v>
      </c>
      <c r="Z3470" s="8" t="str">
        <f t="shared" si="54"/>
        <v>FLEX</v>
      </c>
      <c r="AA3470" s="8" t="e">
        <f>+VLOOKUP(I3470,[1]SKU!$H$2:$I$97,2,0)</f>
        <v>#N/A</v>
      </c>
    </row>
    <row r="3471" spans="24:27">
      <c r="X3471" s="8" t="str">
        <f>+IFERROR(VLOOKUP(N3471,[1]Hoja1!$B$2:$F$52,4,0)*P3471,"")</f>
        <v/>
      </c>
      <c r="Y3471" s="8" t="e">
        <f>+VLOOKUP(M3471,[1]SKU!$B$3:$E$81,4,0)</f>
        <v>#N/A</v>
      </c>
      <c r="Z3471" s="8" t="str">
        <f t="shared" si="54"/>
        <v>FLEX</v>
      </c>
      <c r="AA3471" s="8" t="e">
        <f>+VLOOKUP(I3471,[1]SKU!$H$2:$I$97,2,0)</f>
        <v>#N/A</v>
      </c>
    </row>
    <row r="3472" spans="24:27">
      <c r="X3472" s="8" t="str">
        <f>+IFERROR(VLOOKUP(N3472,[1]Hoja1!$B$2:$F$52,4,0)*P3472,"")</f>
        <v/>
      </c>
      <c r="Y3472" s="8" t="e">
        <f>+VLOOKUP(M3472,[1]SKU!$B$3:$E$81,4,0)</f>
        <v>#N/A</v>
      </c>
      <c r="Z3472" s="8" t="str">
        <f t="shared" si="54"/>
        <v>FLEX</v>
      </c>
      <c r="AA3472" s="8" t="e">
        <f>+VLOOKUP(I3472,[1]SKU!$H$2:$I$97,2,0)</f>
        <v>#N/A</v>
      </c>
    </row>
    <row r="3473" spans="24:27">
      <c r="X3473" s="8" t="str">
        <f>+IFERROR(VLOOKUP(N3473,[1]Hoja1!$B$2:$F$52,4,0)*P3473,"")</f>
        <v/>
      </c>
      <c r="Y3473" s="8" t="e">
        <f>+VLOOKUP(M3473,[1]SKU!$B$3:$E$81,4,0)</f>
        <v>#N/A</v>
      </c>
      <c r="Z3473" s="8" t="str">
        <f t="shared" si="54"/>
        <v>FLEX</v>
      </c>
      <c r="AA3473" s="8" t="e">
        <f>+VLOOKUP(I3473,[1]SKU!$H$2:$I$97,2,0)</f>
        <v>#N/A</v>
      </c>
    </row>
    <row r="3474" spans="24:27">
      <c r="X3474" s="8" t="str">
        <f>+IFERROR(VLOOKUP(N3474,[1]Hoja1!$B$2:$F$52,4,0)*P3474,"")</f>
        <v/>
      </c>
      <c r="Y3474" s="8" t="e">
        <f>+VLOOKUP(M3474,[1]SKU!$B$3:$E$81,4,0)</f>
        <v>#N/A</v>
      </c>
      <c r="Z3474" s="8" t="str">
        <f t="shared" si="54"/>
        <v>FLEX</v>
      </c>
      <c r="AA3474" s="8" t="e">
        <f>+VLOOKUP(I3474,[1]SKU!$H$2:$I$97,2,0)</f>
        <v>#N/A</v>
      </c>
    </row>
    <row r="3475" spans="24:27">
      <c r="X3475" s="8" t="str">
        <f>+IFERROR(VLOOKUP(N3475,[1]Hoja1!$B$2:$F$52,4,0)*P3475,"")</f>
        <v/>
      </c>
      <c r="Y3475" s="8" t="e">
        <f>+VLOOKUP(M3475,[1]SKU!$B$3:$E$81,4,0)</f>
        <v>#N/A</v>
      </c>
      <c r="Z3475" s="8" t="str">
        <f t="shared" si="54"/>
        <v>FLEX</v>
      </c>
      <c r="AA3475" s="8" t="e">
        <f>+VLOOKUP(I3475,[1]SKU!$H$2:$I$97,2,0)</f>
        <v>#N/A</v>
      </c>
    </row>
    <row r="3476" spans="24:27">
      <c r="X3476" s="8" t="str">
        <f>+IFERROR(VLOOKUP(N3476,[1]Hoja1!$B$2:$F$52,4,0)*P3476,"")</f>
        <v/>
      </c>
      <c r="Y3476" s="8" t="e">
        <f>+VLOOKUP(M3476,[1]SKU!$B$3:$E$81,4,0)</f>
        <v>#N/A</v>
      </c>
      <c r="Z3476" s="8" t="str">
        <f t="shared" si="54"/>
        <v>FLEX</v>
      </c>
      <c r="AA3476" s="8" t="e">
        <f>+VLOOKUP(I3476,[1]SKU!$H$2:$I$97,2,0)</f>
        <v>#N/A</v>
      </c>
    </row>
    <row r="3477" spans="24:27">
      <c r="X3477" s="8" t="str">
        <f>+IFERROR(VLOOKUP(N3477,[1]Hoja1!$B$2:$F$52,4,0)*P3477,"")</f>
        <v/>
      </c>
      <c r="Y3477" s="8" t="e">
        <f>+VLOOKUP(M3477,[1]SKU!$B$3:$E$81,4,0)</f>
        <v>#N/A</v>
      </c>
      <c r="Z3477" s="8" t="str">
        <f t="shared" si="54"/>
        <v>FLEX</v>
      </c>
      <c r="AA3477" s="8" t="e">
        <f>+VLOOKUP(I3477,[1]SKU!$H$2:$I$97,2,0)</f>
        <v>#N/A</v>
      </c>
    </row>
    <row r="3478" spans="24:27">
      <c r="X3478" s="8" t="str">
        <f>+IFERROR(VLOOKUP(N3478,[1]Hoja1!$B$2:$F$52,4,0)*P3478,"")</f>
        <v/>
      </c>
      <c r="Y3478" s="8" t="e">
        <f>+VLOOKUP(M3478,[1]SKU!$B$3:$E$81,4,0)</f>
        <v>#N/A</v>
      </c>
      <c r="Z3478" s="8" t="str">
        <f t="shared" si="54"/>
        <v>FLEX</v>
      </c>
      <c r="AA3478" s="8" t="e">
        <f>+VLOOKUP(I3478,[1]SKU!$H$2:$I$97,2,0)</f>
        <v>#N/A</v>
      </c>
    </row>
    <row r="3479" spans="24:27">
      <c r="X3479" s="8" t="str">
        <f>+IFERROR(VLOOKUP(N3479,[1]Hoja1!$B$2:$F$52,4,0)*P3479,"")</f>
        <v/>
      </c>
      <c r="Y3479" s="8" t="e">
        <f>+VLOOKUP(M3479,[1]SKU!$B$3:$E$81,4,0)</f>
        <v>#N/A</v>
      </c>
      <c r="Z3479" s="8" t="str">
        <f t="shared" si="54"/>
        <v>FLEX</v>
      </c>
      <c r="AA3479" s="8" t="e">
        <f>+VLOOKUP(I3479,[1]SKU!$H$2:$I$97,2,0)</f>
        <v>#N/A</v>
      </c>
    </row>
    <row r="3480" spans="24:27">
      <c r="X3480" s="8" t="str">
        <f>+IFERROR(VLOOKUP(N3480,[1]Hoja1!$B$2:$F$52,4,0)*P3480,"")</f>
        <v/>
      </c>
      <c r="Y3480" s="8" t="e">
        <f>+VLOOKUP(M3480,[1]SKU!$B$3:$E$81,4,0)</f>
        <v>#N/A</v>
      </c>
      <c r="Z3480" s="8" t="str">
        <f t="shared" si="54"/>
        <v>FLEX</v>
      </c>
      <c r="AA3480" s="8" t="e">
        <f>+VLOOKUP(I3480,[1]SKU!$H$2:$I$97,2,0)</f>
        <v>#N/A</v>
      </c>
    </row>
    <row r="3481" spans="24:27">
      <c r="X3481" s="8" t="str">
        <f>+IFERROR(VLOOKUP(N3481,[1]Hoja1!$B$2:$F$52,4,0)*P3481,"")</f>
        <v/>
      </c>
      <c r="Y3481" s="8" t="e">
        <f>+VLOOKUP(M3481,[1]SKU!$B$3:$E$81,4,0)</f>
        <v>#N/A</v>
      </c>
      <c r="Z3481" s="8" t="str">
        <f t="shared" si="54"/>
        <v>FLEX</v>
      </c>
      <c r="AA3481" s="8" t="e">
        <f>+VLOOKUP(I3481,[1]SKU!$H$2:$I$97,2,0)</f>
        <v>#N/A</v>
      </c>
    </row>
    <row r="3482" spans="24:27">
      <c r="X3482" s="8" t="str">
        <f>+IFERROR(VLOOKUP(N3482,[1]Hoja1!$B$2:$F$52,4,0)*P3482,"")</f>
        <v/>
      </c>
      <c r="Y3482" s="8" t="e">
        <f>+VLOOKUP(M3482,[1]SKU!$B$3:$E$81,4,0)</f>
        <v>#N/A</v>
      </c>
      <c r="Z3482" s="8" t="str">
        <f t="shared" si="54"/>
        <v>FLEX</v>
      </c>
      <c r="AA3482" s="8" t="e">
        <f>+VLOOKUP(I3482,[1]SKU!$H$2:$I$97,2,0)</f>
        <v>#N/A</v>
      </c>
    </row>
    <row r="3483" spans="24:27">
      <c r="X3483" s="8" t="str">
        <f>+IFERROR(VLOOKUP(N3483,[1]Hoja1!$B$2:$F$52,4,0)*P3483,"")</f>
        <v/>
      </c>
      <c r="Y3483" s="8" t="e">
        <f>+VLOOKUP(M3483,[1]SKU!$B$3:$E$81,4,0)</f>
        <v>#N/A</v>
      </c>
      <c r="Z3483" s="8" t="str">
        <f t="shared" si="54"/>
        <v>FLEX</v>
      </c>
      <c r="AA3483" s="8" t="e">
        <f>+VLOOKUP(I3483,[1]SKU!$H$2:$I$97,2,0)</f>
        <v>#N/A</v>
      </c>
    </row>
    <row r="3484" spans="24:27">
      <c r="X3484" s="8" t="str">
        <f>+IFERROR(VLOOKUP(N3484,[1]Hoja1!$B$2:$F$52,4,0)*P3484,"")</f>
        <v/>
      </c>
      <c r="Y3484" s="8" t="e">
        <f>+VLOOKUP(M3484,[1]SKU!$B$3:$E$81,4,0)</f>
        <v>#N/A</v>
      </c>
      <c r="Z3484" s="8" t="str">
        <f t="shared" si="54"/>
        <v>FLEX</v>
      </c>
      <c r="AA3484" s="8" t="e">
        <f>+VLOOKUP(I3484,[1]SKU!$H$2:$I$97,2,0)</f>
        <v>#N/A</v>
      </c>
    </row>
    <row r="3485" spans="24:27">
      <c r="X3485" s="8" t="str">
        <f>+IFERROR(VLOOKUP(N3485,[1]Hoja1!$B$2:$F$52,4,0)*P3485,"")</f>
        <v/>
      </c>
      <c r="Y3485" s="8" t="e">
        <f>+VLOOKUP(M3485,[1]SKU!$B$3:$E$81,4,0)</f>
        <v>#N/A</v>
      </c>
      <c r="Z3485" s="8" t="str">
        <f t="shared" si="54"/>
        <v>FLEX</v>
      </c>
      <c r="AA3485" s="8" t="e">
        <f>+VLOOKUP(I3485,[1]SKU!$H$2:$I$97,2,0)</f>
        <v>#N/A</v>
      </c>
    </row>
    <row r="3486" spans="24:27">
      <c r="X3486" s="8" t="str">
        <f>+IFERROR(VLOOKUP(N3486,[1]Hoja1!$B$2:$F$52,4,0)*P3486,"")</f>
        <v/>
      </c>
      <c r="Y3486" s="8" t="e">
        <f>+VLOOKUP(M3486,[1]SKU!$B$3:$E$81,4,0)</f>
        <v>#N/A</v>
      </c>
      <c r="Z3486" s="8" t="str">
        <f t="shared" si="54"/>
        <v>FLEX</v>
      </c>
      <c r="AA3486" s="8" t="e">
        <f>+VLOOKUP(I3486,[1]SKU!$H$2:$I$97,2,0)</f>
        <v>#N/A</v>
      </c>
    </row>
    <row r="3487" spans="24:27">
      <c r="X3487" s="8" t="str">
        <f>+IFERROR(VLOOKUP(N3487,[1]Hoja1!$B$2:$F$52,4,0)*P3487,"")</f>
        <v/>
      </c>
      <c r="Y3487" s="8" t="e">
        <f>+VLOOKUP(M3487,[1]SKU!$B$3:$E$81,4,0)</f>
        <v>#N/A</v>
      </c>
      <c r="Z3487" s="8" t="str">
        <f t="shared" si="54"/>
        <v>FLEX</v>
      </c>
      <c r="AA3487" s="8" t="e">
        <f>+VLOOKUP(I3487,[1]SKU!$H$2:$I$97,2,0)</f>
        <v>#N/A</v>
      </c>
    </row>
    <row r="3488" spans="24:27">
      <c r="X3488" s="8" t="str">
        <f>+IFERROR(VLOOKUP(N3488,[1]Hoja1!$B$2:$F$52,4,0)*P3488,"")</f>
        <v/>
      </c>
      <c r="Y3488" s="8" t="e">
        <f>+VLOOKUP(M3488,[1]SKU!$B$3:$E$81,4,0)</f>
        <v>#N/A</v>
      </c>
      <c r="Z3488" s="8" t="str">
        <f t="shared" si="54"/>
        <v>FLEX</v>
      </c>
      <c r="AA3488" s="8" t="e">
        <f>+VLOOKUP(I3488,[1]SKU!$H$2:$I$97,2,0)</f>
        <v>#N/A</v>
      </c>
    </row>
    <row r="3489" spans="24:27">
      <c r="X3489" s="8" t="str">
        <f>+IFERROR(VLOOKUP(N3489,[1]Hoja1!$B$2:$F$52,4,0)*P3489,"")</f>
        <v/>
      </c>
      <c r="Y3489" s="8" t="e">
        <f>+VLOOKUP(M3489,[1]SKU!$B$3:$E$81,4,0)</f>
        <v>#N/A</v>
      </c>
      <c r="Z3489" s="8" t="str">
        <f t="shared" si="54"/>
        <v>FLEX</v>
      </c>
      <c r="AA3489" s="8" t="e">
        <f>+VLOOKUP(I3489,[1]SKU!$H$2:$I$97,2,0)</f>
        <v>#N/A</v>
      </c>
    </row>
    <row r="3490" spans="24:27">
      <c r="X3490" s="8" t="str">
        <f>+IFERROR(VLOOKUP(N3490,[1]Hoja1!$B$2:$F$52,4,0)*P3490,"")</f>
        <v/>
      </c>
      <c r="Y3490" s="8" t="e">
        <f>+VLOOKUP(M3490,[1]SKU!$B$3:$E$81,4,0)</f>
        <v>#N/A</v>
      </c>
      <c r="Z3490" s="8" t="str">
        <f t="shared" si="54"/>
        <v>FLEX</v>
      </c>
      <c r="AA3490" s="8" t="e">
        <f>+VLOOKUP(I3490,[1]SKU!$H$2:$I$97,2,0)</f>
        <v>#N/A</v>
      </c>
    </row>
    <row r="3491" spans="24:27">
      <c r="X3491" s="8" t="str">
        <f>+IFERROR(VLOOKUP(N3491,[1]Hoja1!$B$2:$F$52,4,0)*P3491,"")</f>
        <v/>
      </c>
      <c r="Y3491" s="8" t="e">
        <f>+VLOOKUP(M3491,[1]SKU!$B$3:$E$81,4,0)</f>
        <v>#N/A</v>
      </c>
      <c r="Z3491" s="8" t="str">
        <f t="shared" si="54"/>
        <v>FLEX</v>
      </c>
      <c r="AA3491" s="8" t="e">
        <f>+VLOOKUP(I3491,[1]SKU!$H$2:$I$97,2,0)</f>
        <v>#N/A</v>
      </c>
    </row>
    <row r="3492" spans="24:27">
      <c r="X3492" s="8" t="str">
        <f>+IFERROR(VLOOKUP(N3492,[1]Hoja1!$B$2:$F$52,4,0)*P3492,"")</f>
        <v/>
      </c>
      <c r="Y3492" s="8" t="e">
        <f>+VLOOKUP(M3492,[1]SKU!$B$3:$E$81,4,0)</f>
        <v>#N/A</v>
      </c>
      <c r="Z3492" s="8" t="str">
        <f t="shared" si="54"/>
        <v>FLEX</v>
      </c>
      <c r="AA3492" s="8" t="e">
        <f>+VLOOKUP(I3492,[1]SKU!$H$2:$I$97,2,0)</f>
        <v>#N/A</v>
      </c>
    </row>
    <row r="3493" spans="24:27">
      <c r="X3493" s="8" t="str">
        <f>+IFERROR(VLOOKUP(N3493,[1]Hoja1!$B$2:$F$52,4,0)*P3493,"")</f>
        <v/>
      </c>
      <c r="Y3493" s="8" t="e">
        <f>+VLOOKUP(M3493,[1]SKU!$B$3:$E$81,4,0)</f>
        <v>#N/A</v>
      </c>
      <c r="Z3493" s="8" t="str">
        <f t="shared" si="54"/>
        <v>FLEX</v>
      </c>
      <c r="AA3493" s="8" t="e">
        <f>+VLOOKUP(I3493,[1]SKU!$H$2:$I$97,2,0)</f>
        <v>#N/A</v>
      </c>
    </row>
    <row r="3494" spans="24:27">
      <c r="X3494" s="8" t="str">
        <f>+IFERROR(VLOOKUP(N3494,[1]Hoja1!$B$2:$F$52,4,0)*P3494,"")</f>
        <v/>
      </c>
      <c r="Y3494" s="8" t="e">
        <f>+VLOOKUP(M3494,[1]SKU!$B$3:$E$81,4,0)</f>
        <v>#N/A</v>
      </c>
      <c r="Z3494" s="8" t="str">
        <f t="shared" si="54"/>
        <v>FLEX</v>
      </c>
      <c r="AA3494" s="8" t="e">
        <f>+VLOOKUP(I3494,[1]SKU!$H$2:$I$97,2,0)</f>
        <v>#N/A</v>
      </c>
    </row>
    <row r="3495" spans="24:27">
      <c r="X3495" s="8" t="str">
        <f>+IFERROR(VLOOKUP(N3495,[1]Hoja1!$B$2:$F$52,4,0)*P3495,"")</f>
        <v/>
      </c>
      <c r="Y3495" s="8" t="e">
        <f>+VLOOKUP(M3495,[1]SKU!$B$3:$E$81,4,0)</f>
        <v>#N/A</v>
      </c>
      <c r="Z3495" s="8" t="str">
        <f t="shared" si="54"/>
        <v>FLEX</v>
      </c>
      <c r="AA3495" s="8" t="e">
        <f>+VLOOKUP(I3495,[1]SKU!$H$2:$I$97,2,0)</f>
        <v>#N/A</v>
      </c>
    </row>
    <row r="3496" spans="24:27">
      <c r="X3496" s="8" t="str">
        <f>+IFERROR(VLOOKUP(N3496,[1]Hoja1!$B$2:$F$52,4,0)*P3496,"")</f>
        <v/>
      </c>
      <c r="Y3496" s="8" t="e">
        <f>+VLOOKUP(M3496,[1]SKU!$B$3:$E$81,4,0)</f>
        <v>#N/A</v>
      </c>
      <c r="Z3496" s="8" t="str">
        <f t="shared" si="54"/>
        <v>FLEX</v>
      </c>
      <c r="AA3496" s="8" t="e">
        <f>+VLOOKUP(I3496,[1]SKU!$H$2:$I$97,2,0)</f>
        <v>#N/A</v>
      </c>
    </row>
    <row r="3497" spans="24:27">
      <c r="X3497" s="8" t="str">
        <f>+IFERROR(VLOOKUP(N3497,[1]Hoja1!$B$2:$F$52,4,0)*P3497,"")</f>
        <v/>
      </c>
      <c r="Y3497" s="8" t="e">
        <f>+VLOOKUP(M3497,[1]SKU!$B$3:$E$81,4,0)</f>
        <v>#N/A</v>
      </c>
      <c r="Z3497" s="8" t="str">
        <f t="shared" si="54"/>
        <v>FLEX</v>
      </c>
      <c r="AA3497" s="8" t="e">
        <f>+VLOOKUP(I3497,[1]SKU!$H$2:$I$97,2,0)</f>
        <v>#N/A</v>
      </c>
    </row>
    <row r="3498" spans="24:27">
      <c r="X3498" s="8" t="str">
        <f>+IFERROR(VLOOKUP(N3498,[1]Hoja1!$B$2:$F$52,4,0)*P3498,"")</f>
        <v/>
      </c>
      <c r="Y3498" s="8" t="e">
        <f>+VLOOKUP(M3498,[1]SKU!$B$3:$E$81,4,0)</f>
        <v>#N/A</v>
      </c>
      <c r="Z3498" s="8" t="str">
        <f t="shared" si="54"/>
        <v>FLEX</v>
      </c>
      <c r="AA3498" s="8" t="e">
        <f>+VLOOKUP(I3498,[1]SKU!$H$2:$I$97,2,0)</f>
        <v>#N/A</v>
      </c>
    </row>
    <row r="3499" spans="24:27">
      <c r="X3499" s="8" t="str">
        <f>+IFERROR(VLOOKUP(N3499,[1]Hoja1!$B$2:$F$52,4,0)*P3499,"")</f>
        <v/>
      </c>
      <c r="Y3499" s="8" t="e">
        <f>+VLOOKUP(M3499,[1]SKU!$B$3:$E$81,4,0)</f>
        <v>#N/A</v>
      </c>
      <c r="Z3499" s="8" t="str">
        <f t="shared" si="54"/>
        <v>FLEX</v>
      </c>
      <c r="AA3499" s="8" t="e">
        <f>+VLOOKUP(I3499,[1]SKU!$H$2:$I$97,2,0)</f>
        <v>#N/A</v>
      </c>
    </row>
    <row r="3500" spans="24:27">
      <c r="X3500" s="8" t="str">
        <f>+IFERROR(VLOOKUP(N3500,[1]Hoja1!$B$2:$F$52,4,0)*P3500,"")</f>
        <v/>
      </c>
      <c r="Y3500" s="8" t="e">
        <f>+VLOOKUP(M3500,[1]SKU!$B$3:$E$81,4,0)</f>
        <v>#N/A</v>
      </c>
      <c r="Z3500" s="8" t="str">
        <f t="shared" si="54"/>
        <v>FLEX</v>
      </c>
      <c r="AA3500" s="8" t="e">
        <f>+VLOOKUP(I3500,[1]SKU!$H$2:$I$97,2,0)</f>
        <v>#N/A</v>
      </c>
    </row>
    <row r="3501" spans="24:27">
      <c r="X3501" s="8" t="str">
        <f>+IFERROR(VLOOKUP(N3501,[1]Hoja1!$B$2:$F$52,4,0)*P3501,"")</f>
        <v/>
      </c>
      <c r="Y3501" s="8" t="e">
        <f>+VLOOKUP(M3501,[1]SKU!$B$3:$E$81,4,0)</f>
        <v>#N/A</v>
      </c>
      <c r="Z3501" s="8" t="str">
        <f t="shared" si="54"/>
        <v>FLEX</v>
      </c>
      <c r="AA3501" s="8" t="e">
        <f>+VLOOKUP(I3501,[1]SKU!$H$2:$I$97,2,0)</f>
        <v>#N/A</v>
      </c>
    </row>
    <row r="3502" spans="24:27">
      <c r="X3502" s="8" t="str">
        <f>+IFERROR(VLOOKUP(N3502,[1]Hoja1!$B$2:$F$52,4,0)*P3502,"")</f>
        <v/>
      </c>
      <c r="Y3502" s="8" t="e">
        <f>+VLOOKUP(M3502,[1]SKU!$B$3:$E$81,4,0)</f>
        <v>#N/A</v>
      </c>
      <c r="Z3502" s="8" t="str">
        <f t="shared" si="54"/>
        <v>FLEX</v>
      </c>
      <c r="AA3502" s="8" t="e">
        <f>+VLOOKUP(I3502,[1]SKU!$H$2:$I$97,2,0)</f>
        <v>#N/A</v>
      </c>
    </row>
    <row r="3503" spans="24:27">
      <c r="X3503" s="8" t="str">
        <f>+IFERROR(VLOOKUP(N3503,[1]Hoja1!$B$2:$F$52,4,0)*P3503,"")</f>
        <v/>
      </c>
      <c r="Y3503" s="8" t="e">
        <f>+VLOOKUP(M3503,[1]SKU!$B$3:$E$81,4,0)</f>
        <v>#N/A</v>
      </c>
      <c r="Z3503" s="8" t="str">
        <f t="shared" si="54"/>
        <v>FLEX</v>
      </c>
      <c r="AA3503" s="8" t="e">
        <f>+VLOOKUP(I3503,[1]SKU!$H$2:$I$97,2,0)</f>
        <v>#N/A</v>
      </c>
    </row>
    <row r="3504" spans="24:27">
      <c r="X3504" s="8" t="str">
        <f>+IFERROR(VLOOKUP(N3504,[1]Hoja1!$B$2:$F$52,4,0)*P3504,"")</f>
        <v/>
      </c>
      <c r="Y3504" s="8" t="e">
        <f>+VLOOKUP(M3504,[1]SKU!$B$3:$E$81,4,0)</f>
        <v>#N/A</v>
      </c>
      <c r="Z3504" s="8" t="str">
        <f t="shared" si="54"/>
        <v>FLEX</v>
      </c>
      <c r="AA3504" s="8" t="e">
        <f>+VLOOKUP(I3504,[1]SKU!$H$2:$I$97,2,0)</f>
        <v>#N/A</v>
      </c>
    </row>
    <row r="3505" spans="24:27">
      <c r="X3505" s="8" t="str">
        <f>+IFERROR(VLOOKUP(N3505,[1]Hoja1!$B$2:$F$52,4,0)*P3505,"")</f>
        <v/>
      </c>
      <c r="Y3505" s="8" t="e">
        <f>+VLOOKUP(M3505,[1]SKU!$B$3:$E$81,4,0)</f>
        <v>#N/A</v>
      </c>
      <c r="Z3505" s="8" t="str">
        <f t="shared" si="54"/>
        <v>FLEX</v>
      </c>
      <c r="AA3505" s="8" t="e">
        <f>+VLOOKUP(I3505,[1]SKU!$H$2:$I$97,2,0)</f>
        <v>#N/A</v>
      </c>
    </row>
    <row r="3506" spans="24:27">
      <c r="X3506" s="8" t="str">
        <f>+IFERROR(VLOOKUP(N3506,[1]Hoja1!$B$2:$F$52,4,0)*P3506,"")</f>
        <v/>
      </c>
      <c r="Y3506" s="8" t="e">
        <f>+VLOOKUP(M3506,[1]SKU!$B$3:$E$81,4,0)</f>
        <v>#N/A</v>
      </c>
      <c r="Z3506" s="8" t="str">
        <f t="shared" si="54"/>
        <v>FLEX</v>
      </c>
      <c r="AA3506" s="8" t="e">
        <f>+VLOOKUP(I3506,[1]SKU!$H$2:$I$97,2,0)</f>
        <v>#N/A</v>
      </c>
    </row>
    <row r="3507" spans="24:27">
      <c r="X3507" s="8" t="str">
        <f>+IFERROR(VLOOKUP(N3507,[1]Hoja1!$B$2:$F$52,4,0)*P3507,"")</f>
        <v/>
      </c>
      <c r="Y3507" s="8" t="e">
        <f>+VLOOKUP(M3507,[1]SKU!$B$3:$E$81,4,0)</f>
        <v>#N/A</v>
      </c>
      <c r="Z3507" s="8" t="str">
        <f t="shared" si="54"/>
        <v>FLEX</v>
      </c>
      <c r="AA3507" s="8" t="e">
        <f>+VLOOKUP(I3507,[1]SKU!$H$2:$I$97,2,0)</f>
        <v>#N/A</v>
      </c>
    </row>
    <row r="3508" spans="24:27">
      <c r="X3508" s="8" t="str">
        <f>+IFERROR(VLOOKUP(N3508,[1]Hoja1!$B$2:$F$52,4,0)*P3508,"")</f>
        <v/>
      </c>
      <c r="Y3508" s="8" t="e">
        <f>+VLOOKUP(M3508,[1]SKU!$B$3:$E$81,4,0)</f>
        <v>#N/A</v>
      </c>
      <c r="Z3508" s="8" t="str">
        <f t="shared" si="54"/>
        <v>FLEX</v>
      </c>
      <c r="AA3508" s="8" t="e">
        <f>+VLOOKUP(I3508,[1]SKU!$H$2:$I$97,2,0)</f>
        <v>#N/A</v>
      </c>
    </row>
    <row r="3509" spans="24:27">
      <c r="X3509" s="8" t="str">
        <f>+IFERROR(VLOOKUP(N3509,[1]Hoja1!$B$2:$F$52,4,0)*P3509,"")</f>
        <v/>
      </c>
      <c r="Y3509" s="8" t="e">
        <f>+VLOOKUP(M3509,[1]SKU!$B$3:$E$81,4,0)</f>
        <v>#N/A</v>
      </c>
      <c r="Z3509" s="8" t="str">
        <f t="shared" si="54"/>
        <v>FLEX</v>
      </c>
      <c r="AA3509" s="8" t="e">
        <f>+VLOOKUP(I3509,[1]SKU!$H$2:$I$97,2,0)</f>
        <v>#N/A</v>
      </c>
    </row>
    <row r="3510" spans="24:27">
      <c r="X3510" s="8" t="str">
        <f>+IFERROR(VLOOKUP(N3510,[1]Hoja1!$B$2:$F$52,4,0)*P3510,"")</f>
        <v/>
      </c>
      <c r="Y3510" s="8" t="e">
        <f>+VLOOKUP(M3510,[1]SKU!$B$3:$E$81,4,0)</f>
        <v>#N/A</v>
      </c>
      <c r="Z3510" s="8" t="str">
        <f t="shared" si="54"/>
        <v>FLEX</v>
      </c>
      <c r="AA3510" s="8" t="e">
        <f>+VLOOKUP(I3510,[1]SKU!$H$2:$I$97,2,0)</f>
        <v>#N/A</v>
      </c>
    </row>
    <row r="3511" spans="24:27">
      <c r="X3511" s="8" t="str">
        <f>+IFERROR(VLOOKUP(N3511,[1]Hoja1!$B$2:$F$52,4,0)*P3511,"")</f>
        <v/>
      </c>
      <c r="Y3511" s="8" t="e">
        <f>+VLOOKUP(M3511,[1]SKU!$B$3:$E$81,4,0)</f>
        <v>#N/A</v>
      </c>
      <c r="Z3511" s="8" t="str">
        <f t="shared" si="54"/>
        <v>FLEX</v>
      </c>
      <c r="AA3511" s="8" t="e">
        <f>+VLOOKUP(I3511,[1]SKU!$H$2:$I$97,2,0)</f>
        <v>#N/A</v>
      </c>
    </row>
    <row r="3512" spans="24:27">
      <c r="X3512" s="8" t="str">
        <f>+IFERROR(VLOOKUP(N3512,[1]Hoja1!$B$2:$F$52,4,0)*P3512,"")</f>
        <v/>
      </c>
      <c r="Y3512" s="8" t="e">
        <f>+VLOOKUP(M3512,[1]SKU!$B$3:$E$81,4,0)</f>
        <v>#N/A</v>
      </c>
      <c r="Z3512" s="8" t="str">
        <f t="shared" si="54"/>
        <v>FLEX</v>
      </c>
      <c r="AA3512" s="8" t="e">
        <f>+VLOOKUP(I3512,[1]SKU!$H$2:$I$97,2,0)</f>
        <v>#N/A</v>
      </c>
    </row>
    <row r="3513" spans="24:27">
      <c r="X3513" s="8" t="str">
        <f>+IFERROR(VLOOKUP(N3513,[1]Hoja1!$B$2:$F$52,4,0)*P3513,"")</f>
        <v/>
      </c>
      <c r="Y3513" s="8" t="e">
        <f>+VLOOKUP(M3513,[1]SKU!$B$3:$E$81,4,0)</f>
        <v>#N/A</v>
      </c>
      <c r="Z3513" s="8" t="str">
        <f t="shared" si="54"/>
        <v>FLEX</v>
      </c>
      <c r="AA3513" s="8" t="e">
        <f>+VLOOKUP(I3513,[1]SKU!$H$2:$I$97,2,0)</f>
        <v>#N/A</v>
      </c>
    </row>
    <row r="3514" spans="24:27">
      <c r="X3514" s="8" t="str">
        <f>+IFERROR(VLOOKUP(N3514,[1]Hoja1!$B$2:$F$52,4,0)*P3514,"")</f>
        <v/>
      </c>
      <c r="Y3514" s="8" t="e">
        <f>+VLOOKUP(M3514,[1]SKU!$B$3:$E$81,4,0)</f>
        <v>#N/A</v>
      </c>
      <c r="Z3514" s="8" t="str">
        <f t="shared" si="54"/>
        <v>FLEX</v>
      </c>
      <c r="AA3514" s="8" t="e">
        <f>+VLOOKUP(I3514,[1]SKU!$H$2:$I$97,2,0)</f>
        <v>#N/A</v>
      </c>
    </row>
    <row r="3515" spans="24:27">
      <c r="X3515" s="8" t="str">
        <f>+IFERROR(VLOOKUP(N3515,[1]Hoja1!$B$2:$F$52,4,0)*P3515,"")</f>
        <v/>
      </c>
      <c r="Y3515" s="8" t="e">
        <f>+VLOOKUP(M3515,[1]SKU!$B$3:$E$81,4,0)</f>
        <v>#N/A</v>
      </c>
      <c r="Z3515" s="8" t="str">
        <f t="shared" si="54"/>
        <v>FLEX</v>
      </c>
      <c r="AA3515" s="8" t="e">
        <f>+VLOOKUP(I3515,[1]SKU!$H$2:$I$97,2,0)</f>
        <v>#N/A</v>
      </c>
    </row>
    <row r="3516" spans="24:27">
      <c r="X3516" s="8" t="str">
        <f>+IFERROR(VLOOKUP(N3516,[1]Hoja1!$B$2:$F$52,4,0)*P3516,"")</f>
        <v/>
      </c>
      <c r="Y3516" s="8" t="e">
        <f>+VLOOKUP(M3516,[1]SKU!$B$3:$E$81,4,0)</f>
        <v>#N/A</v>
      </c>
      <c r="Z3516" s="8" t="str">
        <f t="shared" si="54"/>
        <v>FLEX</v>
      </c>
      <c r="AA3516" s="8" t="e">
        <f>+VLOOKUP(I3516,[1]SKU!$H$2:$I$97,2,0)</f>
        <v>#N/A</v>
      </c>
    </row>
    <row r="3517" spans="24:27">
      <c r="X3517" s="8" t="str">
        <f>+IFERROR(VLOOKUP(N3517,[1]Hoja1!$B$2:$F$52,4,0)*P3517,"")</f>
        <v/>
      </c>
      <c r="Y3517" s="8" t="e">
        <f>+VLOOKUP(M3517,[1]SKU!$B$3:$E$81,4,0)</f>
        <v>#N/A</v>
      </c>
      <c r="Z3517" s="8" t="str">
        <f t="shared" si="54"/>
        <v>FLEX</v>
      </c>
      <c r="AA3517" s="8" t="e">
        <f>+VLOOKUP(I3517,[1]SKU!$H$2:$I$97,2,0)</f>
        <v>#N/A</v>
      </c>
    </row>
    <row r="3518" spans="24:27">
      <c r="X3518" s="8" t="str">
        <f>+IFERROR(VLOOKUP(N3518,[1]Hoja1!$B$2:$F$52,4,0)*P3518,"")</f>
        <v/>
      </c>
      <c r="Y3518" s="8" t="e">
        <f>+VLOOKUP(M3518,[1]SKU!$B$3:$E$81,4,0)</f>
        <v>#N/A</v>
      </c>
      <c r="Z3518" s="8" t="str">
        <f t="shared" si="54"/>
        <v>FLEX</v>
      </c>
      <c r="AA3518" s="8" t="e">
        <f>+VLOOKUP(I3518,[1]SKU!$H$2:$I$97,2,0)</f>
        <v>#N/A</v>
      </c>
    </row>
    <row r="3519" spans="24:27">
      <c r="X3519" s="8" t="str">
        <f>+IFERROR(VLOOKUP(N3519,[1]Hoja1!$B$2:$F$52,4,0)*P3519,"")</f>
        <v/>
      </c>
      <c r="Y3519" s="8" t="e">
        <f>+VLOOKUP(M3519,[1]SKU!$B$3:$E$81,4,0)</f>
        <v>#N/A</v>
      </c>
      <c r="Z3519" s="8" t="str">
        <f t="shared" si="54"/>
        <v>FLEX</v>
      </c>
      <c r="AA3519" s="8" t="e">
        <f>+VLOOKUP(I3519,[1]SKU!$H$2:$I$97,2,0)</f>
        <v>#N/A</v>
      </c>
    </row>
    <row r="3520" spans="24:27">
      <c r="X3520" s="8" t="str">
        <f>+IFERROR(VLOOKUP(N3520,[1]Hoja1!$B$2:$F$52,4,0)*P3520,"")</f>
        <v/>
      </c>
      <c r="Y3520" s="8" t="e">
        <f>+VLOOKUP(M3520,[1]SKU!$B$3:$E$81,4,0)</f>
        <v>#N/A</v>
      </c>
      <c r="Z3520" s="8" t="str">
        <f t="shared" si="54"/>
        <v>FLEX</v>
      </c>
      <c r="AA3520" s="8" t="e">
        <f>+VLOOKUP(I3520,[1]SKU!$H$2:$I$97,2,0)</f>
        <v>#N/A</v>
      </c>
    </row>
    <row r="3521" spans="24:27">
      <c r="X3521" s="8" t="str">
        <f>+IFERROR(VLOOKUP(N3521,[1]Hoja1!$B$2:$F$52,4,0)*P3521,"")</f>
        <v/>
      </c>
      <c r="Y3521" s="8" t="e">
        <f>+VLOOKUP(M3521,[1]SKU!$B$3:$E$81,4,0)</f>
        <v>#N/A</v>
      </c>
      <c r="Z3521" s="8" t="str">
        <f t="shared" si="54"/>
        <v>FLEX</v>
      </c>
      <c r="AA3521" s="8" t="e">
        <f>+VLOOKUP(I3521,[1]SKU!$H$2:$I$97,2,0)</f>
        <v>#N/A</v>
      </c>
    </row>
    <row r="3522" spans="24:27">
      <c r="X3522" s="8" t="str">
        <f>+IFERROR(VLOOKUP(N3522,[1]Hoja1!$B$2:$F$52,4,0)*P3522,"")</f>
        <v/>
      </c>
      <c r="Y3522" s="8" t="e">
        <f>+VLOOKUP(M3522,[1]SKU!$B$3:$E$81,4,0)</f>
        <v>#N/A</v>
      </c>
      <c r="Z3522" s="8" t="str">
        <f t="shared" si="54"/>
        <v>FLEX</v>
      </c>
      <c r="AA3522" s="8" t="e">
        <f>+VLOOKUP(I3522,[1]SKU!$H$2:$I$97,2,0)</f>
        <v>#N/A</v>
      </c>
    </row>
    <row r="3523" spans="24:27">
      <c r="X3523" s="8" t="str">
        <f>+IFERROR(VLOOKUP(N3523,[1]Hoja1!$B$2:$F$52,4,0)*P3523,"")</f>
        <v/>
      </c>
      <c r="Y3523" s="8" t="e">
        <f>+VLOOKUP(M3523,[1]SKU!$B$3:$E$81,4,0)</f>
        <v>#N/A</v>
      </c>
      <c r="Z3523" s="8" t="str">
        <f t="shared" ref="Z3523:Z3586" si="55">+IF(J3523="VB01                          ","BEES","FLEX")</f>
        <v>FLEX</v>
      </c>
      <c r="AA3523" s="8" t="e">
        <f>+VLOOKUP(I3523,[1]SKU!$H$2:$I$97,2,0)</f>
        <v>#N/A</v>
      </c>
    </row>
    <row r="3524" spans="24:27">
      <c r="X3524" s="8" t="str">
        <f>+IFERROR(VLOOKUP(N3524,[1]Hoja1!$B$2:$F$52,4,0)*P3524,"")</f>
        <v/>
      </c>
      <c r="Y3524" s="8" t="e">
        <f>+VLOOKUP(M3524,[1]SKU!$B$3:$E$81,4,0)</f>
        <v>#N/A</v>
      </c>
      <c r="Z3524" s="8" t="str">
        <f t="shared" si="55"/>
        <v>FLEX</v>
      </c>
      <c r="AA3524" s="8" t="e">
        <f>+VLOOKUP(I3524,[1]SKU!$H$2:$I$97,2,0)</f>
        <v>#N/A</v>
      </c>
    </row>
    <row r="3525" spans="24:27">
      <c r="X3525" s="8" t="str">
        <f>+IFERROR(VLOOKUP(N3525,[1]Hoja1!$B$2:$F$52,4,0)*P3525,"")</f>
        <v/>
      </c>
      <c r="Y3525" s="8" t="e">
        <f>+VLOOKUP(M3525,[1]SKU!$B$3:$E$81,4,0)</f>
        <v>#N/A</v>
      </c>
      <c r="Z3525" s="8" t="str">
        <f t="shared" si="55"/>
        <v>FLEX</v>
      </c>
      <c r="AA3525" s="8" t="e">
        <f>+VLOOKUP(I3525,[1]SKU!$H$2:$I$97,2,0)</f>
        <v>#N/A</v>
      </c>
    </row>
    <row r="3526" spans="24:27">
      <c r="X3526" s="8" t="str">
        <f>+IFERROR(VLOOKUP(N3526,[1]Hoja1!$B$2:$F$52,4,0)*P3526,"")</f>
        <v/>
      </c>
      <c r="Y3526" s="8" t="e">
        <f>+VLOOKUP(M3526,[1]SKU!$B$3:$E$81,4,0)</f>
        <v>#N/A</v>
      </c>
      <c r="Z3526" s="8" t="str">
        <f t="shared" si="55"/>
        <v>FLEX</v>
      </c>
      <c r="AA3526" s="8" t="e">
        <f>+VLOOKUP(I3526,[1]SKU!$H$2:$I$97,2,0)</f>
        <v>#N/A</v>
      </c>
    </row>
    <row r="3527" spans="24:27">
      <c r="X3527" s="8" t="str">
        <f>+IFERROR(VLOOKUP(N3527,[1]Hoja1!$B$2:$F$52,4,0)*P3527,"")</f>
        <v/>
      </c>
      <c r="Y3527" s="8" t="e">
        <f>+VLOOKUP(M3527,[1]SKU!$B$3:$E$81,4,0)</f>
        <v>#N/A</v>
      </c>
      <c r="Z3527" s="8" t="str">
        <f t="shared" si="55"/>
        <v>FLEX</v>
      </c>
      <c r="AA3527" s="8" t="e">
        <f>+VLOOKUP(I3527,[1]SKU!$H$2:$I$97,2,0)</f>
        <v>#N/A</v>
      </c>
    </row>
    <row r="3528" spans="24:27">
      <c r="X3528" s="8" t="str">
        <f>+IFERROR(VLOOKUP(N3528,[1]Hoja1!$B$2:$F$52,4,0)*P3528,"")</f>
        <v/>
      </c>
      <c r="Y3528" s="8" t="e">
        <f>+VLOOKUP(M3528,[1]SKU!$B$3:$E$81,4,0)</f>
        <v>#N/A</v>
      </c>
      <c r="Z3528" s="8" t="str">
        <f t="shared" si="55"/>
        <v>FLEX</v>
      </c>
      <c r="AA3528" s="8" t="e">
        <f>+VLOOKUP(I3528,[1]SKU!$H$2:$I$97,2,0)</f>
        <v>#N/A</v>
      </c>
    </row>
    <row r="3529" spans="24:27">
      <c r="X3529" s="8" t="str">
        <f>+IFERROR(VLOOKUP(N3529,[1]Hoja1!$B$2:$F$52,4,0)*P3529,"")</f>
        <v/>
      </c>
      <c r="Y3529" s="8" t="e">
        <f>+VLOOKUP(M3529,[1]SKU!$B$3:$E$81,4,0)</f>
        <v>#N/A</v>
      </c>
      <c r="Z3529" s="8" t="str">
        <f t="shared" si="55"/>
        <v>FLEX</v>
      </c>
      <c r="AA3529" s="8" t="e">
        <f>+VLOOKUP(I3529,[1]SKU!$H$2:$I$97,2,0)</f>
        <v>#N/A</v>
      </c>
    </row>
    <row r="3530" spans="24:27">
      <c r="X3530" s="8" t="str">
        <f>+IFERROR(VLOOKUP(N3530,[1]Hoja1!$B$2:$F$52,4,0)*P3530,"")</f>
        <v/>
      </c>
      <c r="Y3530" s="8" t="e">
        <f>+VLOOKUP(M3530,[1]SKU!$B$3:$E$81,4,0)</f>
        <v>#N/A</v>
      </c>
      <c r="Z3530" s="8" t="str">
        <f t="shared" si="55"/>
        <v>FLEX</v>
      </c>
      <c r="AA3530" s="8" t="e">
        <f>+VLOOKUP(I3530,[1]SKU!$H$2:$I$97,2,0)</f>
        <v>#N/A</v>
      </c>
    </row>
    <row r="3531" spans="24:27">
      <c r="X3531" s="8" t="str">
        <f>+IFERROR(VLOOKUP(N3531,[1]Hoja1!$B$2:$F$52,4,0)*P3531,"")</f>
        <v/>
      </c>
      <c r="Y3531" s="8" t="e">
        <f>+VLOOKUP(M3531,[1]SKU!$B$3:$E$81,4,0)</f>
        <v>#N/A</v>
      </c>
      <c r="Z3531" s="8" t="str">
        <f t="shared" si="55"/>
        <v>FLEX</v>
      </c>
      <c r="AA3531" s="8" t="e">
        <f>+VLOOKUP(I3531,[1]SKU!$H$2:$I$97,2,0)</f>
        <v>#N/A</v>
      </c>
    </row>
    <row r="3532" spans="24:27">
      <c r="X3532" s="8" t="str">
        <f>+IFERROR(VLOOKUP(N3532,[1]Hoja1!$B$2:$F$52,4,0)*P3532,"")</f>
        <v/>
      </c>
      <c r="Y3532" s="8" t="e">
        <f>+VLOOKUP(M3532,[1]SKU!$B$3:$E$81,4,0)</f>
        <v>#N/A</v>
      </c>
      <c r="Z3532" s="8" t="str">
        <f t="shared" si="55"/>
        <v>FLEX</v>
      </c>
      <c r="AA3532" s="8" t="e">
        <f>+VLOOKUP(I3532,[1]SKU!$H$2:$I$97,2,0)</f>
        <v>#N/A</v>
      </c>
    </row>
    <row r="3533" spans="24:27">
      <c r="X3533" s="8" t="str">
        <f>+IFERROR(VLOOKUP(N3533,[1]Hoja1!$B$2:$F$52,4,0)*P3533,"")</f>
        <v/>
      </c>
      <c r="Y3533" s="8" t="e">
        <f>+VLOOKUP(M3533,[1]SKU!$B$3:$E$81,4,0)</f>
        <v>#N/A</v>
      </c>
      <c r="Z3533" s="8" t="str">
        <f t="shared" si="55"/>
        <v>FLEX</v>
      </c>
      <c r="AA3533" s="8" t="e">
        <f>+VLOOKUP(I3533,[1]SKU!$H$2:$I$97,2,0)</f>
        <v>#N/A</v>
      </c>
    </row>
    <row r="3534" spans="24:27">
      <c r="X3534" s="8" t="str">
        <f>+IFERROR(VLOOKUP(N3534,[1]Hoja1!$B$2:$F$52,4,0)*P3534,"")</f>
        <v/>
      </c>
      <c r="Y3534" s="8" t="e">
        <f>+VLOOKUP(M3534,[1]SKU!$B$3:$E$81,4,0)</f>
        <v>#N/A</v>
      </c>
      <c r="Z3534" s="8" t="str">
        <f t="shared" si="55"/>
        <v>FLEX</v>
      </c>
      <c r="AA3534" s="8" t="e">
        <f>+VLOOKUP(I3534,[1]SKU!$H$2:$I$97,2,0)</f>
        <v>#N/A</v>
      </c>
    </row>
    <row r="3535" spans="24:27">
      <c r="X3535" s="8" t="str">
        <f>+IFERROR(VLOOKUP(N3535,[1]Hoja1!$B$2:$F$52,4,0)*P3535,"")</f>
        <v/>
      </c>
      <c r="Y3535" s="8" t="e">
        <f>+VLOOKUP(M3535,[1]SKU!$B$3:$E$81,4,0)</f>
        <v>#N/A</v>
      </c>
      <c r="Z3535" s="8" t="str">
        <f t="shared" si="55"/>
        <v>FLEX</v>
      </c>
      <c r="AA3535" s="8" t="e">
        <f>+VLOOKUP(I3535,[1]SKU!$H$2:$I$97,2,0)</f>
        <v>#N/A</v>
      </c>
    </row>
    <row r="3536" spans="24:27">
      <c r="X3536" s="8" t="str">
        <f>+IFERROR(VLOOKUP(N3536,[1]Hoja1!$B$2:$F$52,4,0)*P3536,"")</f>
        <v/>
      </c>
      <c r="Y3536" s="8" t="e">
        <f>+VLOOKUP(M3536,[1]SKU!$B$3:$E$81,4,0)</f>
        <v>#N/A</v>
      </c>
      <c r="Z3536" s="8" t="str">
        <f t="shared" si="55"/>
        <v>FLEX</v>
      </c>
      <c r="AA3536" s="8" t="e">
        <f>+VLOOKUP(I3536,[1]SKU!$H$2:$I$97,2,0)</f>
        <v>#N/A</v>
      </c>
    </row>
    <row r="3537" spans="24:27">
      <c r="X3537" s="8" t="str">
        <f>+IFERROR(VLOOKUP(N3537,[1]Hoja1!$B$2:$F$52,4,0)*P3537,"")</f>
        <v/>
      </c>
      <c r="Y3537" s="8" t="e">
        <f>+VLOOKUP(M3537,[1]SKU!$B$3:$E$81,4,0)</f>
        <v>#N/A</v>
      </c>
      <c r="Z3537" s="8" t="str">
        <f t="shared" si="55"/>
        <v>FLEX</v>
      </c>
      <c r="AA3537" s="8" t="e">
        <f>+VLOOKUP(I3537,[1]SKU!$H$2:$I$97,2,0)</f>
        <v>#N/A</v>
      </c>
    </row>
    <row r="3538" spans="24:27">
      <c r="X3538" s="8" t="str">
        <f>+IFERROR(VLOOKUP(N3538,[1]Hoja1!$B$2:$F$52,4,0)*P3538,"")</f>
        <v/>
      </c>
      <c r="Y3538" s="8" t="e">
        <f>+VLOOKUP(M3538,[1]SKU!$B$3:$E$81,4,0)</f>
        <v>#N/A</v>
      </c>
      <c r="Z3538" s="8" t="str">
        <f t="shared" si="55"/>
        <v>FLEX</v>
      </c>
      <c r="AA3538" s="8" t="e">
        <f>+VLOOKUP(I3538,[1]SKU!$H$2:$I$97,2,0)</f>
        <v>#N/A</v>
      </c>
    </row>
    <row r="3539" spans="24:27">
      <c r="X3539" s="8" t="str">
        <f>+IFERROR(VLOOKUP(N3539,[1]Hoja1!$B$2:$F$52,4,0)*P3539,"")</f>
        <v/>
      </c>
      <c r="Y3539" s="8" t="e">
        <f>+VLOOKUP(M3539,[1]SKU!$B$3:$E$81,4,0)</f>
        <v>#N/A</v>
      </c>
      <c r="Z3539" s="8" t="str">
        <f t="shared" si="55"/>
        <v>FLEX</v>
      </c>
      <c r="AA3539" s="8" t="e">
        <f>+VLOOKUP(I3539,[1]SKU!$H$2:$I$97,2,0)</f>
        <v>#N/A</v>
      </c>
    </row>
    <row r="3540" spans="24:27">
      <c r="X3540" s="8" t="str">
        <f>+IFERROR(VLOOKUP(N3540,[1]Hoja1!$B$2:$F$52,4,0)*P3540,"")</f>
        <v/>
      </c>
      <c r="Y3540" s="8" t="e">
        <f>+VLOOKUP(M3540,[1]SKU!$B$3:$E$81,4,0)</f>
        <v>#N/A</v>
      </c>
      <c r="Z3540" s="8" t="str">
        <f t="shared" si="55"/>
        <v>FLEX</v>
      </c>
      <c r="AA3540" s="8" t="e">
        <f>+VLOOKUP(I3540,[1]SKU!$H$2:$I$97,2,0)</f>
        <v>#N/A</v>
      </c>
    </row>
    <row r="3541" spans="24:27">
      <c r="X3541" s="8" t="str">
        <f>+IFERROR(VLOOKUP(N3541,[1]Hoja1!$B$2:$F$52,4,0)*P3541,"")</f>
        <v/>
      </c>
      <c r="Y3541" s="8" t="e">
        <f>+VLOOKUP(M3541,[1]SKU!$B$3:$E$81,4,0)</f>
        <v>#N/A</v>
      </c>
      <c r="Z3541" s="8" t="str">
        <f t="shared" si="55"/>
        <v>FLEX</v>
      </c>
      <c r="AA3541" s="8" t="e">
        <f>+VLOOKUP(I3541,[1]SKU!$H$2:$I$97,2,0)</f>
        <v>#N/A</v>
      </c>
    </row>
    <row r="3542" spans="24:27">
      <c r="X3542" s="8" t="str">
        <f>+IFERROR(VLOOKUP(N3542,[1]Hoja1!$B$2:$F$52,4,0)*P3542,"")</f>
        <v/>
      </c>
      <c r="Y3542" s="8" t="e">
        <f>+VLOOKUP(M3542,[1]SKU!$B$3:$E$81,4,0)</f>
        <v>#N/A</v>
      </c>
      <c r="Z3542" s="8" t="str">
        <f t="shared" si="55"/>
        <v>FLEX</v>
      </c>
      <c r="AA3542" s="8" t="e">
        <f>+VLOOKUP(I3542,[1]SKU!$H$2:$I$97,2,0)</f>
        <v>#N/A</v>
      </c>
    </row>
    <row r="3543" spans="24:27">
      <c r="X3543" s="8" t="str">
        <f>+IFERROR(VLOOKUP(N3543,[1]Hoja1!$B$2:$F$52,4,0)*P3543,"")</f>
        <v/>
      </c>
      <c r="Y3543" s="8" t="e">
        <f>+VLOOKUP(M3543,[1]SKU!$B$3:$E$81,4,0)</f>
        <v>#N/A</v>
      </c>
      <c r="Z3543" s="8" t="str">
        <f t="shared" si="55"/>
        <v>FLEX</v>
      </c>
      <c r="AA3543" s="8" t="e">
        <f>+VLOOKUP(I3543,[1]SKU!$H$2:$I$97,2,0)</f>
        <v>#N/A</v>
      </c>
    </row>
    <row r="3544" spans="24:27">
      <c r="X3544" s="8" t="str">
        <f>+IFERROR(VLOOKUP(N3544,[1]Hoja1!$B$2:$F$52,4,0)*P3544,"")</f>
        <v/>
      </c>
      <c r="Y3544" s="8" t="e">
        <f>+VLOOKUP(M3544,[1]SKU!$B$3:$E$81,4,0)</f>
        <v>#N/A</v>
      </c>
      <c r="Z3544" s="8" t="str">
        <f t="shared" si="55"/>
        <v>FLEX</v>
      </c>
      <c r="AA3544" s="8" t="e">
        <f>+VLOOKUP(I3544,[1]SKU!$H$2:$I$97,2,0)</f>
        <v>#N/A</v>
      </c>
    </row>
    <row r="3545" spans="24:27">
      <c r="X3545" s="8" t="str">
        <f>+IFERROR(VLOOKUP(N3545,[1]Hoja1!$B$2:$F$52,4,0)*P3545,"")</f>
        <v/>
      </c>
      <c r="Y3545" s="8" t="e">
        <f>+VLOOKUP(M3545,[1]SKU!$B$3:$E$81,4,0)</f>
        <v>#N/A</v>
      </c>
      <c r="Z3545" s="8" t="str">
        <f t="shared" si="55"/>
        <v>FLEX</v>
      </c>
      <c r="AA3545" s="8" t="e">
        <f>+VLOOKUP(I3545,[1]SKU!$H$2:$I$97,2,0)</f>
        <v>#N/A</v>
      </c>
    </row>
    <row r="3546" spans="24:27">
      <c r="X3546" s="8" t="str">
        <f>+IFERROR(VLOOKUP(N3546,[1]Hoja1!$B$2:$F$52,4,0)*P3546,"")</f>
        <v/>
      </c>
      <c r="Y3546" s="8" t="e">
        <f>+VLOOKUP(M3546,[1]SKU!$B$3:$E$81,4,0)</f>
        <v>#N/A</v>
      </c>
      <c r="Z3546" s="8" t="str">
        <f t="shared" si="55"/>
        <v>FLEX</v>
      </c>
      <c r="AA3546" s="8" t="e">
        <f>+VLOOKUP(I3546,[1]SKU!$H$2:$I$97,2,0)</f>
        <v>#N/A</v>
      </c>
    </row>
    <row r="3547" spans="24:27">
      <c r="X3547" s="8" t="str">
        <f>+IFERROR(VLOOKUP(N3547,[1]Hoja1!$B$2:$F$52,4,0)*P3547,"")</f>
        <v/>
      </c>
      <c r="Y3547" s="8" t="e">
        <f>+VLOOKUP(M3547,[1]SKU!$B$3:$E$81,4,0)</f>
        <v>#N/A</v>
      </c>
      <c r="Z3547" s="8" t="str">
        <f t="shared" si="55"/>
        <v>FLEX</v>
      </c>
      <c r="AA3547" s="8" t="e">
        <f>+VLOOKUP(I3547,[1]SKU!$H$2:$I$97,2,0)</f>
        <v>#N/A</v>
      </c>
    </row>
    <row r="3548" spans="24:27">
      <c r="X3548" s="8" t="str">
        <f>+IFERROR(VLOOKUP(N3548,[1]Hoja1!$B$2:$F$52,4,0)*P3548,"")</f>
        <v/>
      </c>
      <c r="Y3548" s="8" t="e">
        <f>+VLOOKUP(M3548,[1]SKU!$B$3:$E$81,4,0)</f>
        <v>#N/A</v>
      </c>
      <c r="Z3548" s="8" t="str">
        <f t="shared" si="55"/>
        <v>FLEX</v>
      </c>
      <c r="AA3548" s="8" t="e">
        <f>+VLOOKUP(I3548,[1]SKU!$H$2:$I$97,2,0)</f>
        <v>#N/A</v>
      </c>
    </row>
    <row r="3549" spans="24:27">
      <c r="X3549" s="8" t="str">
        <f>+IFERROR(VLOOKUP(N3549,[1]Hoja1!$B$2:$F$52,4,0)*P3549,"")</f>
        <v/>
      </c>
      <c r="Y3549" s="8" t="e">
        <f>+VLOOKUP(M3549,[1]SKU!$B$3:$E$81,4,0)</f>
        <v>#N/A</v>
      </c>
      <c r="Z3549" s="8" t="str">
        <f t="shared" si="55"/>
        <v>FLEX</v>
      </c>
      <c r="AA3549" s="8" t="e">
        <f>+VLOOKUP(I3549,[1]SKU!$H$2:$I$97,2,0)</f>
        <v>#N/A</v>
      </c>
    </row>
    <row r="3550" spans="24:27">
      <c r="X3550" s="8" t="str">
        <f>+IFERROR(VLOOKUP(N3550,[1]Hoja1!$B$2:$F$52,4,0)*P3550,"")</f>
        <v/>
      </c>
      <c r="Y3550" s="8" t="e">
        <f>+VLOOKUP(M3550,[1]SKU!$B$3:$E$81,4,0)</f>
        <v>#N/A</v>
      </c>
      <c r="Z3550" s="8" t="str">
        <f t="shared" si="55"/>
        <v>FLEX</v>
      </c>
      <c r="AA3550" s="8" t="e">
        <f>+VLOOKUP(I3550,[1]SKU!$H$2:$I$97,2,0)</f>
        <v>#N/A</v>
      </c>
    </row>
    <row r="3551" spans="24:27">
      <c r="X3551" s="8" t="str">
        <f>+IFERROR(VLOOKUP(N3551,[1]Hoja1!$B$2:$F$52,4,0)*P3551,"")</f>
        <v/>
      </c>
      <c r="Y3551" s="8" t="e">
        <f>+VLOOKUP(M3551,[1]SKU!$B$3:$E$81,4,0)</f>
        <v>#N/A</v>
      </c>
      <c r="Z3551" s="8" t="str">
        <f t="shared" si="55"/>
        <v>FLEX</v>
      </c>
      <c r="AA3551" s="8" t="e">
        <f>+VLOOKUP(I3551,[1]SKU!$H$2:$I$97,2,0)</f>
        <v>#N/A</v>
      </c>
    </row>
    <row r="3552" spans="24:27">
      <c r="X3552" s="8" t="str">
        <f>+IFERROR(VLOOKUP(N3552,[1]Hoja1!$B$2:$F$52,4,0)*P3552,"")</f>
        <v/>
      </c>
      <c r="Y3552" s="8" t="e">
        <f>+VLOOKUP(M3552,[1]SKU!$B$3:$E$81,4,0)</f>
        <v>#N/A</v>
      </c>
      <c r="Z3552" s="8" t="str">
        <f t="shared" si="55"/>
        <v>FLEX</v>
      </c>
      <c r="AA3552" s="8" t="e">
        <f>+VLOOKUP(I3552,[1]SKU!$H$2:$I$97,2,0)</f>
        <v>#N/A</v>
      </c>
    </row>
    <row r="3553" spans="24:27">
      <c r="X3553" s="8" t="str">
        <f>+IFERROR(VLOOKUP(N3553,[1]Hoja1!$B$2:$F$52,4,0)*P3553,"")</f>
        <v/>
      </c>
      <c r="Y3553" s="8" t="e">
        <f>+VLOOKUP(M3553,[1]SKU!$B$3:$E$81,4,0)</f>
        <v>#N/A</v>
      </c>
      <c r="Z3553" s="8" t="str">
        <f t="shared" si="55"/>
        <v>FLEX</v>
      </c>
      <c r="AA3553" s="8" t="e">
        <f>+VLOOKUP(I3553,[1]SKU!$H$2:$I$97,2,0)</f>
        <v>#N/A</v>
      </c>
    </row>
    <row r="3554" spans="24:27">
      <c r="X3554" s="8" t="str">
        <f>+IFERROR(VLOOKUP(N3554,[1]Hoja1!$B$2:$F$52,4,0)*P3554,"")</f>
        <v/>
      </c>
      <c r="Y3554" s="8" t="e">
        <f>+VLOOKUP(M3554,[1]SKU!$B$3:$E$81,4,0)</f>
        <v>#N/A</v>
      </c>
      <c r="Z3554" s="8" t="str">
        <f t="shared" si="55"/>
        <v>FLEX</v>
      </c>
      <c r="AA3554" s="8" t="e">
        <f>+VLOOKUP(I3554,[1]SKU!$H$2:$I$97,2,0)</f>
        <v>#N/A</v>
      </c>
    </row>
    <row r="3555" spans="24:27">
      <c r="X3555" s="8" t="str">
        <f>+IFERROR(VLOOKUP(N3555,[1]Hoja1!$B$2:$F$52,4,0)*P3555,"")</f>
        <v/>
      </c>
      <c r="Y3555" s="8" t="e">
        <f>+VLOOKUP(M3555,[1]SKU!$B$3:$E$81,4,0)</f>
        <v>#N/A</v>
      </c>
      <c r="Z3555" s="8" t="str">
        <f t="shared" si="55"/>
        <v>FLEX</v>
      </c>
      <c r="AA3555" s="8" t="e">
        <f>+VLOOKUP(I3555,[1]SKU!$H$2:$I$97,2,0)</f>
        <v>#N/A</v>
      </c>
    </row>
    <row r="3556" spans="24:27">
      <c r="X3556" s="8" t="str">
        <f>+IFERROR(VLOOKUP(N3556,[1]Hoja1!$B$2:$F$52,4,0)*P3556,"")</f>
        <v/>
      </c>
      <c r="Y3556" s="8" t="e">
        <f>+VLOOKUP(M3556,[1]SKU!$B$3:$E$81,4,0)</f>
        <v>#N/A</v>
      </c>
      <c r="Z3556" s="8" t="str">
        <f t="shared" si="55"/>
        <v>FLEX</v>
      </c>
      <c r="AA3556" s="8" t="e">
        <f>+VLOOKUP(I3556,[1]SKU!$H$2:$I$97,2,0)</f>
        <v>#N/A</v>
      </c>
    </row>
    <row r="3557" spans="24:27">
      <c r="X3557" s="8" t="str">
        <f>+IFERROR(VLOOKUP(N3557,[1]Hoja1!$B$2:$F$52,4,0)*P3557,"")</f>
        <v/>
      </c>
      <c r="Y3557" s="8" t="e">
        <f>+VLOOKUP(M3557,[1]SKU!$B$3:$E$81,4,0)</f>
        <v>#N/A</v>
      </c>
      <c r="Z3557" s="8" t="str">
        <f t="shared" si="55"/>
        <v>FLEX</v>
      </c>
      <c r="AA3557" s="8" t="e">
        <f>+VLOOKUP(I3557,[1]SKU!$H$2:$I$97,2,0)</f>
        <v>#N/A</v>
      </c>
    </row>
    <row r="3558" spans="24:27">
      <c r="X3558" s="8" t="str">
        <f>+IFERROR(VLOOKUP(N3558,[1]Hoja1!$B$2:$F$52,4,0)*P3558,"")</f>
        <v/>
      </c>
      <c r="Y3558" s="8" t="e">
        <f>+VLOOKUP(M3558,[1]SKU!$B$3:$E$81,4,0)</f>
        <v>#N/A</v>
      </c>
      <c r="Z3558" s="8" t="str">
        <f t="shared" si="55"/>
        <v>FLEX</v>
      </c>
      <c r="AA3558" s="8" t="e">
        <f>+VLOOKUP(I3558,[1]SKU!$H$2:$I$97,2,0)</f>
        <v>#N/A</v>
      </c>
    </row>
    <row r="3559" spans="24:27">
      <c r="X3559" s="8" t="str">
        <f>+IFERROR(VLOOKUP(N3559,[1]Hoja1!$B$2:$F$52,4,0)*P3559,"")</f>
        <v/>
      </c>
      <c r="Y3559" s="8" t="e">
        <f>+VLOOKUP(M3559,[1]SKU!$B$3:$E$81,4,0)</f>
        <v>#N/A</v>
      </c>
      <c r="Z3559" s="8" t="str">
        <f t="shared" si="55"/>
        <v>FLEX</v>
      </c>
      <c r="AA3559" s="8" t="e">
        <f>+VLOOKUP(I3559,[1]SKU!$H$2:$I$97,2,0)</f>
        <v>#N/A</v>
      </c>
    </row>
    <row r="3560" spans="24:27">
      <c r="X3560" s="8" t="str">
        <f>+IFERROR(VLOOKUP(N3560,[1]Hoja1!$B$2:$F$52,4,0)*P3560,"")</f>
        <v/>
      </c>
      <c r="Y3560" s="8" t="e">
        <f>+VLOOKUP(M3560,[1]SKU!$B$3:$E$81,4,0)</f>
        <v>#N/A</v>
      </c>
      <c r="Z3560" s="8" t="str">
        <f t="shared" si="55"/>
        <v>FLEX</v>
      </c>
      <c r="AA3560" s="8" t="e">
        <f>+VLOOKUP(I3560,[1]SKU!$H$2:$I$97,2,0)</f>
        <v>#N/A</v>
      </c>
    </row>
    <row r="3561" spans="24:27">
      <c r="X3561" s="8" t="str">
        <f>+IFERROR(VLOOKUP(N3561,[1]Hoja1!$B$2:$F$52,4,0)*P3561,"")</f>
        <v/>
      </c>
      <c r="Y3561" s="8" t="e">
        <f>+VLOOKUP(M3561,[1]SKU!$B$3:$E$81,4,0)</f>
        <v>#N/A</v>
      </c>
      <c r="Z3561" s="8" t="str">
        <f t="shared" si="55"/>
        <v>FLEX</v>
      </c>
      <c r="AA3561" s="8" t="e">
        <f>+VLOOKUP(I3561,[1]SKU!$H$2:$I$97,2,0)</f>
        <v>#N/A</v>
      </c>
    </row>
    <row r="3562" spans="24:27">
      <c r="X3562" s="8" t="str">
        <f>+IFERROR(VLOOKUP(N3562,[1]Hoja1!$B$2:$F$52,4,0)*P3562,"")</f>
        <v/>
      </c>
      <c r="Y3562" s="8" t="e">
        <f>+VLOOKUP(M3562,[1]SKU!$B$3:$E$81,4,0)</f>
        <v>#N/A</v>
      </c>
      <c r="Z3562" s="8" t="str">
        <f t="shared" si="55"/>
        <v>FLEX</v>
      </c>
      <c r="AA3562" s="8" t="e">
        <f>+VLOOKUP(I3562,[1]SKU!$H$2:$I$97,2,0)</f>
        <v>#N/A</v>
      </c>
    </row>
    <row r="3563" spans="24:27">
      <c r="X3563" s="8" t="str">
        <f>+IFERROR(VLOOKUP(N3563,[1]Hoja1!$B$2:$F$52,4,0)*P3563,"")</f>
        <v/>
      </c>
      <c r="Y3563" s="8" t="e">
        <f>+VLOOKUP(M3563,[1]SKU!$B$3:$E$81,4,0)</f>
        <v>#N/A</v>
      </c>
      <c r="Z3563" s="8" t="str">
        <f t="shared" si="55"/>
        <v>FLEX</v>
      </c>
      <c r="AA3563" s="8" t="e">
        <f>+VLOOKUP(I3563,[1]SKU!$H$2:$I$97,2,0)</f>
        <v>#N/A</v>
      </c>
    </row>
    <row r="3564" spans="24:27">
      <c r="X3564" s="8" t="str">
        <f>+IFERROR(VLOOKUP(N3564,[1]Hoja1!$B$2:$F$52,4,0)*P3564,"")</f>
        <v/>
      </c>
      <c r="Y3564" s="8" t="e">
        <f>+VLOOKUP(M3564,[1]SKU!$B$3:$E$81,4,0)</f>
        <v>#N/A</v>
      </c>
      <c r="Z3564" s="8" t="str">
        <f t="shared" si="55"/>
        <v>FLEX</v>
      </c>
      <c r="AA3564" s="8" t="e">
        <f>+VLOOKUP(I3564,[1]SKU!$H$2:$I$97,2,0)</f>
        <v>#N/A</v>
      </c>
    </row>
    <row r="3565" spans="24:27">
      <c r="X3565" s="8" t="str">
        <f>+IFERROR(VLOOKUP(N3565,[1]Hoja1!$B$2:$F$52,4,0)*P3565,"")</f>
        <v/>
      </c>
      <c r="Y3565" s="8" t="e">
        <f>+VLOOKUP(M3565,[1]SKU!$B$3:$E$81,4,0)</f>
        <v>#N/A</v>
      </c>
      <c r="Z3565" s="8" t="str">
        <f t="shared" si="55"/>
        <v>FLEX</v>
      </c>
      <c r="AA3565" s="8" t="e">
        <f>+VLOOKUP(I3565,[1]SKU!$H$2:$I$97,2,0)</f>
        <v>#N/A</v>
      </c>
    </row>
    <row r="3566" spans="24:27">
      <c r="X3566" s="8" t="str">
        <f>+IFERROR(VLOOKUP(N3566,[1]Hoja1!$B$2:$F$52,4,0)*P3566,"")</f>
        <v/>
      </c>
      <c r="Y3566" s="8" t="e">
        <f>+VLOOKUP(M3566,[1]SKU!$B$3:$E$81,4,0)</f>
        <v>#N/A</v>
      </c>
      <c r="Z3566" s="8" t="str">
        <f t="shared" si="55"/>
        <v>FLEX</v>
      </c>
      <c r="AA3566" s="8" t="e">
        <f>+VLOOKUP(I3566,[1]SKU!$H$2:$I$97,2,0)</f>
        <v>#N/A</v>
      </c>
    </row>
    <row r="3567" spans="24:27">
      <c r="X3567" s="8" t="str">
        <f>+IFERROR(VLOOKUP(N3567,[1]Hoja1!$B$2:$F$52,4,0)*P3567,"")</f>
        <v/>
      </c>
      <c r="Y3567" s="8" t="e">
        <f>+VLOOKUP(M3567,[1]SKU!$B$3:$E$81,4,0)</f>
        <v>#N/A</v>
      </c>
      <c r="Z3567" s="8" t="str">
        <f t="shared" si="55"/>
        <v>FLEX</v>
      </c>
      <c r="AA3567" s="8" t="e">
        <f>+VLOOKUP(I3567,[1]SKU!$H$2:$I$97,2,0)</f>
        <v>#N/A</v>
      </c>
    </row>
    <row r="3568" spans="24:27">
      <c r="X3568" s="8" t="str">
        <f>+IFERROR(VLOOKUP(N3568,[1]Hoja1!$B$2:$F$52,4,0)*P3568,"")</f>
        <v/>
      </c>
      <c r="Y3568" s="8" t="e">
        <f>+VLOOKUP(M3568,[1]SKU!$B$3:$E$81,4,0)</f>
        <v>#N/A</v>
      </c>
      <c r="Z3568" s="8" t="str">
        <f t="shared" si="55"/>
        <v>FLEX</v>
      </c>
      <c r="AA3568" s="8" t="e">
        <f>+VLOOKUP(I3568,[1]SKU!$H$2:$I$97,2,0)</f>
        <v>#N/A</v>
      </c>
    </row>
    <row r="3569" spans="24:27">
      <c r="X3569" s="8" t="str">
        <f>+IFERROR(VLOOKUP(N3569,[1]Hoja1!$B$2:$F$52,4,0)*P3569,"")</f>
        <v/>
      </c>
      <c r="Y3569" s="8" t="e">
        <f>+VLOOKUP(M3569,[1]SKU!$B$3:$E$81,4,0)</f>
        <v>#N/A</v>
      </c>
      <c r="Z3569" s="8" t="str">
        <f t="shared" si="55"/>
        <v>FLEX</v>
      </c>
      <c r="AA3569" s="8" t="e">
        <f>+VLOOKUP(I3569,[1]SKU!$H$2:$I$97,2,0)</f>
        <v>#N/A</v>
      </c>
    </row>
    <row r="3570" spans="24:27">
      <c r="X3570" s="8" t="str">
        <f>+IFERROR(VLOOKUP(N3570,[1]Hoja1!$B$2:$F$52,4,0)*P3570,"")</f>
        <v/>
      </c>
      <c r="Y3570" s="8" t="e">
        <f>+VLOOKUP(M3570,[1]SKU!$B$3:$E$81,4,0)</f>
        <v>#N/A</v>
      </c>
      <c r="Z3570" s="8" t="str">
        <f t="shared" si="55"/>
        <v>FLEX</v>
      </c>
      <c r="AA3570" s="8" t="e">
        <f>+VLOOKUP(I3570,[1]SKU!$H$2:$I$97,2,0)</f>
        <v>#N/A</v>
      </c>
    </row>
    <row r="3571" spans="24:27">
      <c r="X3571" s="8" t="str">
        <f>+IFERROR(VLOOKUP(N3571,[1]Hoja1!$B$2:$F$52,4,0)*P3571,"")</f>
        <v/>
      </c>
      <c r="Y3571" s="8" t="e">
        <f>+VLOOKUP(M3571,[1]SKU!$B$3:$E$81,4,0)</f>
        <v>#N/A</v>
      </c>
      <c r="Z3571" s="8" t="str">
        <f t="shared" si="55"/>
        <v>FLEX</v>
      </c>
      <c r="AA3571" s="8" t="e">
        <f>+VLOOKUP(I3571,[1]SKU!$H$2:$I$97,2,0)</f>
        <v>#N/A</v>
      </c>
    </row>
    <row r="3572" spans="24:27">
      <c r="X3572" s="8" t="str">
        <f>+IFERROR(VLOOKUP(N3572,[1]Hoja1!$B$2:$F$52,4,0)*P3572,"")</f>
        <v/>
      </c>
      <c r="Y3572" s="8" t="e">
        <f>+VLOOKUP(M3572,[1]SKU!$B$3:$E$81,4,0)</f>
        <v>#N/A</v>
      </c>
      <c r="Z3572" s="8" t="str">
        <f t="shared" si="55"/>
        <v>FLEX</v>
      </c>
      <c r="AA3572" s="8" t="e">
        <f>+VLOOKUP(I3572,[1]SKU!$H$2:$I$97,2,0)</f>
        <v>#N/A</v>
      </c>
    </row>
    <row r="3573" spans="24:27">
      <c r="X3573" s="8" t="str">
        <f>+IFERROR(VLOOKUP(N3573,[1]Hoja1!$B$2:$F$52,4,0)*P3573,"")</f>
        <v/>
      </c>
      <c r="Y3573" s="8" t="e">
        <f>+VLOOKUP(M3573,[1]SKU!$B$3:$E$81,4,0)</f>
        <v>#N/A</v>
      </c>
      <c r="Z3573" s="8" t="str">
        <f t="shared" si="55"/>
        <v>FLEX</v>
      </c>
      <c r="AA3573" s="8" t="e">
        <f>+VLOOKUP(I3573,[1]SKU!$H$2:$I$97,2,0)</f>
        <v>#N/A</v>
      </c>
    </row>
    <row r="3574" spans="24:27">
      <c r="X3574" s="8" t="str">
        <f>+IFERROR(VLOOKUP(N3574,[1]Hoja1!$B$2:$F$52,4,0)*P3574,"")</f>
        <v/>
      </c>
      <c r="Y3574" s="8" t="e">
        <f>+VLOOKUP(M3574,[1]SKU!$B$3:$E$81,4,0)</f>
        <v>#N/A</v>
      </c>
      <c r="Z3574" s="8" t="str">
        <f t="shared" si="55"/>
        <v>FLEX</v>
      </c>
      <c r="AA3574" s="8" t="e">
        <f>+VLOOKUP(I3574,[1]SKU!$H$2:$I$97,2,0)</f>
        <v>#N/A</v>
      </c>
    </row>
    <row r="3575" spans="24:27">
      <c r="X3575" s="8" t="str">
        <f>+IFERROR(VLOOKUP(N3575,[1]Hoja1!$B$2:$F$52,4,0)*P3575,"")</f>
        <v/>
      </c>
      <c r="Y3575" s="8" t="e">
        <f>+VLOOKUP(M3575,[1]SKU!$B$3:$E$81,4,0)</f>
        <v>#N/A</v>
      </c>
      <c r="Z3575" s="8" t="str">
        <f t="shared" si="55"/>
        <v>FLEX</v>
      </c>
      <c r="AA3575" s="8" t="e">
        <f>+VLOOKUP(I3575,[1]SKU!$H$2:$I$97,2,0)</f>
        <v>#N/A</v>
      </c>
    </row>
    <row r="3576" spans="24:27">
      <c r="X3576" s="8" t="str">
        <f>+IFERROR(VLOOKUP(N3576,[1]Hoja1!$B$2:$F$52,4,0)*P3576,"")</f>
        <v/>
      </c>
      <c r="Y3576" s="8" t="e">
        <f>+VLOOKUP(M3576,[1]SKU!$B$3:$E$81,4,0)</f>
        <v>#N/A</v>
      </c>
      <c r="Z3576" s="8" t="str">
        <f t="shared" si="55"/>
        <v>FLEX</v>
      </c>
      <c r="AA3576" s="8" t="e">
        <f>+VLOOKUP(I3576,[1]SKU!$H$2:$I$97,2,0)</f>
        <v>#N/A</v>
      </c>
    </row>
    <row r="3577" spans="24:27">
      <c r="X3577" s="8" t="str">
        <f>+IFERROR(VLOOKUP(N3577,[1]Hoja1!$B$2:$F$52,4,0)*P3577,"")</f>
        <v/>
      </c>
      <c r="Y3577" s="8" t="e">
        <f>+VLOOKUP(M3577,[1]SKU!$B$3:$E$81,4,0)</f>
        <v>#N/A</v>
      </c>
      <c r="Z3577" s="8" t="str">
        <f t="shared" si="55"/>
        <v>FLEX</v>
      </c>
      <c r="AA3577" s="8" t="e">
        <f>+VLOOKUP(I3577,[1]SKU!$H$2:$I$97,2,0)</f>
        <v>#N/A</v>
      </c>
    </row>
    <row r="3578" spans="24:27">
      <c r="X3578" s="8" t="str">
        <f>+IFERROR(VLOOKUP(N3578,[1]Hoja1!$B$2:$F$52,4,0)*P3578,"")</f>
        <v/>
      </c>
      <c r="Y3578" s="8" t="e">
        <f>+VLOOKUP(M3578,[1]SKU!$B$3:$E$81,4,0)</f>
        <v>#N/A</v>
      </c>
      <c r="Z3578" s="8" t="str">
        <f t="shared" si="55"/>
        <v>FLEX</v>
      </c>
      <c r="AA3578" s="8" t="e">
        <f>+VLOOKUP(I3578,[1]SKU!$H$2:$I$97,2,0)</f>
        <v>#N/A</v>
      </c>
    </row>
    <row r="3579" spans="24:27">
      <c r="X3579" s="8" t="str">
        <f>+IFERROR(VLOOKUP(N3579,[1]Hoja1!$B$2:$F$52,4,0)*P3579,"")</f>
        <v/>
      </c>
      <c r="Y3579" s="8" t="e">
        <f>+VLOOKUP(M3579,[1]SKU!$B$3:$E$81,4,0)</f>
        <v>#N/A</v>
      </c>
      <c r="Z3579" s="8" t="str">
        <f t="shared" si="55"/>
        <v>FLEX</v>
      </c>
      <c r="AA3579" s="8" t="e">
        <f>+VLOOKUP(I3579,[1]SKU!$H$2:$I$97,2,0)</f>
        <v>#N/A</v>
      </c>
    </row>
    <row r="3580" spans="24:27">
      <c r="X3580" s="8" t="str">
        <f>+IFERROR(VLOOKUP(N3580,[1]Hoja1!$B$2:$F$52,4,0)*P3580,"")</f>
        <v/>
      </c>
      <c r="Y3580" s="8" t="e">
        <f>+VLOOKUP(M3580,[1]SKU!$B$3:$E$81,4,0)</f>
        <v>#N/A</v>
      </c>
      <c r="Z3580" s="8" t="str">
        <f t="shared" si="55"/>
        <v>FLEX</v>
      </c>
      <c r="AA3580" s="8" t="e">
        <f>+VLOOKUP(I3580,[1]SKU!$H$2:$I$97,2,0)</f>
        <v>#N/A</v>
      </c>
    </row>
    <row r="3581" spans="24:27">
      <c r="X3581" s="8" t="str">
        <f>+IFERROR(VLOOKUP(N3581,[1]Hoja1!$B$2:$F$52,4,0)*P3581,"")</f>
        <v/>
      </c>
      <c r="Y3581" s="8" t="e">
        <f>+VLOOKUP(M3581,[1]SKU!$B$3:$E$81,4,0)</f>
        <v>#N/A</v>
      </c>
      <c r="Z3581" s="8" t="str">
        <f t="shared" si="55"/>
        <v>FLEX</v>
      </c>
      <c r="AA3581" s="8" t="e">
        <f>+VLOOKUP(I3581,[1]SKU!$H$2:$I$97,2,0)</f>
        <v>#N/A</v>
      </c>
    </row>
    <row r="3582" spans="24:27">
      <c r="X3582" s="8" t="str">
        <f>+IFERROR(VLOOKUP(N3582,[1]Hoja1!$B$2:$F$52,4,0)*P3582,"")</f>
        <v/>
      </c>
      <c r="Y3582" s="8" t="e">
        <f>+VLOOKUP(M3582,[1]SKU!$B$3:$E$81,4,0)</f>
        <v>#N/A</v>
      </c>
      <c r="Z3582" s="8" t="str">
        <f t="shared" si="55"/>
        <v>FLEX</v>
      </c>
      <c r="AA3582" s="8" t="e">
        <f>+VLOOKUP(I3582,[1]SKU!$H$2:$I$97,2,0)</f>
        <v>#N/A</v>
      </c>
    </row>
    <row r="3583" spans="24:27">
      <c r="X3583" s="8" t="str">
        <f>+IFERROR(VLOOKUP(N3583,[1]Hoja1!$B$2:$F$52,4,0)*P3583,"")</f>
        <v/>
      </c>
      <c r="Y3583" s="8" t="e">
        <f>+VLOOKUP(M3583,[1]SKU!$B$3:$E$81,4,0)</f>
        <v>#N/A</v>
      </c>
      <c r="Z3583" s="8" t="str">
        <f t="shared" si="55"/>
        <v>FLEX</v>
      </c>
      <c r="AA3583" s="8" t="e">
        <f>+VLOOKUP(I3583,[1]SKU!$H$2:$I$97,2,0)</f>
        <v>#N/A</v>
      </c>
    </row>
    <row r="3584" spans="24:27">
      <c r="X3584" s="8" t="str">
        <f>+IFERROR(VLOOKUP(N3584,[1]Hoja1!$B$2:$F$52,4,0)*P3584,"")</f>
        <v/>
      </c>
      <c r="Y3584" s="8" t="e">
        <f>+VLOOKUP(M3584,[1]SKU!$B$3:$E$81,4,0)</f>
        <v>#N/A</v>
      </c>
      <c r="Z3584" s="8" t="str">
        <f t="shared" si="55"/>
        <v>FLEX</v>
      </c>
      <c r="AA3584" s="8" t="e">
        <f>+VLOOKUP(I3584,[1]SKU!$H$2:$I$97,2,0)</f>
        <v>#N/A</v>
      </c>
    </row>
    <row r="3585" spans="24:27">
      <c r="X3585" s="8" t="str">
        <f>+IFERROR(VLOOKUP(N3585,[1]Hoja1!$B$2:$F$52,4,0)*P3585,"")</f>
        <v/>
      </c>
      <c r="Y3585" s="8" t="e">
        <f>+VLOOKUP(M3585,[1]SKU!$B$3:$E$81,4,0)</f>
        <v>#N/A</v>
      </c>
      <c r="Z3585" s="8" t="str">
        <f t="shared" si="55"/>
        <v>FLEX</v>
      </c>
      <c r="AA3585" s="8" t="e">
        <f>+VLOOKUP(I3585,[1]SKU!$H$2:$I$97,2,0)</f>
        <v>#N/A</v>
      </c>
    </row>
    <row r="3586" spans="24:27">
      <c r="X3586" s="8" t="str">
        <f>+IFERROR(VLOOKUP(N3586,[1]Hoja1!$B$2:$F$52,4,0)*P3586,"")</f>
        <v/>
      </c>
      <c r="Y3586" s="8" t="e">
        <f>+VLOOKUP(M3586,[1]SKU!$B$3:$E$81,4,0)</f>
        <v>#N/A</v>
      </c>
      <c r="Z3586" s="8" t="str">
        <f t="shared" si="55"/>
        <v>FLEX</v>
      </c>
      <c r="AA3586" s="8" t="e">
        <f>+VLOOKUP(I3586,[1]SKU!$H$2:$I$97,2,0)</f>
        <v>#N/A</v>
      </c>
    </row>
    <row r="3587" spans="24:27">
      <c r="X3587" s="8" t="str">
        <f>+IFERROR(VLOOKUP(N3587,[1]Hoja1!$B$2:$F$52,4,0)*P3587,"")</f>
        <v/>
      </c>
      <c r="Y3587" s="8" t="e">
        <f>+VLOOKUP(M3587,[1]SKU!$B$3:$E$81,4,0)</f>
        <v>#N/A</v>
      </c>
      <c r="Z3587" s="8" t="str">
        <f t="shared" ref="Z3587:Z3650" si="56">+IF(J3587="VB01                          ","BEES","FLEX")</f>
        <v>FLEX</v>
      </c>
      <c r="AA3587" s="8" t="e">
        <f>+VLOOKUP(I3587,[1]SKU!$H$2:$I$97,2,0)</f>
        <v>#N/A</v>
      </c>
    </row>
    <row r="3588" spans="24:27">
      <c r="X3588" s="8" t="str">
        <f>+IFERROR(VLOOKUP(N3588,[1]Hoja1!$B$2:$F$52,4,0)*P3588,"")</f>
        <v/>
      </c>
      <c r="Y3588" s="8" t="e">
        <f>+VLOOKUP(M3588,[1]SKU!$B$3:$E$81,4,0)</f>
        <v>#N/A</v>
      </c>
      <c r="Z3588" s="8" t="str">
        <f t="shared" si="56"/>
        <v>FLEX</v>
      </c>
      <c r="AA3588" s="8" t="e">
        <f>+VLOOKUP(I3588,[1]SKU!$H$2:$I$97,2,0)</f>
        <v>#N/A</v>
      </c>
    </row>
    <row r="3589" spans="24:27">
      <c r="X3589" s="8" t="str">
        <f>+IFERROR(VLOOKUP(N3589,[1]Hoja1!$B$2:$F$52,4,0)*P3589,"")</f>
        <v/>
      </c>
      <c r="Y3589" s="8" t="e">
        <f>+VLOOKUP(M3589,[1]SKU!$B$3:$E$81,4,0)</f>
        <v>#N/A</v>
      </c>
      <c r="Z3589" s="8" t="str">
        <f t="shared" si="56"/>
        <v>FLEX</v>
      </c>
      <c r="AA3589" s="8" t="e">
        <f>+VLOOKUP(I3589,[1]SKU!$H$2:$I$97,2,0)</f>
        <v>#N/A</v>
      </c>
    </row>
    <row r="3590" spans="24:27">
      <c r="X3590" s="8" t="str">
        <f>+IFERROR(VLOOKUP(N3590,[1]Hoja1!$B$2:$F$52,4,0)*P3590,"")</f>
        <v/>
      </c>
      <c r="Y3590" s="8" t="e">
        <f>+VLOOKUP(M3590,[1]SKU!$B$3:$E$81,4,0)</f>
        <v>#N/A</v>
      </c>
      <c r="Z3590" s="8" t="str">
        <f t="shared" si="56"/>
        <v>FLEX</v>
      </c>
      <c r="AA3590" s="8" t="e">
        <f>+VLOOKUP(I3590,[1]SKU!$H$2:$I$97,2,0)</f>
        <v>#N/A</v>
      </c>
    </row>
    <row r="3591" spans="24:27">
      <c r="X3591" s="8" t="str">
        <f>+IFERROR(VLOOKUP(N3591,[1]Hoja1!$B$2:$F$52,4,0)*P3591,"")</f>
        <v/>
      </c>
      <c r="Y3591" s="8" t="e">
        <f>+VLOOKUP(M3591,[1]SKU!$B$3:$E$81,4,0)</f>
        <v>#N/A</v>
      </c>
      <c r="Z3591" s="8" t="str">
        <f t="shared" si="56"/>
        <v>FLEX</v>
      </c>
      <c r="AA3591" s="8" t="e">
        <f>+VLOOKUP(I3591,[1]SKU!$H$2:$I$97,2,0)</f>
        <v>#N/A</v>
      </c>
    </row>
    <row r="3592" spans="24:27">
      <c r="X3592" s="8" t="str">
        <f>+IFERROR(VLOOKUP(N3592,[1]Hoja1!$B$2:$F$52,4,0)*P3592,"")</f>
        <v/>
      </c>
      <c r="Y3592" s="8" t="e">
        <f>+VLOOKUP(M3592,[1]SKU!$B$3:$E$81,4,0)</f>
        <v>#N/A</v>
      </c>
      <c r="Z3592" s="8" t="str">
        <f t="shared" si="56"/>
        <v>FLEX</v>
      </c>
      <c r="AA3592" s="8" t="e">
        <f>+VLOOKUP(I3592,[1]SKU!$H$2:$I$97,2,0)</f>
        <v>#N/A</v>
      </c>
    </row>
    <row r="3593" spans="24:27">
      <c r="X3593" s="8" t="str">
        <f>+IFERROR(VLOOKUP(N3593,[1]Hoja1!$B$2:$F$52,4,0)*P3593,"")</f>
        <v/>
      </c>
      <c r="Y3593" s="8" t="e">
        <f>+VLOOKUP(M3593,[1]SKU!$B$3:$E$81,4,0)</f>
        <v>#N/A</v>
      </c>
      <c r="Z3593" s="8" t="str">
        <f t="shared" si="56"/>
        <v>FLEX</v>
      </c>
      <c r="AA3593" s="8" t="e">
        <f>+VLOOKUP(I3593,[1]SKU!$H$2:$I$97,2,0)</f>
        <v>#N/A</v>
      </c>
    </row>
    <row r="3594" spans="24:27">
      <c r="X3594" s="8" t="str">
        <f>+IFERROR(VLOOKUP(N3594,[1]Hoja1!$B$2:$F$52,4,0)*P3594,"")</f>
        <v/>
      </c>
      <c r="Y3594" s="8" t="e">
        <f>+VLOOKUP(M3594,[1]SKU!$B$3:$E$81,4,0)</f>
        <v>#N/A</v>
      </c>
      <c r="Z3594" s="8" t="str">
        <f t="shared" si="56"/>
        <v>FLEX</v>
      </c>
      <c r="AA3594" s="8" t="e">
        <f>+VLOOKUP(I3594,[1]SKU!$H$2:$I$97,2,0)</f>
        <v>#N/A</v>
      </c>
    </row>
    <row r="3595" spans="24:27">
      <c r="X3595" s="8" t="str">
        <f>+IFERROR(VLOOKUP(N3595,[1]Hoja1!$B$2:$F$52,4,0)*P3595,"")</f>
        <v/>
      </c>
      <c r="Y3595" s="8" t="e">
        <f>+VLOOKUP(M3595,[1]SKU!$B$3:$E$81,4,0)</f>
        <v>#N/A</v>
      </c>
      <c r="Z3595" s="8" t="str">
        <f t="shared" si="56"/>
        <v>FLEX</v>
      </c>
      <c r="AA3595" s="8" t="e">
        <f>+VLOOKUP(I3595,[1]SKU!$H$2:$I$97,2,0)</f>
        <v>#N/A</v>
      </c>
    </row>
    <row r="3596" spans="24:27">
      <c r="X3596" s="8" t="str">
        <f>+IFERROR(VLOOKUP(N3596,[1]Hoja1!$B$2:$F$52,4,0)*P3596,"")</f>
        <v/>
      </c>
      <c r="Y3596" s="8" t="e">
        <f>+VLOOKUP(M3596,[1]SKU!$B$3:$E$81,4,0)</f>
        <v>#N/A</v>
      </c>
      <c r="Z3596" s="8" t="str">
        <f t="shared" si="56"/>
        <v>FLEX</v>
      </c>
      <c r="AA3596" s="8" t="e">
        <f>+VLOOKUP(I3596,[1]SKU!$H$2:$I$97,2,0)</f>
        <v>#N/A</v>
      </c>
    </row>
    <row r="3597" spans="24:27">
      <c r="X3597" s="8" t="str">
        <f>+IFERROR(VLOOKUP(N3597,[1]Hoja1!$B$2:$F$52,4,0)*P3597,"")</f>
        <v/>
      </c>
      <c r="Y3597" s="8" t="e">
        <f>+VLOOKUP(M3597,[1]SKU!$B$3:$E$81,4,0)</f>
        <v>#N/A</v>
      </c>
      <c r="Z3597" s="8" t="str">
        <f t="shared" si="56"/>
        <v>FLEX</v>
      </c>
      <c r="AA3597" s="8" t="e">
        <f>+VLOOKUP(I3597,[1]SKU!$H$2:$I$97,2,0)</f>
        <v>#N/A</v>
      </c>
    </row>
    <row r="3598" spans="24:27">
      <c r="X3598" s="8" t="str">
        <f>+IFERROR(VLOOKUP(N3598,[1]Hoja1!$B$2:$F$52,4,0)*P3598,"")</f>
        <v/>
      </c>
      <c r="Y3598" s="8" t="e">
        <f>+VLOOKUP(M3598,[1]SKU!$B$3:$E$81,4,0)</f>
        <v>#N/A</v>
      </c>
      <c r="Z3598" s="8" t="str">
        <f t="shared" si="56"/>
        <v>FLEX</v>
      </c>
      <c r="AA3598" s="8" t="e">
        <f>+VLOOKUP(I3598,[1]SKU!$H$2:$I$97,2,0)</f>
        <v>#N/A</v>
      </c>
    </row>
    <row r="3599" spans="24:27">
      <c r="X3599" s="8" t="str">
        <f>+IFERROR(VLOOKUP(N3599,[1]Hoja1!$B$2:$F$52,4,0)*P3599,"")</f>
        <v/>
      </c>
      <c r="Y3599" s="8" t="e">
        <f>+VLOOKUP(M3599,[1]SKU!$B$3:$E$81,4,0)</f>
        <v>#N/A</v>
      </c>
      <c r="Z3599" s="8" t="str">
        <f t="shared" si="56"/>
        <v>FLEX</v>
      </c>
      <c r="AA3599" s="8" t="e">
        <f>+VLOOKUP(I3599,[1]SKU!$H$2:$I$97,2,0)</f>
        <v>#N/A</v>
      </c>
    </row>
    <row r="3600" spans="24:27">
      <c r="X3600" s="8" t="str">
        <f>+IFERROR(VLOOKUP(N3600,[1]Hoja1!$B$2:$F$52,4,0)*P3600,"")</f>
        <v/>
      </c>
      <c r="Y3600" s="8" t="e">
        <f>+VLOOKUP(M3600,[1]SKU!$B$3:$E$81,4,0)</f>
        <v>#N/A</v>
      </c>
      <c r="Z3600" s="8" t="str">
        <f t="shared" si="56"/>
        <v>FLEX</v>
      </c>
      <c r="AA3600" s="8" t="e">
        <f>+VLOOKUP(I3600,[1]SKU!$H$2:$I$97,2,0)</f>
        <v>#N/A</v>
      </c>
    </row>
    <row r="3601" spans="24:27">
      <c r="X3601" s="8" t="str">
        <f>+IFERROR(VLOOKUP(N3601,[1]Hoja1!$B$2:$F$52,4,0)*P3601,"")</f>
        <v/>
      </c>
      <c r="Y3601" s="8" t="e">
        <f>+VLOOKUP(M3601,[1]SKU!$B$3:$E$81,4,0)</f>
        <v>#N/A</v>
      </c>
      <c r="Z3601" s="8" t="str">
        <f t="shared" si="56"/>
        <v>FLEX</v>
      </c>
      <c r="AA3601" s="8" t="e">
        <f>+VLOOKUP(I3601,[1]SKU!$H$2:$I$97,2,0)</f>
        <v>#N/A</v>
      </c>
    </row>
    <row r="3602" spans="24:27">
      <c r="X3602" s="8" t="str">
        <f>+IFERROR(VLOOKUP(N3602,[1]Hoja1!$B$2:$F$52,4,0)*P3602,"")</f>
        <v/>
      </c>
      <c r="Y3602" s="8" t="e">
        <f>+VLOOKUP(M3602,[1]SKU!$B$3:$E$81,4,0)</f>
        <v>#N/A</v>
      </c>
      <c r="Z3602" s="8" t="str">
        <f t="shared" si="56"/>
        <v>FLEX</v>
      </c>
      <c r="AA3602" s="8" t="e">
        <f>+VLOOKUP(I3602,[1]SKU!$H$2:$I$97,2,0)</f>
        <v>#N/A</v>
      </c>
    </row>
    <row r="3603" spans="24:27">
      <c r="X3603" s="8" t="str">
        <f>+IFERROR(VLOOKUP(N3603,[1]Hoja1!$B$2:$F$52,4,0)*P3603,"")</f>
        <v/>
      </c>
      <c r="Y3603" s="8" t="e">
        <f>+VLOOKUP(M3603,[1]SKU!$B$3:$E$81,4,0)</f>
        <v>#N/A</v>
      </c>
      <c r="Z3603" s="8" t="str">
        <f t="shared" si="56"/>
        <v>FLEX</v>
      </c>
      <c r="AA3603" s="8" t="e">
        <f>+VLOOKUP(I3603,[1]SKU!$H$2:$I$97,2,0)</f>
        <v>#N/A</v>
      </c>
    </row>
    <row r="3604" spans="24:27">
      <c r="X3604" s="8" t="str">
        <f>+IFERROR(VLOOKUP(N3604,[1]Hoja1!$B$2:$F$52,4,0)*P3604,"")</f>
        <v/>
      </c>
      <c r="Y3604" s="8" t="e">
        <f>+VLOOKUP(M3604,[1]SKU!$B$3:$E$81,4,0)</f>
        <v>#N/A</v>
      </c>
      <c r="Z3604" s="8" t="str">
        <f t="shared" si="56"/>
        <v>FLEX</v>
      </c>
      <c r="AA3604" s="8" t="e">
        <f>+VLOOKUP(I3604,[1]SKU!$H$2:$I$97,2,0)</f>
        <v>#N/A</v>
      </c>
    </row>
    <row r="3605" spans="24:27">
      <c r="X3605" s="8" t="str">
        <f>+IFERROR(VLOOKUP(N3605,[1]Hoja1!$B$2:$F$52,4,0)*P3605,"")</f>
        <v/>
      </c>
      <c r="Y3605" s="8" t="e">
        <f>+VLOOKUP(M3605,[1]SKU!$B$3:$E$81,4,0)</f>
        <v>#N/A</v>
      </c>
      <c r="Z3605" s="8" t="str">
        <f t="shared" si="56"/>
        <v>FLEX</v>
      </c>
      <c r="AA3605" s="8" t="e">
        <f>+VLOOKUP(I3605,[1]SKU!$H$2:$I$97,2,0)</f>
        <v>#N/A</v>
      </c>
    </row>
    <row r="3606" spans="24:27">
      <c r="X3606" s="8" t="str">
        <f>+IFERROR(VLOOKUP(N3606,[1]Hoja1!$B$2:$F$52,4,0)*P3606,"")</f>
        <v/>
      </c>
      <c r="Y3606" s="8" t="e">
        <f>+VLOOKUP(M3606,[1]SKU!$B$3:$E$81,4,0)</f>
        <v>#N/A</v>
      </c>
      <c r="Z3606" s="8" t="str">
        <f t="shared" si="56"/>
        <v>FLEX</v>
      </c>
      <c r="AA3606" s="8" t="e">
        <f>+VLOOKUP(I3606,[1]SKU!$H$2:$I$97,2,0)</f>
        <v>#N/A</v>
      </c>
    </row>
    <row r="3607" spans="24:27">
      <c r="X3607" s="8" t="str">
        <f>+IFERROR(VLOOKUP(N3607,[1]Hoja1!$B$2:$F$52,4,0)*P3607,"")</f>
        <v/>
      </c>
      <c r="Y3607" s="8" t="e">
        <f>+VLOOKUP(M3607,[1]SKU!$B$3:$E$81,4,0)</f>
        <v>#N/A</v>
      </c>
      <c r="Z3607" s="8" t="str">
        <f t="shared" si="56"/>
        <v>FLEX</v>
      </c>
      <c r="AA3607" s="8" t="e">
        <f>+VLOOKUP(I3607,[1]SKU!$H$2:$I$97,2,0)</f>
        <v>#N/A</v>
      </c>
    </row>
    <row r="3608" spans="24:27">
      <c r="X3608" s="8" t="str">
        <f>+IFERROR(VLOOKUP(N3608,[1]Hoja1!$B$2:$F$52,4,0)*P3608,"")</f>
        <v/>
      </c>
      <c r="Y3608" s="8" t="e">
        <f>+VLOOKUP(M3608,[1]SKU!$B$3:$E$81,4,0)</f>
        <v>#N/A</v>
      </c>
      <c r="Z3608" s="8" t="str">
        <f t="shared" si="56"/>
        <v>FLEX</v>
      </c>
      <c r="AA3608" s="8" t="e">
        <f>+VLOOKUP(I3608,[1]SKU!$H$2:$I$97,2,0)</f>
        <v>#N/A</v>
      </c>
    </row>
    <row r="3609" spans="24:27">
      <c r="X3609" s="8" t="str">
        <f>+IFERROR(VLOOKUP(N3609,[1]Hoja1!$B$2:$F$52,4,0)*P3609,"")</f>
        <v/>
      </c>
      <c r="Y3609" s="8" t="e">
        <f>+VLOOKUP(M3609,[1]SKU!$B$3:$E$81,4,0)</f>
        <v>#N/A</v>
      </c>
      <c r="Z3609" s="8" t="str">
        <f t="shared" si="56"/>
        <v>FLEX</v>
      </c>
      <c r="AA3609" s="8" t="e">
        <f>+VLOOKUP(I3609,[1]SKU!$H$2:$I$97,2,0)</f>
        <v>#N/A</v>
      </c>
    </row>
    <row r="3610" spans="24:27">
      <c r="X3610" s="8" t="str">
        <f>+IFERROR(VLOOKUP(N3610,[1]Hoja1!$B$2:$F$52,4,0)*P3610,"")</f>
        <v/>
      </c>
      <c r="Y3610" s="8" t="e">
        <f>+VLOOKUP(M3610,[1]SKU!$B$3:$E$81,4,0)</f>
        <v>#N/A</v>
      </c>
      <c r="Z3610" s="8" t="str">
        <f t="shared" si="56"/>
        <v>FLEX</v>
      </c>
      <c r="AA3610" s="8" t="e">
        <f>+VLOOKUP(I3610,[1]SKU!$H$2:$I$97,2,0)</f>
        <v>#N/A</v>
      </c>
    </row>
    <row r="3611" spans="24:27">
      <c r="X3611" s="8" t="str">
        <f>+IFERROR(VLOOKUP(N3611,[1]Hoja1!$B$2:$F$52,4,0)*P3611,"")</f>
        <v/>
      </c>
      <c r="Y3611" s="8" t="e">
        <f>+VLOOKUP(M3611,[1]SKU!$B$3:$E$81,4,0)</f>
        <v>#N/A</v>
      </c>
      <c r="Z3611" s="8" t="str">
        <f t="shared" si="56"/>
        <v>FLEX</v>
      </c>
      <c r="AA3611" s="8" t="e">
        <f>+VLOOKUP(I3611,[1]SKU!$H$2:$I$97,2,0)</f>
        <v>#N/A</v>
      </c>
    </row>
    <row r="3612" spans="24:27">
      <c r="X3612" s="8" t="str">
        <f>+IFERROR(VLOOKUP(N3612,[1]Hoja1!$B$2:$F$52,4,0)*P3612,"")</f>
        <v/>
      </c>
      <c r="Y3612" s="8" t="e">
        <f>+VLOOKUP(M3612,[1]SKU!$B$3:$E$81,4,0)</f>
        <v>#N/A</v>
      </c>
      <c r="Z3612" s="8" t="str">
        <f t="shared" si="56"/>
        <v>FLEX</v>
      </c>
      <c r="AA3612" s="8" t="e">
        <f>+VLOOKUP(I3612,[1]SKU!$H$2:$I$97,2,0)</f>
        <v>#N/A</v>
      </c>
    </row>
    <row r="3613" spans="24:27">
      <c r="X3613" s="8" t="str">
        <f>+IFERROR(VLOOKUP(N3613,[1]Hoja1!$B$2:$F$52,4,0)*P3613,"")</f>
        <v/>
      </c>
      <c r="Y3613" s="8" t="e">
        <f>+VLOOKUP(M3613,[1]SKU!$B$3:$E$81,4,0)</f>
        <v>#N/A</v>
      </c>
      <c r="Z3613" s="8" t="str">
        <f t="shared" si="56"/>
        <v>FLEX</v>
      </c>
      <c r="AA3613" s="8" t="e">
        <f>+VLOOKUP(I3613,[1]SKU!$H$2:$I$97,2,0)</f>
        <v>#N/A</v>
      </c>
    </row>
    <row r="3614" spans="24:27">
      <c r="X3614" s="8" t="str">
        <f>+IFERROR(VLOOKUP(N3614,[1]Hoja1!$B$2:$F$52,4,0)*P3614,"")</f>
        <v/>
      </c>
      <c r="Y3614" s="8" t="e">
        <f>+VLOOKUP(M3614,[1]SKU!$B$3:$E$81,4,0)</f>
        <v>#N/A</v>
      </c>
      <c r="Z3614" s="8" t="str">
        <f t="shared" si="56"/>
        <v>FLEX</v>
      </c>
      <c r="AA3614" s="8" t="e">
        <f>+VLOOKUP(I3614,[1]SKU!$H$2:$I$97,2,0)</f>
        <v>#N/A</v>
      </c>
    </row>
    <row r="3615" spans="24:27">
      <c r="X3615" s="8" t="str">
        <f>+IFERROR(VLOOKUP(N3615,[1]Hoja1!$B$2:$F$52,4,0)*P3615,"")</f>
        <v/>
      </c>
      <c r="Y3615" s="8" t="e">
        <f>+VLOOKUP(M3615,[1]SKU!$B$3:$E$81,4,0)</f>
        <v>#N/A</v>
      </c>
      <c r="Z3615" s="8" t="str">
        <f t="shared" si="56"/>
        <v>FLEX</v>
      </c>
      <c r="AA3615" s="8" t="e">
        <f>+VLOOKUP(I3615,[1]SKU!$H$2:$I$97,2,0)</f>
        <v>#N/A</v>
      </c>
    </row>
    <row r="3616" spans="24:27">
      <c r="X3616" s="8" t="str">
        <f>+IFERROR(VLOOKUP(N3616,[1]Hoja1!$B$2:$F$52,4,0)*P3616,"")</f>
        <v/>
      </c>
      <c r="Y3616" s="8" t="e">
        <f>+VLOOKUP(M3616,[1]SKU!$B$3:$E$81,4,0)</f>
        <v>#N/A</v>
      </c>
      <c r="Z3616" s="8" t="str">
        <f t="shared" si="56"/>
        <v>FLEX</v>
      </c>
      <c r="AA3616" s="8" t="e">
        <f>+VLOOKUP(I3616,[1]SKU!$H$2:$I$97,2,0)</f>
        <v>#N/A</v>
      </c>
    </row>
    <row r="3617" spans="24:27">
      <c r="X3617" s="8" t="str">
        <f>+IFERROR(VLOOKUP(N3617,[1]Hoja1!$B$2:$F$52,4,0)*P3617,"")</f>
        <v/>
      </c>
      <c r="Y3617" s="8" t="e">
        <f>+VLOOKUP(M3617,[1]SKU!$B$3:$E$81,4,0)</f>
        <v>#N/A</v>
      </c>
      <c r="Z3617" s="8" t="str">
        <f t="shared" si="56"/>
        <v>FLEX</v>
      </c>
      <c r="AA3617" s="8" t="e">
        <f>+VLOOKUP(I3617,[1]SKU!$H$2:$I$97,2,0)</f>
        <v>#N/A</v>
      </c>
    </row>
    <row r="3618" spans="24:27">
      <c r="X3618" s="8" t="str">
        <f>+IFERROR(VLOOKUP(N3618,[1]Hoja1!$B$2:$F$52,4,0)*P3618,"")</f>
        <v/>
      </c>
      <c r="Y3618" s="8" t="e">
        <f>+VLOOKUP(M3618,[1]SKU!$B$3:$E$81,4,0)</f>
        <v>#N/A</v>
      </c>
      <c r="Z3618" s="8" t="str">
        <f t="shared" si="56"/>
        <v>FLEX</v>
      </c>
      <c r="AA3618" s="8" t="e">
        <f>+VLOOKUP(I3618,[1]SKU!$H$2:$I$97,2,0)</f>
        <v>#N/A</v>
      </c>
    </row>
    <row r="3619" spans="24:27">
      <c r="X3619" s="8" t="str">
        <f>+IFERROR(VLOOKUP(N3619,[1]Hoja1!$B$2:$F$52,4,0)*P3619,"")</f>
        <v/>
      </c>
      <c r="Y3619" s="8" t="e">
        <f>+VLOOKUP(M3619,[1]SKU!$B$3:$E$81,4,0)</f>
        <v>#N/A</v>
      </c>
      <c r="Z3619" s="8" t="str">
        <f t="shared" si="56"/>
        <v>FLEX</v>
      </c>
      <c r="AA3619" s="8" t="e">
        <f>+VLOOKUP(I3619,[1]SKU!$H$2:$I$97,2,0)</f>
        <v>#N/A</v>
      </c>
    </row>
    <row r="3620" spans="24:27">
      <c r="X3620" s="8" t="str">
        <f>+IFERROR(VLOOKUP(N3620,[1]Hoja1!$B$2:$F$52,4,0)*P3620,"")</f>
        <v/>
      </c>
      <c r="Y3620" s="8" t="e">
        <f>+VLOOKUP(M3620,[1]SKU!$B$3:$E$81,4,0)</f>
        <v>#N/A</v>
      </c>
      <c r="Z3620" s="8" t="str">
        <f t="shared" si="56"/>
        <v>FLEX</v>
      </c>
      <c r="AA3620" s="8" t="e">
        <f>+VLOOKUP(I3620,[1]SKU!$H$2:$I$97,2,0)</f>
        <v>#N/A</v>
      </c>
    </row>
    <row r="3621" spans="24:27">
      <c r="X3621" s="8" t="str">
        <f>+IFERROR(VLOOKUP(N3621,[1]Hoja1!$B$2:$F$52,4,0)*P3621,"")</f>
        <v/>
      </c>
      <c r="Y3621" s="8" t="e">
        <f>+VLOOKUP(M3621,[1]SKU!$B$3:$E$81,4,0)</f>
        <v>#N/A</v>
      </c>
      <c r="Z3621" s="8" t="str">
        <f t="shared" si="56"/>
        <v>FLEX</v>
      </c>
      <c r="AA3621" s="8" t="e">
        <f>+VLOOKUP(I3621,[1]SKU!$H$2:$I$97,2,0)</f>
        <v>#N/A</v>
      </c>
    </row>
    <row r="3622" spans="24:27">
      <c r="X3622" s="8" t="str">
        <f>+IFERROR(VLOOKUP(N3622,[1]Hoja1!$B$2:$F$52,4,0)*P3622,"")</f>
        <v/>
      </c>
      <c r="Y3622" s="8" t="e">
        <f>+VLOOKUP(M3622,[1]SKU!$B$3:$E$81,4,0)</f>
        <v>#N/A</v>
      </c>
      <c r="Z3622" s="8" t="str">
        <f t="shared" si="56"/>
        <v>FLEX</v>
      </c>
      <c r="AA3622" s="8" t="e">
        <f>+VLOOKUP(I3622,[1]SKU!$H$2:$I$97,2,0)</f>
        <v>#N/A</v>
      </c>
    </row>
    <row r="3623" spans="24:27">
      <c r="X3623" s="8" t="str">
        <f>+IFERROR(VLOOKUP(N3623,[1]Hoja1!$B$2:$F$52,4,0)*P3623,"")</f>
        <v/>
      </c>
      <c r="Y3623" s="8" t="e">
        <f>+VLOOKUP(M3623,[1]SKU!$B$3:$E$81,4,0)</f>
        <v>#N/A</v>
      </c>
      <c r="Z3623" s="8" t="str">
        <f t="shared" si="56"/>
        <v>FLEX</v>
      </c>
      <c r="AA3623" s="8" t="e">
        <f>+VLOOKUP(I3623,[1]SKU!$H$2:$I$97,2,0)</f>
        <v>#N/A</v>
      </c>
    </row>
    <row r="3624" spans="24:27">
      <c r="X3624" s="8" t="str">
        <f>+IFERROR(VLOOKUP(N3624,[1]Hoja1!$B$2:$F$52,4,0)*P3624,"")</f>
        <v/>
      </c>
      <c r="Y3624" s="8" t="e">
        <f>+VLOOKUP(M3624,[1]SKU!$B$3:$E$81,4,0)</f>
        <v>#N/A</v>
      </c>
      <c r="Z3624" s="8" t="str">
        <f t="shared" si="56"/>
        <v>FLEX</v>
      </c>
      <c r="AA3624" s="8" t="e">
        <f>+VLOOKUP(I3624,[1]SKU!$H$2:$I$97,2,0)</f>
        <v>#N/A</v>
      </c>
    </row>
    <row r="3625" spans="24:27">
      <c r="X3625" s="8" t="str">
        <f>+IFERROR(VLOOKUP(N3625,[1]Hoja1!$B$2:$F$52,4,0)*P3625,"")</f>
        <v/>
      </c>
      <c r="Y3625" s="8" t="e">
        <f>+VLOOKUP(M3625,[1]SKU!$B$3:$E$81,4,0)</f>
        <v>#N/A</v>
      </c>
      <c r="Z3625" s="8" t="str">
        <f t="shared" si="56"/>
        <v>FLEX</v>
      </c>
      <c r="AA3625" s="8" t="e">
        <f>+VLOOKUP(I3625,[1]SKU!$H$2:$I$97,2,0)</f>
        <v>#N/A</v>
      </c>
    </row>
    <row r="3626" spans="24:27">
      <c r="X3626" s="8" t="str">
        <f>+IFERROR(VLOOKUP(N3626,[1]Hoja1!$B$2:$F$52,4,0)*P3626,"")</f>
        <v/>
      </c>
      <c r="Y3626" s="8" t="e">
        <f>+VLOOKUP(M3626,[1]SKU!$B$3:$E$81,4,0)</f>
        <v>#N/A</v>
      </c>
      <c r="Z3626" s="8" t="str">
        <f t="shared" si="56"/>
        <v>FLEX</v>
      </c>
      <c r="AA3626" s="8" t="e">
        <f>+VLOOKUP(I3626,[1]SKU!$H$2:$I$97,2,0)</f>
        <v>#N/A</v>
      </c>
    </row>
    <row r="3627" spans="24:27">
      <c r="X3627" s="8" t="str">
        <f>+IFERROR(VLOOKUP(N3627,[1]Hoja1!$B$2:$F$52,4,0)*P3627,"")</f>
        <v/>
      </c>
      <c r="Y3627" s="8" t="e">
        <f>+VLOOKUP(M3627,[1]SKU!$B$3:$E$81,4,0)</f>
        <v>#N/A</v>
      </c>
      <c r="Z3627" s="8" t="str">
        <f t="shared" si="56"/>
        <v>FLEX</v>
      </c>
      <c r="AA3627" s="8" t="e">
        <f>+VLOOKUP(I3627,[1]SKU!$H$2:$I$97,2,0)</f>
        <v>#N/A</v>
      </c>
    </row>
    <row r="3628" spans="24:27">
      <c r="X3628" s="8" t="str">
        <f>+IFERROR(VLOOKUP(N3628,[1]Hoja1!$B$2:$F$52,4,0)*P3628,"")</f>
        <v/>
      </c>
      <c r="Y3628" s="8" t="e">
        <f>+VLOOKUP(M3628,[1]SKU!$B$3:$E$81,4,0)</f>
        <v>#N/A</v>
      </c>
      <c r="Z3628" s="8" t="str">
        <f t="shared" si="56"/>
        <v>FLEX</v>
      </c>
      <c r="AA3628" s="8" t="e">
        <f>+VLOOKUP(I3628,[1]SKU!$H$2:$I$97,2,0)</f>
        <v>#N/A</v>
      </c>
    </row>
    <row r="3629" spans="24:27">
      <c r="X3629" s="8" t="str">
        <f>+IFERROR(VLOOKUP(N3629,[1]Hoja1!$B$2:$F$52,4,0)*P3629,"")</f>
        <v/>
      </c>
      <c r="Y3629" s="8" t="e">
        <f>+VLOOKUP(M3629,[1]SKU!$B$3:$E$81,4,0)</f>
        <v>#N/A</v>
      </c>
      <c r="Z3629" s="8" t="str">
        <f t="shared" si="56"/>
        <v>FLEX</v>
      </c>
      <c r="AA3629" s="8" t="e">
        <f>+VLOOKUP(I3629,[1]SKU!$H$2:$I$97,2,0)</f>
        <v>#N/A</v>
      </c>
    </row>
    <row r="3630" spans="24:27">
      <c r="X3630" s="8" t="str">
        <f>+IFERROR(VLOOKUP(N3630,[1]Hoja1!$B$2:$F$52,4,0)*P3630,"")</f>
        <v/>
      </c>
      <c r="Y3630" s="8" t="e">
        <f>+VLOOKUP(M3630,[1]SKU!$B$3:$E$81,4,0)</f>
        <v>#N/A</v>
      </c>
      <c r="Z3630" s="8" t="str">
        <f t="shared" si="56"/>
        <v>FLEX</v>
      </c>
      <c r="AA3630" s="8" t="e">
        <f>+VLOOKUP(I3630,[1]SKU!$H$2:$I$97,2,0)</f>
        <v>#N/A</v>
      </c>
    </row>
    <row r="3631" spans="24:27">
      <c r="X3631" s="8" t="str">
        <f>+IFERROR(VLOOKUP(N3631,[1]Hoja1!$B$2:$F$52,4,0)*P3631,"")</f>
        <v/>
      </c>
      <c r="Y3631" s="8" t="e">
        <f>+VLOOKUP(M3631,[1]SKU!$B$3:$E$81,4,0)</f>
        <v>#N/A</v>
      </c>
      <c r="Z3631" s="8" t="str">
        <f t="shared" si="56"/>
        <v>FLEX</v>
      </c>
      <c r="AA3631" s="8" t="e">
        <f>+VLOOKUP(I3631,[1]SKU!$H$2:$I$97,2,0)</f>
        <v>#N/A</v>
      </c>
    </row>
    <row r="3632" spans="24:27">
      <c r="X3632" s="8" t="str">
        <f>+IFERROR(VLOOKUP(N3632,[1]Hoja1!$B$2:$F$52,4,0)*P3632,"")</f>
        <v/>
      </c>
      <c r="Y3632" s="8" t="e">
        <f>+VLOOKUP(M3632,[1]SKU!$B$3:$E$81,4,0)</f>
        <v>#N/A</v>
      </c>
      <c r="Z3632" s="8" t="str">
        <f t="shared" si="56"/>
        <v>FLEX</v>
      </c>
      <c r="AA3632" s="8" t="e">
        <f>+VLOOKUP(I3632,[1]SKU!$H$2:$I$97,2,0)</f>
        <v>#N/A</v>
      </c>
    </row>
    <row r="3633" spans="24:27">
      <c r="X3633" s="8" t="str">
        <f>+IFERROR(VLOOKUP(N3633,[1]Hoja1!$B$2:$F$52,4,0)*P3633,"")</f>
        <v/>
      </c>
      <c r="Y3633" s="8" t="e">
        <f>+VLOOKUP(M3633,[1]SKU!$B$3:$E$81,4,0)</f>
        <v>#N/A</v>
      </c>
      <c r="Z3633" s="8" t="str">
        <f t="shared" si="56"/>
        <v>FLEX</v>
      </c>
      <c r="AA3633" s="8" t="e">
        <f>+VLOOKUP(I3633,[1]SKU!$H$2:$I$97,2,0)</f>
        <v>#N/A</v>
      </c>
    </row>
    <row r="3634" spans="24:27">
      <c r="X3634" s="8" t="str">
        <f>+IFERROR(VLOOKUP(N3634,[1]Hoja1!$B$2:$F$52,4,0)*P3634,"")</f>
        <v/>
      </c>
      <c r="Y3634" s="8" t="e">
        <f>+VLOOKUP(M3634,[1]SKU!$B$3:$E$81,4,0)</f>
        <v>#N/A</v>
      </c>
      <c r="Z3634" s="8" t="str">
        <f t="shared" si="56"/>
        <v>FLEX</v>
      </c>
      <c r="AA3634" s="8" t="e">
        <f>+VLOOKUP(I3634,[1]SKU!$H$2:$I$97,2,0)</f>
        <v>#N/A</v>
      </c>
    </row>
    <row r="3635" spans="24:27">
      <c r="X3635" s="8" t="str">
        <f>+IFERROR(VLOOKUP(N3635,[1]Hoja1!$B$2:$F$52,4,0)*P3635,"")</f>
        <v/>
      </c>
      <c r="Y3635" s="8" t="e">
        <f>+VLOOKUP(M3635,[1]SKU!$B$3:$E$81,4,0)</f>
        <v>#N/A</v>
      </c>
      <c r="Z3635" s="8" t="str">
        <f t="shared" si="56"/>
        <v>FLEX</v>
      </c>
      <c r="AA3635" s="8" t="e">
        <f>+VLOOKUP(I3635,[1]SKU!$H$2:$I$97,2,0)</f>
        <v>#N/A</v>
      </c>
    </row>
    <row r="3636" spans="24:27">
      <c r="X3636" s="8" t="str">
        <f>+IFERROR(VLOOKUP(N3636,[1]Hoja1!$B$2:$F$52,4,0)*P3636,"")</f>
        <v/>
      </c>
      <c r="Y3636" s="8" t="e">
        <f>+VLOOKUP(M3636,[1]SKU!$B$3:$E$81,4,0)</f>
        <v>#N/A</v>
      </c>
      <c r="Z3636" s="8" t="str">
        <f t="shared" si="56"/>
        <v>FLEX</v>
      </c>
      <c r="AA3636" s="8" t="e">
        <f>+VLOOKUP(I3636,[1]SKU!$H$2:$I$97,2,0)</f>
        <v>#N/A</v>
      </c>
    </row>
    <row r="3637" spans="24:27">
      <c r="X3637" s="8" t="str">
        <f>+IFERROR(VLOOKUP(N3637,[1]Hoja1!$B$2:$F$52,4,0)*P3637,"")</f>
        <v/>
      </c>
      <c r="Y3637" s="8" t="e">
        <f>+VLOOKUP(M3637,[1]SKU!$B$3:$E$81,4,0)</f>
        <v>#N/A</v>
      </c>
      <c r="Z3637" s="8" t="str">
        <f t="shared" si="56"/>
        <v>FLEX</v>
      </c>
      <c r="AA3637" s="8" t="e">
        <f>+VLOOKUP(I3637,[1]SKU!$H$2:$I$97,2,0)</f>
        <v>#N/A</v>
      </c>
    </row>
    <row r="3638" spans="24:27">
      <c r="X3638" s="8" t="str">
        <f>+IFERROR(VLOOKUP(N3638,[1]Hoja1!$B$2:$F$52,4,0)*P3638,"")</f>
        <v/>
      </c>
      <c r="Y3638" s="8" t="e">
        <f>+VLOOKUP(M3638,[1]SKU!$B$3:$E$81,4,0)</f>
        <v>#N/A</v>
      </c>
      <c r="Z3638" s="8" t="str">
        <f t="shared" si="56"/>
        <v>FLEX</v>
      </c>
      <c r="AA3638" s="8" t="e">
        <f>+VLOOKUP(I3638,[1]SKU!$H$2:$I$97,2,0)</f>
        <v>#N/A</v>
      </c>
    </row>
    <row r="3639" spans="24:27">
      <c r="X3639" s="8" t="str">
        <f>+IFERROR(VLOOKUP(N3639,[1]Hoja1!$B$2:$F$52,4,0)*P3639,"")</f>
        <v/>
      </c>
      <c r="Y3639" s="8" t="e">
        <f>+VLOOKUP(M3639,[1]SKU!$B$3:$E$81,4,0)</f>
        <v>#N/A</v>
      </c>
      <c r="Z3639" s="8" t="str">
        <f t="shared" si="56"/>
        <v>FLEX</v>
      </c>
      <c r="AA3639" s="8" t="e">
        <f>+VLOOKUP(I3639,[1]SKU!$H$2:$I$97,2,0)</f>
        <v>#N/A</v>
      </c>
    </row>
    <row r="3640" spans="24:27">
      <c r="X3640" s="8" t="str">
        <f>+IFERROR(VLOOKUP(N3640,[1]Hoja1!$B$2:$F$52,4,0)*P3640,"")</f>
        <v/>
      </c>
      <c r="Y3640" s="8" t="e">
        <f>+VLOOKUP(M3640,[1]SKU!$B$3:$E$81,4,0)</f>
        <v>#N/A</v>
      </c>
      <c r="Z3640" s="8" t="str">
        <f t="shared" si="56"/>
        <v>FLEX</v>
      </c>
      <c r="AA3640" s="8" t="e">
        <f>+VLOOKUP(I3640,[1]SKU!$H$2:$I$97,2,0)</f>
        <v>#N/A</v>
      </c>
    </row>
    <row r="3641" spans="24:27">
      <c r="X3641" s="8" t="str">
        <f>+IFERROR(VLOOKUP(N3641,[1]Hoja1!$B$2:$F$52,4,0)*P3641,"")</f>
        <v/>
      </c>
      <c r="Y3641" s="8" t="e">
        <f>+VLOOKUP(M3641,[1]SKU!$B$3:$E$81,4,0)</f>
        <v>#N/A</v>
      </c>
      <c r="Z3641" s="8" t="str">
        <f t="shared" si="56"/>
        <v>FLEX</v>
      </c>
      <c r="AA3641" s="8" t="e">
        <f>+VLOOKUP(I3641,[1]SKU!$H$2:$I$97,2,0)</f>
        <v>#N/A</v>
      </c>
    </row>
    <row r="3642" spans="24:27">
      <c r="X3642" s="8" t="str">
        <f>+IFERROR(VLOOKUP(N3642,[1]Hoja1!$B$2:$F$52,4,0)*P3642,"")</f>
        <v/>
      </c>
      <c r="Y3642" s="8" t="e">
        <f>+VLOOKUP(M3642,[1]SKU!$B$3:$E$81,4,0)</f>
        <v>#N/A</v>
      </c>
      <c r="Z3642" s="8" t="str">
        <f t="shared" si="56"/>
        <v>FLEX</v>
      </c>
      <c r="AA3642" s="8" t="e">
        <f>+VLOOKUP(I3642,[1]SKU!$H$2:$I$97,2,0)</f>
        <v>#N/A</v>
      </c>
    </row>
    <row r="3643" spans="24:27">
      <c r="X3643" s="8" t="str">
        <f>+IFERROR(VLOOKUP(N3643,[1]Hoja1!$B$2:$F$52,4,0)*P3643,"")</f>
        <v/>
      </c>
      <c r="Y3643" s="8" t="e">
        <f>+VLOOKUP(M3643,[1]SKU!$B$3:$E$81,4,0)</f>
        <v>#N/A</v>
      </c>
      <c r="Z3643" s="8" t="str">
        <f t="shared" si="56"/>
        <v>FLEX</v>
      </c>
      <c r="AA3643" s="8" t="e">
        <f>+VLOOKUP(I3643,[1]SKU!$H$2:$I$97,2,0)</f>
        <v>#N/A</v>
      </c>
    </row>
    <row r="3644" spans="24:27">
      <c r="X3644" s="8" t="str">
        <f>+IFERROR(VLOOKUP(N3644,[1]Hoja1!$B$2:$F$52,4,0)*P3644,"")</f>
        <v/>
      </c>
      <c r="Y3644" s="8" t="e">
        <f>+VLOOKUP(M3644,[1]SKU!$B$3:$E$81,4,0)</f>
        <v>#N/A</v>
      </c>
      <c r="Z3644" s="8" t="str">
        <f t="shared" si="56"/>
        <v>FLEX</v>
      </c>
      <c r="AA3644" s="8" t="e">
        <f>+VLOOKUP(I3644,[1]SKU!$H$2:$I$97,2,0)</f>
        <v>#N/A</v>
      </c>
    </row>
    <row r="3645" spans="24:27">
      <c r="X3645" s="8" t="str">
        <f>+IFERROR(VLOOKUP(N3645,[1]Hoja1!$B$2:$F$52,4,0)*P3645,"")</f>
        <v/>
      </c>
      <c r="Y3645" s="8" t="e">
        <f>+VLOOKUP(M3645,[1]SKU!$B$3:$E$81,4,0)</f>
        <v>#N/A</v>
      </c>
      <c r="Z3645" s="8" t="str">
        <f t="shared" si="56"/>
        <v>FLEX</v>
      </c>
      <c r="AA3645" s="8" t="e">
        <f>+VLOOKUP(I3645,[1]SKU!$H$2:$I$97,2,0)</f>
        <v>#N/A</v>
      </c>
    </row>
    <row r="3646" spans="24:27">
      <c r="X3646" s="8" t="str">
        <f>+IFERROR(VLOOKUP(N3646,[1]Hoja1!$B$2:$F$52,4,0)*P3646,"")</f>
        <v/>
      </c>
      <c r="Y3646" s="8" t="e">
        <f>+VLOOKUP(M3646,[1]SKU!$B$3:$E$81,4,0)</f>
        <v>#N/A</v>
      </c>
      <c r="Z3646" s="8" t="str">
        <f t="shared" si="56"/>
        <v>FLEX</v>
      </c>
      <c r="AA3646" s="8" t="e">
        <f>+VLOOKUP(I3646,[1]SKU!$H$2:$I$97,2,0)</f>
        <v>#N/A</v>
      </c>
    </row>
    <row r="3647" spans="24:27">
      <c r="X3647" s="8" t="str">
        <f>+IFERROR(VLOOKUP(N3647,[1]Hoja1!$B$2:$F$52,4,0)*P3647,"")</f>
        <v/>
      </c>
      <c r="Y3647" s="8" t="e">
        <f>+VLOOKUP(M3647,[1]SKU!$B$3:$E$81,4,0)</f>
        <v>#N/A</v>
      </c>
      <c r="Z3647" s="8" t="str">
        <f t="shared" si="56"/>
        <v>FLEX</v>
      </c>
      <c r="AA3647" s="8" t="e">
        <f>+VLOOKUP(I3647,[1]SKU!$H$2:$I$97,2,0)</f>
        <v>#N/A</v>
      </c>
    </row>
    <row r="3648" spans="24:27">
      <c r="X3648" s="8" t="str">
        <f>+IFERROR(VLOOKUP(N3648,[1]Hoja1!$B$2:$F$52,4,0)*P3648,"")</f>
        <v/>
      </c>
      <c r="Y3648" s="8" t="e">
        <f>+VLOOKUP(M3648,[1]SKU!$B$3:$E$81,4,0)</f>
        <v>#N/A</v>
      </c>
      <c r="Z3648" s="8" t="str">
        <f t="shared" si="56"/>
        <v>FLEX</v>
      </c>
      <c r="AA3648" s="8" t="e">
        <f>+VLOOKUP(I3648,[1]SKU!$H$2:$I$97,2,0)</f>
        <v>#N/A</v>
      </c>
    </row>
    <row r="3649" spans="24:27">
      <c r="X3649" s="8" t="str">
        <f>+IFERROR(VLOOKUP(N3649,[1]Hoja1!$B$2:$F$52,4,0)*P3649,"")</f>
        <v/>
      </c>
      <c r="Y3649" s="8" t="e">
        <f>+VLOOKUP(M3649,[1]SKU!$B$3:$E$81,4,0)</f>
        <v>#N/A</v>
      </c>
      <c r="Z3649" s="8" t="str">
        <f t="shared" si="56"/>
        <v>FLEX</v>
      </c>
      <c r="AA3649" s="8" t="e">
        <f>+VLOOKUP(I3649,[1]SKU!$H$2:$I$97,2,0)</f>
        <v>#N/A</v>
      </c>
    </row>
    <row r="3650" spans="24:27">
      <c r="X3650" s="8" t="str">
        <f>+IFERROR(VLOOKUP(N3650,[1]Hoja1!$B$2:$F$52,4,0)*P3650,"")</f>
        <v/>
      </c>
      <c r="Y3650" s="8" t="e">
        <f>+VLOOKUP(M3650,[1]SKU!$B$3:$E$81,4,0)</f>
        <v>#N/A</v>
      </c>
      <c r="Z3650" s="8" t="str">
        <f t="shared" si="56"/>
        <v>FLEX</v>
      </c>
      <c r="AA3650" s="8" t="e">
        <f>+VLOOKUP(I3650,[1]SKU!$H$2:$I$97,2,0)</f>
        <v>#N/A</v>
      </c>
    </row>
    <row r="3651" spans="24:27">
      <c r="X3651" s="8" t="str">
        <f>+IFERROR(VLOOKUP(N3651,[1]Hoja1!$B$2:$F$52,4,0)*P3651,"")</f>
        <v/>
      </c>
      <c r="Y3651" s="8" t="e">
        <f>+VLOOKUP(M3651,[1]SKU!$B$3:$E$81,4,0)</f>
        <v>#N/A</v>
      </c>
      <c r="Z3651" s="8" t="str">
        <f t="shared" ref="Z3651:Z3714" si="57">+IF(J3651="VB01                          ","BEES","FLEX")</f>
        <v>FLEX</v>
      </c>
      <c r="AA3651" s="8" t="e">
        <f>+VLOOKUP(I3651,[1]SKU!$H$2:$I$97,2,0)</f>
        <v>#N/A</v>
      </c>
    </row>
    <row r="3652" spans="24:27">
      <c r="X3652" s="8" t="str">
        <f>+IFERROR(VLOOKUP(N3652,[1]Hoja1!$B$2:$F$52,4,0)*P3652,"")</f>
        <v/>
      </c>
      <c r="Y3652" s="8" t="e">
        <f>+VLOOKUP(M3652,[1]SKU!$B$3:$E$81,4,0)</f>
        <v>#N/A</v>
      </c>
      <c r="Z3652" s="8" t="str">
        <f t="shared" si="57"/>
        <v>FLEX</v>
      </c>
      <c r="AA3652" s="8" t="e">
        <f>+VLOOKUP(I3652,[1]SKU!$H$2:$I$97,2,0)</f>
        <v>#N/A</v>
      </c>
    </row>
    <row r="3653" spans="24:27">
      <c r="X3653" s="8" t="str">
        <f>+IFERROR(VLOOKUP(N3653,[1]Hoja1!$B$2:$F$52,4,0)*P3653,"")</f>
        <v/>
      </c>
      <c r="Y3653" s="8" t="e">
        <f>+VLOOKUP(M3653,[1]SKU!$B$3:$E$81,4,0)</f>
        <v>#N/A</v>
      </c>
      <c r="Z3653" s="8" t="str">
        <f t="shared" si="57"/>
        <v>FLEX</v>
      </c>
      <c r="AA3653" s="8" t="e">
        <f>+VLOOKUP(I3653,[1]SKU!$H$2:$I$97,2,0)</f>
        <v>#N/A</v>
      </c>
    </row>
    <row r="3654" spans="24:27">
      <c r="X3654" s="8" t="str">
        <f>+IFERROR(VLOOKUP(N3654,[1]Hoja1!$B$2:$F$52,4,0)*P3654,"")</f>
        <v/>
      </c>
      <c r="Y3654" s="8" t="e">
        <f>+VLOOKUP(M3654,[1]SKU!$B$3:$E$81,4,0)</f>
        <v>#N/A</v>
      </c>
      <c r="Z3654" s="8" t="str">
        <f t="shared" si="57"/>
        <v>FLEX</v>
      </c>
      <c r="AA3654" s="8" t="e">
        <f>+VLOOKUP(I3654,[1]SKU!$H$2:$I$97,2,0)</f>
        <v>#N/A</v>
      </c>
    </row>
    <row r="3655" spans="24:27">
      <c r="X3655" s="8" t="str">
        <f>+IFERROR(VLOOKUP(N3655,[1]Hoja1!$B$2:$F$52,4,0)*P3655,"")</f>
        <v/>
      </c>
      <c r="Y3655" s="8" t="e">
        <f>+VLOOKUP(M3655,[1]SKU!$B$3:$E$81,4,0)</f>
        <v>#N/A</v>
      </c>
      <c r="Z3655" s="8" t="str">
        <f t="shared" si="57"/>
        <v>FLEX</v>
      </c>
      <c r="AA3655" s="8" t="e">
        <f>+VLOOKUP(I3655,[1]SKU!$H$2:$I$97,2,0)</f>
        <v>#N/A</v>
      </c>
    </row>
    <row r="3656" spans="24:27">
      <c r="X3656" s="8" t="str">
        <f>+IFERROR(VLOOKUP(N3656,[1]Hoja1!$B$2:$F$52,4,0)*P3656,"")</f>
        <v/>
      </c>
      <c r="Y3656" s="8" t="e">
        <f>+VLOOKUP(M3656,[1]SKU!$B$3:$E$81,4,0)</f>
        <v>#N/A</v>
      </c>
      <c r="Z3656" s="8" t="str">
        <f t="shared" si="57"/>
        <v>FLEX</v>
      </c>
      <c r="AA3656" s="8" t="e">
        <f>+VLOOKUP(I3656,[1]SKU!$H$2:$I$97,2,0)</f>
        <v>#N/A</v>
      </c>
    </row>
    <row r="3657" spans="24:27">
      <c r="X3657" s="8" t="str">
        <f>+IFERROR(VLOOKUP(N3657,[1]Hoja1!$B$2:$F$52,4,0)*P3657,"")</f>
        <v/>
      </c>
      <c r="Y3657" s="8" t="e">
        <f>+VLOOKUP(M3657,[1]SKU!$B$3:$E$81,4,0)</f>
        <v>#N/A</v>
      </c>
      <c r="Z3657" s="8" t="str">
        <f t="shared" si="57"/>
        <v>FLEX</v>
      </c>
      <c r="AA3657" s="8" t="e">
        <f>+VLOOKUP(I3657,[1]SKU!$H$2:$I$97,2,0)</f>
        <v>#N/A</v>
      </c>
    </row>
    <row r="3658" spans="24:27">
      <c r="X3658" s="8" t="str">
        <f>+IFERROR(VLOOKUP(N3658,[1]Hoja1!$B$2:$F$52,4,0)*P3658,"")</f>
        <v/>
      </c>
      <c r="Y3658" s="8" t="e">
        <f>+VLOOKUP(M3658,[1]SKU!$B$3:$E$81,4,0)</f>
        <v>#N/A</v>
      </c>
      <c r="Z3658" s="8" t="str">
        <f t="shared" si="57"/>
        <v>FLEX</v>
      </c>
      <c r="AA3658" s="8" t="e">
        <f>+VLOOKUP(I3658,[1]SKU!$H$2:$I$97,2,0)</f>
        <v>#N/A</v>
      </c>
    </row>
    <row r="3659" spans="24:27">
      <c r="X3659" s="8" t="str">
        <f>+IFERROR(VLOOKUP(N3659,[1]Hoja1!$B$2:$F$52,4,0)*P3659,"")</f>
        <v/>
      </c>
      <c r="Y3659" s="8" t="e">
        <f>+VLOOKUP(M3659,[1]SKU!$B$3:$E$81,4,0)</f>
        <v>#N/A</v>
      </c>
      <c r="Z3659" s="8" t="str">
        <f t="shared" si="57"/>
        <v>FLEX</v>
      </c>
      <c r="AA3659" s="8" t="e">
        <f>+VLOOKUP(I3659,[1]SKU!$H$2:$I$97,2,0)</f>
        <v>#N/A</v>
      </c>
    </row>
    <row r="3660" spans="24:27">
      <c r="X3660" s="8" t="str">
        <f>+IFERROR(VLOOKUP(N3660,[1]Hoja1!$B$2:$F$52,4,0)*P3660,"")</f>
        <v/>
      </c>
      <c r="Y3660" s="8" t="e">
        <f>+VLOOKUP(M3660,[1]SKU!$B$3:$E$81,4,0)</f>
        <v>#N/A</v>
      </c>
      <c r="Z3660" s="8" t="str">
        <f t="shared" si="57"/>
        <v>FLEX</v>
      </c>
      <c r="AA3660" s="8" t="e">
        <f>+VLOOKUP(I3660,[1]SKU!$H$2:$I$97,2,0)</f>
        <v>#N/A</v>
      </c>
    </row>
    <row r="3661" spans="24:27">
      <c r="X3661" s="8" t="str">
        <f>+IFERROR(VLOOKUP(N3661,[1]Hoja1!$B$2:$F$52,4,0)*P3661,"")</f>
        <v/>
      </c>
      <c r="Y3661" s="8" t="e">
        <f>+VLOOKUP(M3661,[1]SKU!$B$3:$E$81,4,0)</f>
        <v>#N/A</v>
      </c>
      <c r="Z3661" s="8" t="str">
        <f t="shared" si="57"/>
        <v>FLEX</v>
      </c>
      <c r="AA3661" s="8" t="e">
        <f>+VLOOKUP(I3661,[1]SKU!$H$2:$I$97,2,0)</f>
        <v>#N/A</v>
      </c>
    </row>
    <row r="3662" spans="24:27">
      <c r="X3662" s="8" t="str">
        <f>+IFERROR(VLOOKUP(N3662,[1]Hoja1!$B$2:$F$52,4,0)*P3662,"")</f>
        <v/>
      </c>
      <c r="Y3662" s="8" t="e">
        <f>+VLOOKUP(M3662,[1]SKU!$B$3:$E$81,4,0)</f>
        <v>#N/A</v>
      </c>
      <c r="Z3662" s="8" t="str">
        <f t="shared" si="57"/>
        <v>FLEX</v>
      </c>
      <c r="AA3662" s="8" t="e">
        <f>+VLOOKUP(I3662,[1]SKU!$H$2:$I$97,2,0)</f>
        <v>#N/A</v>
      </c>
    </row>
    <row r="3663" spans="24:27">
      <c r="X3663" s="8" t="str">
        <f>+IFERROR(VLOOKUP(N3663,[1]Hoja1!$B$2:$F$52,4,0)*P3663,"")</f>
        <v/>
      </c>
      <c r="Y3663" s="8" t="e">
        <f>+VLOOKUP(M3663,[1]SKU!$B$3:$E$81,4,0)</f>
        <v>#N/A</v>
      </c>
      <c r="Z3663" s="8" t="str">
        <f t="shared" si="57"/>
        <v>FLEX</v>
      </c>
      <c r="AA3663" s="8" t="e">
        <f>+VLOOKUP(I3663,[1]SKU!$H$2:$I$97,2,0)</f>
        <v>#N/A</v>
      </c>
    </row>
    <row r="3664" spans="24:27">
      <c r="X3664" s="8" t="str">
        <f>+IFERROR(VLOOKUP(N3664,[1]Hoja1!$B$2:$F$52,4,0)*P3664,"")</f>
        <v/>
      </c>
      <c r="Y3664" s="8" t="e">
        <f>+VLOOKUP(M3664,[1]SKU!$B$3:$E$81,4,0)</f>
        <v>#N/A</v>
      </c>
      <c r="Z3664" s="8" t="str">
        <f t="shared" si="57"/>
        <v>FLEX</v>
      </c>
      <c r="AA3664" s="8" t="e">
        <f>+VLOOKUP(I3664,[1]SKU!$H$2:$I$97,2,0)</f>
        <v>#N/A</v>
      </c>
    </row>
    <row r="3665" spans="24:27">
      <c r="X3665" s="8" t="str">
        <f>+IFERROR(VLOOKUP(N3665,[1]Hoja1!$B$2:$F$52,4,0)*P3665,"")</f>
        <v/>
      </c>
      <c r="Y3665" s="8" t="e">
        <f>+VLOOKUP(M3665,[1]SKU!$B$3:$E$81,4,0)</f>
        <v>#N/A</v>
      </c>
      <c r="Z3665" s="8" t="str">
        <f t="shared" si="57"/>
        <v>FLEX</v>
      </c>
      <c r="AA3665" s="8" t="e">
        <f>+VLOOKUP(I3665,[1]SKU!$H$2:$I$97,2,0)</f>
        <v>#N/A</v>
      </c>
    </row>
    <row r="3666" spans="24:27">
      <c r="X3666" s="8" t="str">
        <f>+IFERROR(VLOOKUP(N3666,[1]Hoja1!$B$2:$F$52,4,0)*P3666,"")</f>
        <v/>
      </c>
      <c r="Y3666" s="8" t="e">
        <f>+VLOOKUP(M3666,[1]SKU!$B$3:$E$81,4,0)</f>
        <v>#N/A</v>
      </c>
      <c r="Z3666" s="8" t="str">
        <f t="shared" si="57"/>
        <v>FLEX</v>
      </c>
      <c r="AA3666" s="8" t="e">
        <f>+VLOOKUP(I3666,[1]SKU!$H$2:$I$97,2,0)</f>
        <v>#N/A</v>
      </c>
    </row>
    <row r="3667" spans="24:27">
      <c r="X3667" s="8" t="str">
        <f>+IFERROR(VLOOKUP(N3667,[1]Hoja1!$B$2:$F$52,4,0)*P3667,"")</f>
        <v/>
      </c>
      <c r="Y3667" s="8" t="e">
        <f>+VLOOKUP(M3667,[1]SKU!$B$3:$E$81,4,0)</f>
        <v>#N/A</v>
      </c>
      <c r="Z3667" s="8" t="str">
        <f t="shared" si="57"/>
        <v>FLEX</v>
      </c>
      <c r="AA3667" s="8" t="e">
        <f>+VLOOKUP(I3667,[1]SKU!$H$2:$I$97,2,0)</f>
        <v>#N/A</v>
      </c>
    </row>
    <row r="3668" spans="24:27">
      <c r="X3668" s="8" t="str">
        <f>+IFERROR(VLOOKUP(N3668,[1]Hoja1!$B$2:$F$52,4,0)*P3668,"")</f>
        <v/>
      </c>
      <c r="Y3668" s="8" t="e">
        <f>+VLOOKUP(M3668,[1]SKU!$B$3:$E$81,4,0)</f>
        <v>#N/A</v>
      </c>
      <c r="Z3668" s="8" t="str">
        <f t="shared" si="57"/>
        <v>FLEX</v>
      </c>
      <c r="AA3668" s="8" t="e">
        <f>+VLOOKUP(I3668,[1]SKU!$H$2:$I$97,2,0)</f>
        <v>#N/A</v>
      </c>
    </row>
    <row r="3669" spans="24:27">
      <c r="X3669" s="8" t="str">
        <f>+IFERROR(VLOOKUP(N3669,[1]Hoja1!$B$2:$F$52,4,0)*P3669,"")</f>
        <v/>
      </c>
      <c r="Y3669" s="8" t="e">
        <f>+VLOOKUP(M3669,[1]SKU!$B$3:$E$81,4,0)</f>
        <v>#N/A</v>
      </c>
      <c r="Z3669" s="8" t="str">
        <f t="shared" si="57"/>
        <v>FLEX</v>
      </c>
      <c r="AA3669" s="8" t="e">
        <f>+VLOOKUP(I3669,[1]SKU!$H$2:$I$97,2,0)</f>
        <v>#N/A</v>
      </c>
    </row>
    <row r="3670" spans="24:27">
      <c r="X3670" s="8" t="str">
        <f>+IFERROR(VLOOKUP(N3670,[1]Hoja1!$B$2:$F$52,4,0)*P3670,"")</f>
        <v/>
      </c>
      <c r="Y3670" s="8" t="e">
        <f>+VLOOKUP(M3670,[1]SKU!$B$3:$E$81,4,0)</f>
        <v>#N/A</v>
      </c>
      <c r="Z3670" s="8" t="str">
        <f t="shared" si="57"/>
        <v>FLEX</v>
      </c>
      <c r="AA3670" s="8" t="e">
        <f>+VLOOKUP(I3670,[1]SKU!$H$2:$I$97,2,0)</f>
        <v>#N/A</v>
      </c>
    </row>
    <row r="3671" spans="24:27">
      <c r="X3671" s="8" t="str">
        <f>+IFERROR(VLOOKUP(N3671,[1]Hoja1!$B$2:$F$52,4,0)*P3671,"")</f>
        <v/>
      </c>
      <c r="Y3671" s="8" t="e">
        <f>+VLOOKUP(M3671,[1]SKU!$B$3:$E$81,4,0)</f>
        <v>#N/A</v>
      </c>
      <c r="Z3671" s="8" t="str">
        <f t="shared" si="57"/>
        <v>FLEX</v>
      </c>
      <c r="AA3671" s="8" t="e">
        <f>+VLOOKUP(I3671,[1]SKU!$H$2:$I$97,2,0)</f>
        <v>#N/A</v>
      </c>
    </row>
    <row r="3672" spans="24:27">
      <c r="X3672" s="8" t="str">
        <f>+IFERROR(VLOOKUP(N3672,[1]Hoja1!$B$2:$F$52,4,0)*P3672,"")</f>
        <v/>
      </c>
      <c r="Y3672" s="8" t="e">
        <f>+VLOOKUP(M3672,[1]SKU!$B$3:$E$81,4,0)</f>
        <v>#N/A</v>
      </c>
      <c r="Z3672" s="8" t="str">
        <f t="shared" si="57"/>
        <v>FLEX</v>
      </c>
      <c r="AA3672" s="8" t="e">
        <f>+VLOOKUP(I3672,[1]SKU!$H$2:$I$97,2,0)</f>
        <v>#N/A</v>
      </c>
    </row>
    <row r="3673" spans="24:27">
      <c r="X3673" s="8" t="str">
        <f>+IFERROR(VLOOKUP(N3673,[1]Hoja1!$B$2:$F$52,4,0)*P3673,"")</f>
        <v/>
      </c>
      <c r="Y3673" s="8" t="e">
        <f>+VLOOKUP(M3673,[1]SKU!$B$3:$E$81,4,0)</f>
        <v>#N/A</v>
      </c>
      <c r="Z3673" s="8" t="str">
        <f t="shared" si="57"/>
        <v>FLEX</v>
      </c>
      <c r="AA3673" s="8" t="e">
        <f>+VLOOKUP(I3673,[1]SKU!$H$2:$I$97,2,0)</f>
        <v>#N/A</v>
      </c>
    </row>
    <row r="3674" spans="24:27">
      <c r="X3674" s="8" t="str">
        <f>+IFERROR(VLOOKUP(N3674,[1]Hoja1!$B$2:$F$52,4,0)*P3674,"")</f>
        <v/>
      </c>
      <c r="Y3674" s="8" t="e">
        <f>+VLOOKUP(M3674,[1]SKU!$B$3:$E$81,4,0)</f>
        <v>#N/A</v>
      </c>
      <c r="Z3674" s="8" t="str">
        <f t="shared" si="57"/>
        <v>FLEX</v>
      </c>
      <c r="AA3674" s="8" t="e">
        <f>+VLOOKUP(I3674,[1]SKU!$H$2:$I$97,2,0)</f>
        <v>#N/A</v>
      </c>
    </row>
    <row r="3675" spans="24:27">
      <c r="X3675" s="8" t="str">
        <f>+IFERROR(VLOOKUP(N3675,[1]Hoja1!$B$2:$F$52,4,0)*P3675,"")</f>
        <v/>
      </c>
      <c r="Y3675" s="8" t="e">
        <f>+VLOOKUP(M3675,[1]SKU!$B$3:$E$81,4,0)</f>
        <v>#N/A</v>
      </c>
      <c r="Z3675" s="8" t="str">
        <f t="shared" si="57"/>
        <v>FLEX</v>
      </c>
      <c r="AA3675" s="8" t="e">
        <f>+VLOOKUP(I3675,[1]SKU!$H$2:$I$97,2,0)</f>
        <v>#N/A</v>
      </c>
    </row>
    <row r="3676" spans="24:27">
      <c r="X3676" s="8" t="str">
        <f>+IFERROR(VLOOKUP(N3676,[1]Hoja1!$B$2:$F$52,4,0)*P3676,"")</f>
        <v/>
      </c>
      <c r="Y3676" s="8" t="e">
        <f>+VLOOKUP(M3676,[1]SKU!$B$3:$E$81,4,0)</f>
        <v>#N/A</v>
      </c>
      <c r="Z3676" s="8" t="str">
        <f t="shared" si="57"/>
        <v>FLEX</v>
      </c>
      <c r="AA3676" s="8" t="e">
        <f>+VLOOKUP(I3676,[1]SKU!$H$2:$I$97,2,0)</f>
        <v>#N/A</v>
      </c>
    </row>
    <row r="3677" spans="24:27">
      <c r="X3677" s="8" t="str">
        <f>+IFERROR(VLOOKUP(N3677,[1]Hoja1!$B$2:$F$52,4,0)*P3677,"")</f>
        <v/>
      </c>
      <c r="Y3677" s="8" t="e">
        <f>+VLOOKUP(M3677,[1]SKU!$B$3:$E$81,4,0)</f>
        <v>#N/A</v>
      </c>
      <c r="Z3677" s="8" t="str">
        <f t="shared" si="57"/>
        <v>FLEX</v>
      </c>
      <c r="AA3677" s="8" t="e">
        <f>+VLOOKUP(I3677,[1]SKU!$H$2:$I$97,2,0)</f>
        <v>#N/A</v>
      </c>
    </row>
    <row r="3678" spans="24:27">
      <c r="X3678" s="8" t="str">
        <f>+IFERROR(VLOOKUP(N3678,[1]Hoja1!$B$2:$F$52,4,0)*P3678,"")</f>
        <v/>
      </c>
      <c r="Y3678" s="8" t="e">
        <f>+VLOOKUP(M3678,[1]SKU!$B$3:$E$81,4,0)</f>
        <v>#N/A</v>
      </c>
      <c r="Z3678" s="8" t="str">
        <f t="shared" si="57"/>
        <v>FLEX</v>
      </c>
      <c r="AA3678" s="8" t="e">
        <f>+VLOOKUP(I3678,[1]SKU!$H$2:$I$97,2,0)</f>
        <v>#N/A</v>
      </c>
    </row>
    <row r="3679" spans="24:27">
      <c r="X3679" s="8" t="str">
        <f>+IFERROR(VLOOKUP(N3679,[1]Hoja1!$B$2:$F$52,4,0)*P3679,"")</f>
        <v/>
      </c>
      <c r="Y3679" s="8" t="e">
        <f>+VLOOKUP(M3679,[1]SKU!$B$3:$E$81,4,0)</f>
        <v>#N/A</v>
      </c>
      <c r="Z3679" s="8" t="str">
        <f t="shared" si="57"/>
        <v>FLEX</v>
      </c>
      <c r="AA3679" s="8" t="e">
        <f>+VLOOKUP(I3679,[1]SKU!$H$2:$I$97,2,0)</f>
        <v>#N/A</v>
      </c>
    </row>
    <row r="3680" spans="24:27">
      <c r="X3680" s="8" t="str">
        <f>+IFERROR(VLOOKUP(N3680,[1]Hoja1!$B$2:$F$52,4,0)*P3680,"")</f>
        <v/>
      </c>
      <c r="Y3680" s="8" t="e">
        <f>+VLOOKUP(M3680,[1]SKU!$B$3:$E$81,4,0)</f>
        <v>#N/A</v>
      </c>
      <c r="Z3680" s="8" t="str">
        <f t="shared" si="57"/>
        <v>FLEX</v>
      </c>
      <c r="AA3680" s="8" t="e">
        <f>+VLOOKUP(I3680,[1]SKU!$H$2:$I$97,2,0)</f>
        <v>#N/A</v>
      </c>
    </row>
    <row r="3681" spans="24:27">
      <c r="X3681" s="8" t="str">
        <f>+IFERROR(VLOOKUP(N3681,[1]Hoja1!$B$2:$F$52,4,0)*P3681,"")</f>
        <v/>
      </c>
      <c r="Y3681" s="8" t="e">
        <f>+VLOOKUP(M3681,[1]SKU!$B$3:$E$81,4,0)</f>
        <v>#N/A</v>
      </c>
      <c r="Z3681" s="8" t="str">
        <f t="shared" si="57"/>
        <v>FLEX</v>
      </c>
      <c r="AA3681" s="8" t="e">
        <f>+VLOOKUP(I3681,[1]SKU!$H$2:$I$97,2,0)</f>
        <v>#N/A</v>
      </c>
    </row>
    <row r="3682" spans="24:27">
      <c r="X3682" s="8" t="str">
        <f>+IFERROR(VLOOKUP(N3682,[1]Hoja1!$B$2:$F$52,4,0)*P3682,"")</f>
        <v/>
      </c>
      <c r="Y3682" s="8" t="e">
        <f>+VLOOKUP(M3682,[1]SKU!$B$3:$E$81,4,0)</f>
        <v>#N/A</v>
      </c>
      <c r="Z3682" s="8" t="str">
        <f t="shared" si="57"/>
        <v>FLEX</v>
      </c>
      <c r="AA3682" s="8" t="e">
        <f>+VLOOKUP(I3682,[1]SKU!$H$2:$I$97,2,0)</f>
        <v>#N/A</v>
      </c>
    </row>
    <row r="3683" spans="24:27">
      <c r="X3683" s="8" t="str">
        <f>+IFERROR(VLOOKUP(N3683,[1]Hoja1!$B$2:$F$52,4,0)*P3683,"")</f>
        <v/>
      </c>
      <c r="Y3683" s="8" t="e">
        <f>+VLOOKUP(M3683,[1]SKU!$B$3:$E$81,4,0)</f>
        <v>#N/A</v>
      </c>
      <c r="Z3683" s="8" t="str">
        <f t="shared" si="57"/>
        <v>FLEX</v>
      </c>
      <c r="AA3683" s="8" t="e">
        <f>+VLOOKUP(I3683,[1]SKU!$H$2:$I$97,2,0)</f>
        <v>#N/A</v>
      </c>
    </row>
    <row r="3684" spans="24:27">
      <c r="X3684" s="8" t="str">
        <f>+IFERROR(VLOOKUP(N3684,[1]Hoja1!$B$2:$F$52,4,0)*P3684,"")</f>
        <v/>
      </c>
      <c r="Y3684" s="8" t="e">
        <f>+VLOOKUP(M3684,[1]SKU!$B$3:$E$81,4,0)</f>
        <v>#N/A</v>
      </c>
      <c r="Z3684" s="8" t="str">
        <f t="shared" si="57"/>
        <v>FLEX</v>
      </c>
      <c r="AA3684" s="8" t="e">
        <f>+VLOOKUP(I3684,[1]SKU!$H$2:$I$97,2,0)</f>
        <v>#N/A</v>
      </c>
    </row>
    <row r="3685" spans="24:27">
      <c r="X3685" s="8" t="str">
        <f>+IFERROR(VLOOKUP(N3685,[1]Hoja1!$B$2:$F$52,4,0)*P3685,"")</f>
        <v/>
      </c>
      <c r="Y3685" s="8" t="e">
        <f>+VLOOKUP(M3685,[1]SKU!$B$3:$E$81,4,0)</f>
        <v>#N/A</v>
      </c>
      <c r="Z3685" s="8" t="str">
        <f t="shared" si="57"/>
        <v>FLEX</v>
      </c>
      <c r="AA3685" s="8" t="e">
        <f>+VLOOKUP(I3685,[1]SKU!$H$2:$I$97,2,0)</f>
        <v>#N/A</v>
      </c>
    </row>
    <row r="3686" spans="24:27">
      <c r="X3686" s="8" t="str">
        <f>+IFERROR(VLOOKUP(N3686,[1]Hoja1!$B$2:$F$52,4,0)*P3686,"")</f>
        <v/>
      </c>
      <c r="Y3686" s="8" t="e">
        <f>+VLOOKUP(M3686,[1]SKU!$B$3:$E$81,4,0)</f>
        <v>#N/A</v>
      </c>
      <c r="Z3686" s="8" t="str">
        <f t="shared" si="57"/>
        <v>FLEX</v>
      </c>
      <c r="AA3686" s="8" t="e">
        <f>+VLOOKUP(I3686,[1]SKU!$H$2:$I$97,2,0)</f>
        <v>#N/A</v>
      </c>
    </row>
    <row r="3687" spans="24:27">
      <c r="X3687" s="8" t="str">
        <f>+IFERROR(VLOOKUP(N3687,[1]Hoja1!$B$2:$F$52,4,0)*P3687,"")</f>
        <v/>
      </c>
      <c r="Y3687" s="8" t="e">
        <f>+VLOOKUP(M3687,[1]SKU!$B$3:$E$81,4,0)</f>
        <v>#N/A</v>
      </c>
      <c r="Z3687" s="8" t="str">
        <f t="shared" si="57"/>
        <v>FLEX</v>
      </c>
      <c r="AA3687" s="8" t="e">
        <f>+VLOOKUP(I3687,[1]SKU!$H$2:$I$97,2,0)</f>
        <v>#N/A</v>
      </c>
    </row>
    <row r="3688" spans="24:27">
      <c r="X3688" s="8" t="str">
        <f>+IFERROR(VLOOKUP(N3688,[1]Hoja1!$B$2:$F$52,4,0)*P3688,"")</f>
        <v/>
      </c>
      <c r="Y3688" s="8" t="e">
        <f>+VLOOKUP(M3688,[1]SKU!$B$3:$E$81,4,0)</f>
        <v>#N/A</v>
      </c>
      <c r="Z3688" s="8" t="str">
        <f t="shared" si="57"/>
        <v>FLEX</v>
      </c>
      <c r="AA3688" s="8" t="e">
        <f>+VLOOKUP(I3688,[1]SKU!$H$2:$I$97,2,0)</f>
        <v>#N/A</v>
      </c>
    </row>
    <row r="3689" spans="24:27">
      <c r="X3689" s="8" t="str">
        <f>+IFERROR(VLOOKUP(N3689,[1]Hoja1!$B$2:$F$52,4,0)*P3689,"")</f>
        <v/>
      </c>
      <c r="Y3689" s="8" t="e">
        <f>+VLOOKUP(M3689,[1]SKU!$B$3:$E$81,4,0)</f>
        <v>#N/A</v>
      </c>
      <c r="Z3689" s="8" t="str">
        <f t="shared" si="57"/>
        <v>FLEX</v>
      </c>
      <c r="AA3689" s="8" t="e">
        <f>+VLOOKUP(I3689,[1]SKU!$H$2:$I$97,2,0)</f>
        <v>#N/A</v>
      </c>
    </row>
    <row r="3690" spans="24:27">
      <c r="X3690" s="8" t="str">
        <f>+IFERROR(VLOOKUP(N3690,[1]Hoja1!$B$2:$F$52,4,0)*P3690,"")</f>
        <v/>
      </c>
      <c r="Y3690" s="8" t="e">
        <f>+VLOOKUP(M3690,[1]SKU!$B$3:$E$81,4,0)</f>
        <v>#N/A</v>
      </c>
      <c r="Z3690" s="8" t="str">
        <f t="shared" si="57"/>
        <v>FLEX</v>
      </c>
      <c r="AA3690" s="8" t="e">
        <f>+VLOOKUP(I3690,[1]SKU!$H$2:$I$97,2,0)</f>
        <v>#N/A</v>
      </c>
    </row>
    <row r="3691" spans="24:27">
      <c r="X3691" s="8" t="str">
        <f>+IFERROR(VLOOKUP(N3691,[1]Hoja1!$B$2:$F$52,4,0)*P3691,"")</f>
        <v/>
      </c>
      <c r="Y3691" s="8" t="e">
        <f>+VLOOKUP(M3691,[1]SKU!$B$3:$E$81,4,0)</f>
        <v>#N/A</v>
      </c>
      <c r="Z3691" s="8" t="str">
        <f t="shared" si="57"/>
        <v>FLEX</v>
      </c>
      <c r="AA3691" s="8" t="e">
        <f>+VLOOKUP(I3691,[1]SKU!$H$2:$I$97,2,0)</f>
        <v>#N/A</v>
      </c>
    </row>
    <row r="3692" spans="24:27">
      <c r="X3692" s="8" t="str">
        <f>+IFERROR(VLOOKUP(N3692,[1]Hoja1!$B$2:$F$52,4,0)*P3692,"")</f>
        <v/>
      </c>
      <c r="Y3692" s="8" t="e">
        <f>+VLOOKUP(M3692,[1]SKU!$B$3:$E$81,4,0)</f>
        <v>#N/A</v>
      </c>
      <c r="Z3692" s="8" t="str">
        <f t="shared" si="57"/>
        <v>FLEX</v>
      </c>
      <c r="AA3692" s="8" t="e">
        <f>+VLOOKUP(I3692,[1]SKU!$H$2:$I$97,2,0)</f>
        <v>#N/A</v>
      </c>
    </row>
    <row r="3693" spans="24:27">
      <c r="X3693" s="8" t="str">
        <f>+IFERROR(VLOOKUP(N3693,[1]Hoja1!$B$2:$F$52,4,0)*P3693,"")</f>
        <v/>
      </c>
      <c r="Y3693" s="8" t="e">
        <f>+VLOOKUP(M3693,[1]SKU!$B$3:$E$81,4,0)</f>
        <v>#N/A</v>
      </c>
      <c r="Z3693" s="8" t="str">
        <f t="shared" si="57"/>
        <v>FLEX</v>
      </c>
      <c r="AA3693" s="8" t="e">
        <f>+VLOOKUP(I3693,[1]SKU!$H$2:$I$97,2,0)</f>
        <v>#N/A</v>
      </c>
    </row>
    <row r="3694" spans="24:27">
      <c r="X3694" s="8" t="str">
        <f>+IFERROR(VLOOKUP(N3694,[1]Hoja1!$B$2:$F$52,4,0)*P3694,"")</f>
        <v/>
      </c>
      <c r="Y3694" s="8" t="e">
        <f>+VLOOKUP(M3694,[1]SKU!$B$3:$E$81,4,0)</f>
        <v>#N/A</v>
      </c>
      <c r="Z3694" s="8" t="str">
        <f t="shared" si="57"/>
        <v>FLEX</v>
      </c>
      <c r="AA3694" s="8" t="e">
        <f>+VLOOKUP(I3694,[1]SKU!$H$2:$I$97,2,0)</f>
        <v>#N/A</v>
      </c>
    </row>
    <row r="3695" spans="24:27">
      <c r="X3695" s="8" t="str">
        <f>+IFERROR(VLOOKUP(N3695,[1]Hoja1!$B$2:$F$52,4,0)*P3695,"")</f>
        <v/>
      </c>
      <c r="Y3695" s="8" t="e">
        <f>+VLOOKUP(M3695,[1]SKU!$B$3:$E$81,4,0)</f>
        <v>#N/A</v>
      </c>
      <c r="Z3695" s="8" t="str">
        <f t="shared" si="57"/>
        <v>FLEX</v>
      </c>
      <c r="AA3695" s="8" t="e">
        <f>+VLOOKUP(I3695,[1]SKU!$H$2:$I$97,2,0)</f>
        <v>#N/A</v>
      </c>
    </row>
    <row r="3696" spans="24:27">
      <c r="X3696" s="8" t="str">
        <f>+IFERROR(VLOOKUP(N3696,[1]Hoja1!$B$2:$F$52,4,0)*P3696,"")</f>
        <v/>
      </c>
      <c r="Y3696" s="8" t="e">
        <f>+VLOOKUP(M3696,[1]SKU!$B$3:$E$81,4,0)</f>
        <v>#N/A</v>
      </c>
      <c r="Z3696" s="8" t="str">
        <f t="shared" si="57"/>
        <v>FLEX</v>
      </c>
      <c r="AA3696" s="8" t="e">
        <f>+VLOOKUP(I3696,[1]SKU!$H$2:$I$97,2,0)</f>
        <v>#N/A</v>
      </c>
    </row>
    <row r="3697" spans="24:27">
      <c r="X3697" s="8" t="str">
        <f>+IFERROR(VLOOKUP(N3697,[1]Hoja1!$B$2:$F$52,4,0)*P3697,"")</f>
        <v/>
      </c>
      <c r="Y3697" s="8" t="e">
        <f>+VLOOKUP(M3697,[1]SKU!$B$3:$E$81,4,0)</f>
        <v>#N/A</v>
      </c>
      <c r="Z3697" s="8" t="str">
        <f t="shared" si="57"/>
        <v>FLEX</v>
      </c>
      <c r="AA3697" s="8" t="e">
        <f>+VLOOKUP(I3697,[1]SKU!$H$2:$I$97,2,0)</f>
        <v>#N/A</v>
      </c>
    </row>
    <row r="3698" spans="24:27">
      <c r="X3698" s="8" t="str">
        <f>+IFERROR(VLOOKUP(N3698,[1]Hoja1!$B$2:$F$52,4,0)*P3698,"")</f>
        <v/>
      </c>
      <c r="Y3698" s="8" t="e">
        <f>+VLOOKUP(M3698,[1]SKU!$B$3:$E$81,4,0)</f>
        <v>#N/A</v>
      </c>
      <c r="Z3698" s="8" t="str">
        <f t="shared" si="57"/>
        <v>FLEX</v>
      </c>
      <c r="AA3698" s="8" t="e">
        <f>+VLOOKUP(I3698,[1]SKU!$H$2:$I$97,2,0)</f>
        <v>#N/A</v>
      </c>
    </row>
    <row r="3699" spans="24:27">
      <c r="X3699" s="8" t="str">
        <f>+IFERROR(VLOOKUP(N3699,[1]Hoja1!$B$2:$F$52,4,0)*P3699,"")</f>
        <v/>
      </c>
      <c r="Y3699" s="8" t="e">
        <f>+VLOOKUP(M3699,[1]SKU!$B$3:$E$81,4,0)</f>
        <v>#N/A</v>
      </c>
      <c r="Z3699" s="8" t="str">
        <f t="shared" si="57"/>
        <v>FLEX</v>
      </c>
      <c r="AA3699" s="8" t="e">
        <f>+VLOOKUP(I3699,[1]SKU!$H$2:$I$97,2,0)</f>
        <v>#N/A</v>
      </c>
    </row>
    <row r="3700" spans="24:27">
      <c r="X3700" s="8" t="str">
        <f>+IFERROR(VLOOKUP(N3700,[1]Hoja1!$B$2:$F$52,4,0)*P3700,"")</f>
        <v/>
      </c>
      <c r="Y3700" s="8" t="e">
        <f>+VLOOKUP(M3700,[1]SKU!$B$3:$E$81,4,0)</f>
        <v>#N/A</v>
      </c>
      <c r="Z3700" s="8" t="str">
        <f t="shared" si="57"/>
        <v>FLEX</v>
      </c>
      <c r="AA3700" s="8" t="e">
        <f>+VLOOKUP(I3700,[1]SKU!$H$2:$I$97,2,0)</f>
        <v>#N/A</v>
      </c>
    </row>
    <row r="3701" spans="24:27">
      <c r="X3701" s="8" t="str">
        <f>+IFERROR(VLOOKUP(N3701,[1]Hoja1!$B$2:$F$52,4,0)*P3701,"")</f>
        <v/>
      </c>
      <c r="Y3701" s="8" t="e">
        <f>+VLOOKUP(M3701,[1]SKU!$B$3:$E$81,4,0)</f>
        <v>#N/A</v>
      </c>
      <c r="Z3701" s="8" t="str">
        <f t="shared" si="57"/>
        <v>FLEX</v>
      </c>
      <c r="AA3701" s="8" t="e">
        <f>+VLOOKUP(I3701,[1]SKU!$H$2:$I$97,2,0)</f>
        <v>#N/A</v>
      </c>
    </row>
    <row r="3702" spans="24:27">
      <c r="X3702" s="8" t="str">
        <f>+IFERROR(VLOOKUP(N3702,[1]Hoja1!$B$2:$F$52,4,0)*P3702,"")</f>
        <v/>
      </c>
      <c r="Y3702" s="8" t="e">
        <f>+VLOOKUP(M3702,[1]SKU!$B$3:$E$81,4,0)</f>
        <v>#N/A</v>
      </c>
      <c r="Z3702" s="8" t="str">
        <f t="shared" si="57"/>
        <v>FLEX</v>
      </c>
      <c r="AA3702" s="8" t="e">
        <f>+VLOOKUP(I3702,[1]SKU!$H$2:$I$97,2,0)</f>
        <v>#N/A</v>
      </c>
    </row>
    <row r="3703" spans="24:27">
      <c r="X3703" s="8" t="str">
        <f>+IFERROR(VLOOKUP(N3703,[1]Hoja1!$B$2:$F$52,4,0)*P3703,"")</f>
        <v/>
      </c>
      <c r="Y3703" s="8" t="e">
        <f>+VLOOKUP(M3703,[1]SKU!$B$3:$E$81,4,0)</f>
        <v>#N/A</v>
      </c>
      <c r="Z3703" s="8" t="str">
        <f t="shared" si="57"/>
        <v>FLEX</v>
      </c>
      <c r="AA3703" s="8" t="e">
        <f>+VLOOKUP(I3703,[1]SKU!$H$2:$I$97,2,0)</f>
        <v>#N/A</v>
      </c>
    </row>
    <row r="3704" spans="24:27">
      <c r="X3704" s="8" t="str">
        <f>+IFERROR(VLOOKUP(N3704,[1]Hoja1!$B$2:$F$52,4,0)*P3704,"")</f>
        <v/>
      </c>
      <c r="Y3704" s="8" t="e">
        <f>+VLOOKUP(M3704,[1]SKU!$B$3:$E$81,4,0)</f>
        <v>#N/A</v>
      </c>
      <c r="Z3704" s="8" t="str">
        <f t="shared" si="57"/>
        <v>FLEX</v>
      </c>
      <c r="AA3704" s="8" t="e">
        <f>+VLOOKUP(I3704,[1]SKU!$H$2:$I$97,2,0)</f>
        <v>#N/A</v>
      </c>
    </row>
    <row r="3705" spans="24:27">
      <c r="X3705" s="8" t="str">
        <f>+IFERROR(VLOOKUP(N3705,[1]Hoja1!$B$2:$F$52,4,0)*P3705,"")</f>
        <v/>
      </c>
      <c r="Y3705" s="8" t="e">
        <f>+VLOOKUP(M3705,[1]SKU!$B$3:$E$81,4,0)</f>
        <v>#N/A</v>
      </c>
      <c r="Z3705" s="8" t="str">
        <f t="shared" si="57"/>
        <v>FLEX</v>
      </c>
      <c r="AA3705" s="8" t="e">
        <f>+VLOOKUP(I3705,[1]SKU!$H$2:$I$97,2,0)</f>
        <v>#N/A</v>
      </c>
    </row>
    <row r="3706" spans="24:27">
      <c r="X3706" s="8" t="str">
        <f>+IFERROR(VLOOKUP(N3706,[1]Hoja1!$B$2:$F$52,4,0)*P3706,"")</f>
        <v/>
      </c>
      <c r="Y3706" s="8" t="e">
        <f>+VLOOKUP(M3706,[1]SKU!$B$3:$E$81,4,0)</f>
        <v>#N/A</v>
      </c>
      <c r="Z3706" s="8" t="str">
        <f t="shared" si="57"/>
        <v>FLEX</v>
      </c>
      <c r="AA3706" s="8" t="e">
        <f>+VLOOKUP(I3706,[1]SKU!$H$2:$I$97,2,0)</f>
        <v>#N/A</v>
      </c>
    </row>
    <row r="3707" spans="24:27">
      <c r="X3707" s="8" t="str">
        <f>+IFERROR(VLOOKUP(N3707,[1]Hoja1!$B$2:$F$52,4,0)*P3707,"")</f>
        <v/>
      </c>
      <c r="Y3707" s="8" t="e">
        <f>+VLOOKUP(M3707,[1]SKU!$B$3:$E$81,4,0)</f>
        <v>#N/A</v>
      </c>
      <c r="Z3707" s="8" t="str">
        <f t="shared" si="57"/>
        <v>FLEX</v>
      </c>
      <c r="AA3707" s="8" t="e">
        <f>+VLOOKUP(I3707,[1]SKU!$H$2:$I$97,2,0)</f>
        <v>#N/A</v>
      </c>
    </row>
    <row r="3708" spans="24:27">
      <c r="X3708" s="8" t="str">
        <f>+IFERROR(VLOOKUP(N3708,[1]Hoja1!$B$2:$F$52,4,0)*P3708,"")</f>
        <v/>
      </c>
      <c r="Y3708" s="8" t="e">
        <f>+VLOOKUP(M3708,[1]SKU!$B$3:$E$81,4,0)</f>
        <v>#N/A</v>
      </c>
      <c r="Z3708" s="8" t="str">
        <f t="shared" si="57"/>
        <v>FLEX</v>
      </c>
      <c r="AA3708" s="8" t="e">
        <f>+VLOOKUP(I3708,[1]SKU!$H$2:$I$97,2,0)</f>
        <v>#N/A</v>
      </c>
    </row>
    <row r="3709" spans="24:27">
      <c r="X3709" s="8" t="str">
        <f>+IFERROR(VLOOKUP(N3709,[1]Hoja1!$B$2:$F$52,4,0)*P3709,"")</f>
        <v/>
      </c>
      <c r="Y3709" s="8" t="e">
        <f>+VLOOKUP(M3709,[1]SKU!$B$3:$E$81,4,0)</f>
        <v>#N/A</v>
      </c>
      <c r="Z3709" s="8" t="str">
        <f t="shared" si="57"/>
        <v>FLEX</v>
      </c>
      <c r="AA3709" s="8" t="e">
        <f>+VLOOKUP(I3709,[1]SKU!$H$2:$I$97,2,0)</f>
        <v>#N/A</v>
      </c>
    </row>
    <row r="3710" spans="24:27">
      <c r="X3710" s="8" t="str">
        <f>+IFERROR(VLOOKUP(N3710,[1]Hoja1!$B$2:$F$52,4,0)*P3710,"")</f>
        <v/>
      </c>
      <c r="Y3710" s="8" t="e">
        <f>+VLOOKUP(M3710,[1]SKU!$B$3:$E$81,4,0)</f>
        <v>#N/A</v>
      </c>
      <c r="Z3710" s="8" t="str">
        <f t="shared" si="57"/>
        <v>FLEX</v>
      </c>
      <c r="AA3710" s="8" t="e">
        <f>+VLOOKUP(I3710,[1]SKU!$H$2:$I$97,2,0)</f>
        <v>#N/A</v>
      </c>
    </row>
    <row r="3711" spans="24:27">
      <c r="X3711" s="8" t="str">
        <f>+IFERROR(VLOOKUP(N3711,[1]Hoja1!$B$2:$F$52,4,0)*P3711,"")</f>
        <v/>
      </c>
      <c r="Y3711" s="8" t="e">
        <f>+VLOOKUP(M3711,[1]SKU!$B$3:$E$81,4,0)</f>
        <v>#N/A</v>
      </c>
      <c r="Z3711" s="8" t="str">
        <f t="shared" si="57"/>
        <v>FLEX</v>
      </c>
      <c r="AA3711" s="8" t="e">
        <f>+VLOOKUP(I3711,[1]SKU!$H$2:$I$97,2,0)</f>
        <v>#N/A</v>
      </c>
    </row>
    <row r="3712" spans="24:27">
      <c r="X3712" s="8" t="str">
        <f>+IFERROR(VLOOKUP(N3712,[1]Hoja1!$B$2:$F$52,4,0)*P3712,"")</f>
        <v/>
      </c>
      <c r="Y3712" s="8" t="e">
        <f>+VLOOKUP(M3712,[1]SKU!$B$3:$E$81,4,0)</f>
        <v>#N/A</v>
      </c>
      <c r="Z3712" s="8" t="str">
        <f t="shared" si="57"/>
        <v>FLEX</v>
      </c>
      <c r="AA3712" s="8" t="e">
        <f>+VLOOKUP(I3712,[1]SKU!$H$2:$I$97,2,0)</f>
        <v>#N/A</v>
      </c>
    </row>
    <row r="3713" spans="24:27">
      <c r="X3713" s="8" t="str">
        <f>+IFERROR(VLOOKUP(N3713,[1]Hoja1!$B$2:$F$52,4,0)*P3713,"")</f>
        <v/>
      </c>
      <c r="Y3713" s="8" t="e">
        <f>+VLOOKUP(M3713,[1]SKU!$B$3:$E$81,4,0)</f>
        <v>#N/A</v>
      </c>
      <c r="Z3713" s="8" t="str">
        <f t="shared" si="57"/>
        <v>FLEX</v>
      </c>
      <c r="AA3713" s="8" t="e">
        <f>+VLOOKUP(I3713,[1]SKU!$H$2:$I$97,2,0)</f>
        <v>#N/A</v>
      </c>
    </row>
    <row r="3714" spans="24:27">
      <c r="X3714" s="8" t="str">
        <f>+IFERROR(VLOOKUP(N3714,[1]Hoja1!$B$2:$F$52,4,0)*P3714,"")</f>
        <v/>
      </c>
      <c r="Y3714" s="8" t="e">
        <f>+VLOOKUP(M3714,[1]SKU!$B$3:$E$81,4,0)</f>
        <v>#N/A</v>
      </c>
      <c r="Z3714" s="8" t="str">
        <f t="shared" si="57"/>
        <v>FLEX</v>
      </c>
      <c r="AA3714" s="8" t="e">
        <f>+VLOOKUP(I3714,[1]SKU!$H$2:$I$97,2,0)</f>
        <v>#N/A</v>
      </c>
    </row>
    <row r="3715" spans="24:27">
      <c r="X3715" s="8" t="str">
        <f>+IFERROR(VLOOKUP(N3715,[1]Hoja1!$B$2:$F$52,4,0)*P3715,"")</f>
        <v/>
      </c>
      <c r="Y3715" s="8" t="e">
        <f>+VLOOKUP(M3715,[1]SKU!$B$3:$E$81,4,0)</f>
        <v>#N/A</v>
      </c>
      <c r="Z3715" s="8" t="str">
        <f t="shared" ref="Z3715:Z3778" si="58">+IF(J3715="VB01                          ","BEES","FLEX")</f>
        <v>FLEX</v>
      </c>
      <c r="AA3715" s="8" t="e">
        <f>+VLOOKUP(I3715,[1]SKU!$H$2:$I$97,2,0)</f>
        <v>#N/A</v>
      </c>
    </row>
    <row r="3716" spans="24:27">
      <c r="X3716" s="8" t="str">
        <f>+IFERROR(VLOOKUP(N3716,[1]Hoja1!$B$2:$F$52,4,0)*P3716,"")</f>
        <v/>
      </c>
      <c r="Y3716" s="8" t="e">
        <f>+VLOOKUP(M3716,[1]SKU!$B$3:$E$81,4,0)</f>
        <v>#N/A</v>
      </c>
      <c r="Z3716" s="8" t="str">
        <f t="shared" si="58"/>
        <v>FLEX</v>
      </c>
      <c r="AA3716" s="8" t="e">
        <f>+VLOOKUP(I3716,[1]SKU!$H$2:$I$97,2,0)</f>
        <v>#N/A</v>
      </c>
    </row>
    <row r="3717" spans="24:27">
      <c r="X3717" s="8" t="str">
        <f>+IFERROR(VLOOKUP(N3717,[1]Hoja1!$B$2:$F$52,4,0)*P3717,"")</f>
        <v/>
      </c>
      <c r="Y3717" s="8" t="e">
        <f>+VLOOKUP(M3717,[1]SKU!$B$3:$E$81,4,0)</f>
        <v>#N/A</v>
      </c>
      <c r="Z3717" s="8" t="str">
        <f t="shared" si="58"/>
        <v>FLEX</v>
      </c>
      <c r="AA3717" s="8" t="e">
        <f>+VLOOKUP(I3717,[1]SKU!$H$2:$I$97,2,0)</f>
        <v>#N/A</v>
      </c>
    </row>
    <row r="3718" spans="24:27">
      <c r="X3718" s="8" t="str">
        <f>+IFERROR(VLOOKUP(N3718,[1]Hoja1!$B$2:$F$52,4,0)*P3718,"")</f>
        <v/>
      </c>
      <c r="Y3718" s="8" t="e">
        <f>+VLOOKUP(M3718,[1]SKU!$B$3:$E$81,4,0)</f>
        <v>#N/A</v>
      </c>
      <c r="Z3718" s="8" t="str">
        <f t="shared" si="58"/>
        <v>FLEX</v>
      </c>
      <c r="AA3718" s="8" t="e">
        <f>+VLOOKUP(I3718,[1]SKU!$H$2:$I$97,2,0)</f>
        <v>#N/A</v>
      </c>
    </row>
    <row r="3719" spans="24:27">
      <c r="X3719" s="8" t="str">
        <f>+IFERROR(VLOOKUP(N3719,[1]Hoja1!$B$2:$F$52,4,0)*P3719,"")</f>
        <v/>
      </c>
      <c r="Y3719" s="8" t="e">
        <f>+VLOOKUP(M3719,[1]SKU!$B$3:$E$81,4,0)</f>
        <v>#N/A</v>
      </c>
      <c r="Z3719" s="8" t="str">
        <f t="shared" si="58"/>
        <v>FLEX</v>
      </c>
      <c r="AA3719" s="8" t="e">
        <f>+VLOOKUP(I3719,[1]SKU!$H$2:$I$97,2,0)</f>
        <v>#N/A</v>
      </c>
    </row>
    <row r="3720" spans="24:27">
      <c r="X3720" s="8" t="str">
        <f>+IFERROR(VLOOKUP(N3720,[1]Hoja1!$B$2:$F$52,4,0)*P3720,"")</f>
        <v/>
      </c>
      <c r="Y3720" s="8" t="e">
        <f>+VLOOKUP(M3720,[1]SKU!$B$3:$E$81,4,0)</f>
        <v>#N/A</v>
      </c>
      <c r="Z3720" s="8" t="str">
        <f t="shared" si="58"/>
        <v>FLEX</v>
      </c>
      <c r="AA3720" s="8" t="e">
        <f>+VLOOKUP(I3720,[1]SKU!$H$2:$I$97,2,0)</f>
        <v>#N/A</v>
      </c>
    </row>
    <row r="3721" spans="24:27">
      <c r="X3721" s="8" t="str">
        <f>+IFERROR(VLOOKUP(N3721,[1]Hoja1!$B$2:$F$52,4,0)*P3721,"")</f>
        <v/>
      </c>
      <c r="Y3721" s="8" t="e">
        <f>+VLOOKUP(M3721,[1]SKU!$B$3:$E$81,4,0)</f>
        <v>#N/A</v>
      </c>
      <c r="Z3721" s="8" t="str">
        <f t="shared" si="58"/>
        <v>FLEX</v>
      </c>
      <c r="AA3721" s="8" t="e">
        <f>+VLOOKUP(I3721,[1]SKU!$H$2:$I$97,2,0)</f>
        <v>#N/A</v>
      </c>
    </row>
    <row r="3722" spans="24:27">
      <c r="X3722" s="8" t="str">
        <f>+IFERROR(VLOOKUP(N3722,[1]Hoja1!$B$2:$F$52,4,0)*P3722,"")</f>
        <v/>
      </c>
      <c r="Y3722" s="8" t="e">
        <f>+VLOOKUP(M3722,[1]SKU!$B$3:$E$81,4,0)</f>
        <v>#N/A</v>
      </c>
      <c r="Z3722" s="8" t="str">
        <f t="shared" si="58"/>
        <v>FLEX</v>
      </c>
      <c r="AA3722" s="8" t="e">
        <f>+VLOOKUP(I3722,[1]SKU!$H$2:$I$97,2,0)</f>
        <v>#N/A</v>
      </c>
    </row>
    <row r="3723" spans="24:27">
      <c r="X3723" s="8" t="str">
        <f>+IFERROR(VLOOKUP(N3723,[1]Hoja1!$B$2:$F$52,4,0)*P3723,"")</f>
        <v/>
      </c>
      <c r="Y3723" s="8" t="e">
        <f>+VLOOKUP(M3723,[1]SKU!$B$3:$E$81,4,0)</f>
        <v>#N/A</v>
      </c>
      <c r="Z3723" s="8" t="str">
        <f t="shared" si="58"/>
        <v>FLEX</v>
      </c>
      <c r="AA3723" s="8" t="e">
        <f>+VLOOKUP(I3723,[1]SKU!$H$2:$I$97,2,0)</f>
        <v>#N/A</v>
      </c>
    </row>
    <row r="3724" spans="24:27">
      <c r="X3724" s="8" t="str">
        <f>+IFERROR(VLOOKUP(N3724,[1]Hoja1!$B$2:$F$52,4,0)*P3724,"")</f>
        <v/>
      </c>
      <c r="Y3724" s="8" t="e">
        <f>+VLOOKUP(M3724,[1]SKU!$B$3:$E$81,4,0)</f>
        <v>#N/A</v>
      </c>
      <c r="Z3724" s="8" t="str">
        <f t="shared" si="58"/>
        <v>FLEX</v>
      </c>
      <c r="AA3724" s="8" t="e">
        <f>+VLOOKUP(I3724,[1]SKU!$H$2:$I$97,2,0)</f>
        <v>#N/A</v>
      </c>
    </row>
    <row r="3725" spans="24:27">
      <c r="X3725" s="8" t="str">
        <f>+IFERROR(VLOOKUP(N3725,[1]Hoja1!$B$2:$F$52,4,0)*P3725,"")</f>
        <v/>
      </c>
      <c r="Y3725" s="8" t="e">
        <f>+VLOOKUP(M3725,[1]SKU!$B$3:$E$81,4,0)</f>
        <v>#N/A</v>
      </c>
      <c r="Z3725" s="8" t="str">
        <f t="shared" si="58"/>
        <v>FLEX</v>
      </c>
      <c r="AA3725" s="8" t="e">
        <f>+VLOOKUP(I3725,[1]SKU!$H$2:$I$97,2,0)</f>
        <v>#N/A</v>
      </c>
    </row>
    <row r="3726" spans="24:27">
      <c r="X3726" s="8" t="str">
        <f>+IFERROR(VLOOKUP(N3726,[1]Hoja1!$B$2:$F$52,4,0)*P3726,"")</f>
        <v/>
      </c>
      <c r="Y3726" s="8" t="e">
        <f>+VLOOKUP(M3726,[1]SKU!$B$3:$E$81,4,0)</f>
        <v>#N/A</v>
      </c>
      <c r="Z3726" s="8" t="str">
        <f t="shared" si="58"/>
        <v>FLEX</v>
      </c>
      <c r="AA3726" s="8" t="e">
        <f>+VLOOKUP(I3726,[1]SKU!$H$2:$I$97,2,0)</f>
        <v>#N/A</v>
      </c>
    </row>
    <row r="3727" spans="24:27">
      <c r="X3727" s="8" t="str">
        <f>+IFERROR(VLOOKUP(N3727,[1]Hoja1!$B$2:$F$52,4,0)*P3727,"")</f>
        <v/>
      </c>
      <c r="Y3727" s="8" t="e">
        <f>+VLOOKUP(M3727,[1]SKU!$B$3:$E$81,4,0)</f>
        <v>#N/A</v>
      </c>
      <c r="Z3727" s="8" t="str">
        <f t="shared" si="58"/>
        <v>FLEX</v>
      </c>
      <c r="AA3727" s="8" t="e">
        <f>+VLOOKUP(I3727,[1]SKU!$H$2:$I$97,2,0)</f>
        <v>#N/A</v>
      </c>
    </row>
    <row r="3728" spans="24:27">
      <c r="X3728" s="8" t="str">
        <f>+IFERROR(VLOOKUP(N3728,[1]Hoja1!$B$2:$F$52,4,0)*P3728,"")</f>
        <v/>
      </c>
      <c r="Y3728" s="8" t="e">
        <f>+VLOOKUP(M3728,[1]SKU!$B$3:$E$81,4,0)</f>
        <v>#N/A</v>
      </c>
      <c r="Z3728" s="8" t="str">
        <f t="shared" si="58"/>
        <v>FLEX</v>
      </c>
      <c r="AA3728" s="8" t="e">
        <f>+VLOOKUP(I3728,[1]SKU!$H$2:$I$97,2,0)</f>
        <v>#N/A</v>
      </c>
    </row>
    <row r="3729" spans="24:27">
      <c r="X3729" s="8" t="str">
        <f>+IFERROR(VLOOKUP(N3729,[1]Hoja1!$B$2:$F$52,4,0)*P3729,"")</f>
        <v/>
      </c>
      <c r="Y3729" s="8" t="e">
        <f>+VLOOKUP(M3729,[1]SKU!$B$3:$E$81,4,0)</f>
        <v>#N/A</v>
      </c>
      <c r="Z3729" s="8" t="str">
        <f t="shared" si="58"/>
        <v>FLEX</v>
      </c>
      <c r="AA3729" s="8" t="e">
        <f>+VLOOKUP(I3729,[1]SKU!$H$2:$I$97,2,0)</f>
        <v>#N/A</v>
      </c>
    </row>
    <row r="3730" spans="24:27">
      <c r="X3730" s="8" t="str">
        <f>+IFERROR(VLOOKUP(N3730,[1]Hoja1!$B$2:$F$52,4,0)*P3730,"")</f>
        <v/>
      </c>
      <c r="Y3730" s="8" t="e">
        <f>+VLOOKUP(M3730,[1]SKU!$B$3:$E$81,4,0)</f>
        <v>#N/A</v>
      </c>
      <c r="Z3730" s="8" t="str">
        <f t="shared" si="58"/>
        <v>FLEX</v>
      </c>
      <c r="AA3730" s="8" t="e">
        <f>+VLOOKUP(I3730,[1]SKU!$H$2:$I$97,2,0)</f>
        <v>#N/A</v>
      </c>
    </row>
    <row r="3731" spans="24:27">
      <c r="X3731" s="8" t="str">
        <f>+IFERROR(VLOOKUP(N3731,[1]Hoja1!$B$2:$F$52,4,0)*P3731,"")</f>
        <v/>
      </c>
      <c r="Y3731" s="8" t="e">
        <f>+VLOOKUP(M3731,[1]SKU!$B$3:$E$81,4,0)</f>
        <v>#N/A</v>
      </c>
      <c r="Z3731" s="8" t="str">
        <f t="shared" si="58"/>
        <v>FLEX</v>
      </c>
      <c r="AA3731" s="8" t="e">
        <f>+VLOOKUP(I3731,[1]SKU!$H$2:$I$97,2,0)</f>
        <v>#N/A</v>
      </c>
    </row>
    <row r="3732" spans="24:27">
      <c r="X3732" s="8" t="str">
        <f>+IFERROR(VLOOKUP(N3732,[1]Hoja1!$B$2:$F$52,4,0)*P3732,"")</f>
        <v/>
      </c>
      <c r="Y3732" s="8" t="e">
        <f>+VLOOKUP(M3732,[1]SKU!$B$3:$E$81,4,0)</f>
        <v>#N/A</v>
      </c>
      <c r="Z3732" s="8" t="str">
        <f t="shared" si="58"/>
        <v>FLEX</v>
      </c>
      <c r="AA3732" s="8" t="e">
        <f>+VLOOKUP(I3732,[1]SKU!$H$2:$I$97,2,0)</f>
        <v>#N/A</v>
      </c>
    </row>
    <row r="3733" spans="24:27">
      <c r="X3733" s="8" t="str">
        <f>+IFERROR(VLOOKUP(N3733,[1]Hoja1!$B$2:$F$52,4,0)*P3733,"")</f>
        <v/>
      </c>
      <c r="Y3733" s="8" t="e">
        <f>+VLOOKUP(M3733,[1]SKU!$B$3:$E$81,4,0)</f>
        <v>#N/A</v>
      </c>
      <c r="Z3733" s="8" t="str">
        <f t="shared" si="58"/>
        <v>FLEX</v>
      </c>
      <c r="AA3733" s="8" t="e">
        <f>+VLOOKUP(I3733,[1]SKU!$H$2:$I$97,2,0)</f>
        <v>#N/A</v>
      </c>
    </row>
    <row r="3734" spans="24:27">
      <c r="X3734" s="8" t="str">
        <f>+IFERROR(VLOOKUP(N3734,[1]Hoja1!$B$2:$F$52,4,0)*P3734,"")</f>
        <v/>
      </c>
      <c r="Y3734" s="8" t="e">
        <f>+VLOOKUP(M3734,[1]SKU!$B$3:$E$81,4,0)</f>
        <v>#N/A</v>
      </c>
      <c r="Z3734" s="8" t="str">
        <f t="shared" si="58"/>
        <v>FLEX</v>
      </c>
      <c r="AA3734" s="8" t="e">
        <f>+VLOOKUP(I3734,[1]SKU!$H$2:$I$97,2,0)</f>
        <v>#N/A</v>
      </c>
    </row>
    <row r="3735" spans="24:27">
      <c r="X3735" s="8" t="str">
        <f>+IFERROR(VLOOKUP(N3735,[1]Hoja1!$B$2:$F$52,4,0)*P3735,"")</f>
        <v/>
      </c>
      <c r="Y3735" s="8" t="e">
        <f>+VLOOKUP(M3735,[1]SKU!$B$3:$E$81,4,0)</f>
        <v>#N/A</v>
      </c>
      <c r="Z3735" s="8" t="str">
        <f t="shared" si="58"/>
        <v>FLEX</v>
      </c>
      <c r="AA3735" s="8" t="e">
        <f>+VLOOKUP(I3735,[1]SKU!$H$2:$I$97,2,0)</f>
        <v>#N/A</v>
      </c>
    </row>
    <row r="3736" spans="24:27">
      <c r="X3736" s="8" t="str">
        <f>+IFERROR(VLOOKUP(N3736,[1]Hoja1!$B$2:$F$52,4,0)*P3736,"")</f>
        <v/>
      </c>
      <c r="Y3736" s="8" t="e">
        <f>+VLOOKUP(M3736,[1]SKU!$B$3:$E$81,4,0)</f>
        <v>#N/A</v>
      </c>
      <c r="Z3736" s="8" t="str">
        <f t="shared" si="58"/>
        <v>FLEX</v>
      </c>
      <c r="AA3736" s="8" t="e">
        <f>+VLOOKUP(I3736,[1]SKU!$H$2:$I$97,2,0)</f>
        <v>#N/A</v>
      </c>
    </row>
    <row r="3737" spans="24:27">
      <c r="X3737" s="8" t="str">
        <f>+IFERROR(VLOOKUP(N3737,[1]Hoja1!$B$2:$F$52,4,0)*P3737,"")</f>
        <v/>
      </c>
      <c r="Y3737" s="8" t="e">
        <f>+VLOOKUP(M3737,[1]SKU!$B$3:$E$81,4,0)</f>
        <v>#N/A</v>
      </c>
      <c r="Z3737" s="8" t="str">
        <f t="shared" si="58"/>
        <v>FLEX</v>
      </c>
      <c r="AA3737" s="8" t="e">
        <f>+VLOOKUP(I3737,[1]SKU!$H$2:$I$97,2,0)</f>
        <v>#N/A</v>
      </c>
    </row>
    <row r="3738" spans="24:27">
      <c r="X3738" s="8" t="str">
        <f>+IFERROR(VLOOKUP(N3738,[1]Hoja1!$B$2:$F$52,4,0)*P3738,"")</f>
        <v/>
      </c>
      <c r="Y3738" s="8" t="e">
        <f>+VLOOKUP(M3738,[1]SKU!$B$3:$E$81,4,0)</f>
        <v>#N/A</v>
      </c>
      <c r="Z3738" s="8" t="str">
        <f t="shared" si="58"/>
        <v>FLEX</v>
      </c>
      <c r="AA3738" s="8" t="e">
        <f>+VLOOKUP(I3738,[1]SKU!$H$2:$I$97,2,0)</f>
        <v>#N/A</v>
      </c>
    </row>
    <row r="3739" spans="24:27">
      <c r="X3739" s="8" t="str">
        <f>+IFERROR(VLOOKUP(N3739,[1]Hoja1!$B$2:$F$52,4,0)*P3739,"")</f>
        <v/>
      </c>
      <c r="Y3739" s="8" t="e">
        <f>+VLOOKUP(M3739,[1]SKU!$B$3:$E$81,4,0)</f>
        <v>#N/A</v>
      </c>
      <c r="Z3739" s="8" t="str">
        <f t="shared" si="58"/>
        <v>FLEX</v>
      </c>
      <c r="AA3739" s="8" t="e">
        <f>+VLOOKUP(I3739,[1]SKU!$H$2:$I$97,2,0)</f>
        <v>#N/A</v>
      </c>
    </row>
    <row r="3740" spans="24:27">
      <c r="X3740" s="8" t="str">
        <f>+IFERROR(VLOOKUP(N3740,[1]Hoja1!$B$2:$F$52,4,0)*P3740,"")</f>
        <v/>
      </c>
      <c r="Y3740" s="8" t="e">
        <f>+VLOOKUP(M3740,[1]SKU!$B$3:$E$81,4,0)</f>
        <v>#N/A</v>
      </c>
      <c r="Z3740" s="8" t="str">
        <f t="shared" si="58"/>
        <v>FLEX</v>
      </c>
      <c r="AA3740" s="8" t="e">
        <f>+VLOOKUP(I3740,[1]SKU!$H$2:$I$97,2,0)</f>
        <v>#N/A</v>
      </c>
    </row>
    <row r="3741" spans="24:27">
      <c r="X3741" s="8" t="str">
        <f>+IFERROR(VLOOKUP(N3741,[1]Hoja1!$B$2:$F$52,4,0)*P3741,"")</f>
        <v/>
      </c>
      <c r="Y3741" s="8" t="e">
        <f>+VLOOKUP(M3741,[1]SKU!$B$3:$E$81,4,0)</f>
        <v>#N/A</v>
      </c>
      <c r="Z3741" s="8" t="str">
        <f t="shared" si="58"/>
        <v>FLEX</v>
      </c>
      <c r="AA3741" s="8" t="e">
        <f>+VLOOKUP(I3741,[1]SKU!$H$2:$I$97,2,0)</f>
        <v>#N/A</v>
      </c>
    </row>
    <row r="3742" spans="24:27">
      <c r="X3742" s="8" t="str">
        <f>+IFERROR(VLOOKUP(N3742,[1]Hoja1!$B$2:$F$52,4,0)*P3742,"")</f>
        <v/>
      </c>
      <c r="Y3742" s="8" t="e">
        <f>+VLOOKUP(M3742,[1]SKU!$B$3:$E$81,4,0)</f>
        <v>#N/A</v>
      </c>
      <c r="Z3742" s="8" t="str">
        <f t="shared" si="58"/>
        <v>FLEX</v>
      </c>
      <c r="AA3742" s="8" t="e">
        <f>+VLOOKUP(I3742,[1]SKU!$H$2:$I$97,2,0)</f>
        <v>#N/A</v>
      </c>
    </row>
    <row r="3743" spans="24:27">
      <c r="X3743" s="8" t="str">
        <f>+IFERROR(VLOOKUP(N3743,[1]Hoja1!$B$2:$F$52,4,0)*P3743,"")</f>
        <v/>
      </c>
      <c r="Y3743" s="8" t="e">
        <f>+VLOOKUP(M3743,[1]SKU!$B$3:$E$81,4,0)</f>
        <v>#N/A</v>
      </c>
      <c r="Z3743" s="8" t="str">
        <f t="shared" si="58"/>
        <v>FLEX</v>
      </c>
      <c r="AA3743" s="8" t="e">
        <f>+VLOOKUP(I3743,[1]SKU!$H$2:$I$97,2,0)</f>
        <v>#N/A</v>
      </c>
    </row>
    <row r="3744" spans="24:27">
      <c r="X3744" s="8" t="str">
        <f>+IFERROR(VLOOKUP(N3744,[1]Hoja1!$B$2:$F$52,4,0)*P3744,"")</f>
        <v/>
      </c>
      <c r="Y3744" s="8" t="e">
        <f>+VLOOKUP(M3744,[1]SKU!$B$3:$E$81,4,0)</f>
        <v>#N/A</v>
      </c>
      <c r="Z3744" s="8" t="str">
        <f t="shared" si="58"/>
        <v>FLEX</v>
      </c>
      <c r="AA3744" s="8" t="e">
        <f>+VLOOKUP(I3744,[1]SKU!$H$2:$I$97,2,0)</f>
        <v>#N/A</v>
      </c>
    </row>
    <row r="3745" spans="24:27">
      <c r="X3745" s="8" t="str">
        <f>+IFERROR(VLOOKUP(N3745,[1]Hoja1!$B$2:$F$52,4,0)*P3745,"")</f>
        <v/>
      </c>
      <c r="Y3745" s="8" t="e">
        <f>+VLOOKUP(M3745,[1]SKU!$B$3:$E$81,4,0)</f>
        <v>#N/A</v>
      </c>
      <c r="Z3745" s="8" t="str">
        <f t="shared" si="58"/>
        <v>FLEX</v>
      </c>
      <c r="AA3745" s="8" t="e">
        <f>+VLOOKUP(I3745,[1]SKU!$H$2:$I$97,2,0)</f>
        <v>#N/A</v>
      </c>
    </row>
    <row r="3746" spans="24:27">
      <c r="X3746" s="8" t="str">
        <f>+IFERROR(VLOOKUP(N3746,[1]Hoja1!$B$2:$F$52,4,0)*P3746,"")</f>
        <v/>
      </c>
      <c r="Y3746" s="8" t="e">
        <f>+VLOOKUP(M3746,[1]SKU!$B$3:$E$81,4,0)</f>
        <v>#N/A</v>
      </c>
      <c r="Z3746" s="8" t="str">
        <f t="shared" si="58"/>
        <v>FLEX</v>
      </c>
      <c r="AA3746" s="8" t="e">
        <f>+VLOOKUP(I3746,[1]SKU!$H$2:$I$97,2,0)</f>
        <v>#N/A</v>
      </c>
    </row>
    <row r="3747" spans="24:27">
      <c r="X3747" s="8" t="str">
        <f>+IFERROR(VLOOKUP(N3747,[1]Hoja1!$B$2:$F$52,4,0)*P3747,"")</f>
        <v/>
      </c>
      <c r="Y3747" s="8" t="e">
        <f>+VLOOKUP(M3747,[1]SKU!$B$3:$E$81,4,0)</f>
        <v>#N/A</v>
      </c>
      <c r="Z3747" s="8" t="str">
        <f t="shared" si="58"/>
        <v>FLEX</v>
      </c>
      <c r="AA3747" s="8" t="e">
        <f>+VLOOKUP(I3747,[1]SKU!$H$2:$I$97,2,0)</f>
        <v>#N/A</v>
      </c>
    </row>
    <row r="3748" spans="24:27">
      <c r="X3748" s="8" t="str">
        <f>+IFERROR(VLOOKUP(N3748,[1]Hoja1!$B$2:$F$52,4,0)*P3748,"")</f>
        <v/>
      </c>
      <c r="Y3748" s="8" t="e">
        <f>+VLOOKUP(M3748,[1]SKU!$B$3:$E$81,4,0)</f>
        <v>#N/A</v>
      </c>
      <c r="Z3748" s="8" t="str">
        <f t="shared" si="58"/>
        <v>FLEX</v>
      </c>
      <c r="AA3748" s="8" t="e">
        <f>+VLOOKUP(I3748,[1]SKU!$H$2:$I$97,2,0)</f>
        <v>#N/A</v>
      </c>
    </row>
    <row r="3749" spans="24:27">
      <c r="X3749" s="8" t="str">
        <f>+IFERROR(VLOOKUP(N3749,[1]Hoja1!$B$2:$F$52,4,0)*P3749,"")</f>
        <v/>
      </c>
      <c r="Y3749" s="8" t="e">
        <f>+VLOOKUP(M3749,[1]SKU!$B$3:$E$81,4,0)</f>
        <v>#N/A</v>
      </c>
      <c r="Z3749" s="8" t="str">
        <f t="shared" si="58"/>
        <v>FLEX</v>
      </c>
      <c r="AA3749" s="8" t="e">
        <f>+VLOOKUP(I3749,[1]SKU!$H$2:$I$97,2,0)</f>
        <v>#N/A</v>
      </c>
    </row>
    <row r="3750" spans="24:27">
      <c r="X3750" s="8" t="str">
        <f>+IFERROR(VLOOKUP(N3750,[1]Hoja1!$B$2:$F$52,4,0)*P3750,"")</f>
        <v/>
      </c>
      <c r="Y3750" s="8" t="e">
        <f>+VLOOKUP(M3750,[1]SKU!$B$3:$E$81,4,0)</f>
        <v>#N/A</v>
      </c>
      <c r="Z3750" s="8" t="str">
        <f t="shared" si="58"/>
        <v>FLEX</v>
      </c>
      <c r="AA3750" s="8" t="e">
        <f>+VLOOKUP(I3750,[1]SKU!$H$2:$I$97,2,0)</f>
        <v>#N/A</v>
      </c>
    </row>
    <row r="3751" spans="24:27">
      <c r="X3751" s="8" t="str">
        <f>+IFERROR(VLOOKUP(N3751,[1]Hoja1!$B$2:$F$52,4,0)*P3751,"")</f>
        <v/>
      </c>
      <c r="Y3751" s="8" t="e">
        <f>+VLOOKUP(M3751,[1]SKU!$B$3:$E$81,4,0)</f>
        <v>#N/A</v>
      </c>
      <c r="Z3751" s="8" t="str">
        <f t="shared" si="58"/>
        <v>FLEX</v>
      </c>
      <c r="AA3751" s="8" t="e">
        <f>+VLOOKUP(I3751,[1]SKU!$H$2:$I$97,2,0)</f>
        <v>#N/A</v>
      </c>
    </row>
    <row r="3752" spans="24:27">
      <c r="X3752" s="8" t="str">
        <f>+IFERROR(VLOOKUP(N3752,[1]Hoja1!$B$2:$F$52,4,0)*P3752,"")</f>
        <v/>
      </c>
      <c r="Y3752" s="8" t="e">
        <f>+VLOOKUP(M3752,[1]SKU!$B$3:$E$81,4,0)</f>
        <v>#N/A</v>
      </c>
      <c r="Z3752" s="8" t="str">
        <f t="shared" si="58"/>
        <v>FLEX</v>
      </c>
      <c r="AA3752" s="8" t="e">
        <f>+VLOOKUP(I3752,[1]SKU!$H$2:$I$97,2,0)</f>
        <v>#N/A</v>
      </c>
    </row>
    <row r="3753" spans="24:27">
      <c r="X3753" s="8" t="str">
        <f>+IFERROR(VLOOKUP(N3753,[1]Hoja1!$B$2:$F$52,4,0)*P3753,"")</f>
        <v/>
      </c>
      <c r="Y3753" s="8" t="e">
        <f>+VLOOKUP(M3753,[1]SKU!$B$3:$E$81,4,0)</f>
        <v>#N/A</v>
      </c>
      <c r="Z3753" s="8" t="str">
        <f t="shared" si="58"/>
        <v>FLEX</v>
      </c>
      <c r="AA3753" s="8" t="e">
        <f>+VLOOKUP(I3753,[1]SKU!$H$2:$I$97,2,0)</f>
        <v>#N/A</v>
      </c>
    </row>
    <row r="3754" spans="24:27">
      <c r="X3754" s="8" t="str">
        <f>+IFERROR(VLOOKUP(N3754,[1]Hoja1!$B$2:$F$52,4,0)*P3754,"")</f>
        <v/>
      </c>
      <c r="Y3754" s="8" t="e">
        <f>+VLOOKUP(M3754,[1]SKU!$B$3:$E$81,4,0)</f>
        <v>#N/A</v>
      </c>
      <c r="Z3754" s="8" t="str">
        <f t="shared" si="58"/>
        <v>FLEX</v>
      </c>
      <c r="AA3754" s="8" t="e">
        <f>+VLOOKUP(I3754,[1]SKU!$H$2:$I$97,2,0)</f>
        <v>#N/A</v>
      </c>
    </row>
    <row r="3755" spans="24:27">
      <c r="X3755" s="8" t="str">
        <f>+IFERROR(VLOOKUP(N3755,[1]Hoja1!$B$2:$F$52,4,0)*P3755,"")</f>
        <v/>
      </c>
      <c r="Y3755" s="8" t="e">
        <f>+VLOOKUP(M3755,[1]SKU!$B$3:$E$81,4,0)</f>
        <v>#N/A</v>
      </c>
      <c r="Z3755" s="8" t="str">
        <f t="shared" si="58"/>
        <v>FLEX</v>
      </c>
      <c r="AA3755" s="8" t="e">
        <f>+VLOOKUP(I3755,[1]SKU!$H$2:$I$97,2,0)</f>
        <v>#N/A</v>
      </c>
    </row>
    <row r="3756" spans="24:27">
      <c r="X3756" s="8" t="str">
        <f>+IFERROR(VLOOKUP(N3756,[1]Hoja1!$B$2:$F$52,4,0)*P3756,"")</f>
        <v/>
      </c>
      <c r="Y3756" s="8" t="e">
        <f>+VLOOKUP(M3756,[1]SKU!$B$3:$E$81,4,0)</f>
        <v>#N/A</v>
      </c>
      <c r="Z3756" s="8" t="str">
        <f t="shared" si="58"/>
        <v>FLEX</v>
      </c>
      <c r="AA3756" s="8" t="e">
        <f>+VLOOKUP(I3756,[1]SKU!$H$2:$I$97,2,0)</f>
        <v>#N/A</v>
      </c>
    </row>
    <row r="3757" spans="24:27">
      <c r="X3757" s="8" t="str">
        <f>+IFERROR(VLOOKUP(N3757,[1]Hoja1!$B$2:$F$52,4,0)*P3757,"")</f>
        <v/>
      </c>
      <c r="Y3757" s="8" t="e">
        <f>+VLOOKUP(M3757,[1]SKU!$B$3:$E$81,4,0)</f>
        <v>#N/A</v>
      </c>
      <c r="Z3757" s="8" t="str">
        <f t="shared" si="58"/>
        <v>FLEX</v>
      </c>
      <c r="AA3757" s="8" t="e">
        <f>+VLOOKUP(I3757,[1]SKU!$H$2:$I$97,2,0)</f>
        <v>#N/A</v>
      </c>
    </row>
    <row r="3758" spans="24:27">
      <c r="X3758" s="8" t="str">
        <f>+IFERROR(VLOOKUP(N3758,[1]Hoja1!$B$2:$F$52,4,0)*P3758,"")</f>
        <v/>
      </c>
      <c r="Y3758" s="8" t="e">
        <f>+VLOOKUP(M3758,[1]SKU!$B$3:$E$81,4,0)</f>
        <v>#N/A</v>
      </c>
      <c r="Z3758" s="8" t="str">
        <f t="shared" si="58"/>
        <v>FLEX</v>
      </c>
      <c r="AA3758" s="8" t="e">
        <f>+VLOOKUP(I3758,[1]SKU!$H$2:$I$97,2,0)</f>
        <v>#N/A</v>
      </c>
    </row>
    <row r="3759" spans="24:27">
      <c r="X3759" s="8" t="str">
        <f>+IFERROR(VLOOKUP(N3759,[1]Hoja1!$B$2:$F$52,4,0)*P3759,"")</f>
        <v/>
      </c>
      <c r="Y3759" s="8" t="e">
        <f>+VLOOKUP(M3759,[1]SKU!$B$3:$E$81,4,0)</f>
        <v>#N/A</v>
      </c>
      <c r="Z3759" s="8" t="str">
        <f t="shared" si="58"/>
        <v>FLEX</v>
      </c>
      <c r="AA3759" s="8" t="e">
        <f>+VLOOKUP(I3759,[1]SKU!$H$2:$I$97,2,0)</f>
        <v>#N/A</v>
      </c>
    </row>
    <row r="3760" spans="24:27">
      <c r="X3760" s="8" t="str">
        <f>+IFERROR(VLOOKUP(N3760,[1]Hoja1!$B$2:$F$52,4,0)*P3760,"")</f>
        <v/>
      </c>
      <c r="Y3760" s="8" t="e">
        <f>+VLOOKUP(M3760,[1]SKU!$B$3:$E$81,4,0)</f>
        <v>#N/A</v>
      </c>
      <c r="Z3760" s="8" t="str">
        <f t="shared" si="58"/>
        <v>FLEX</v>
      </c>
      <c r="AA3760" s="8" t="e">
        <f>+VLOOKUP(I3760,[1]SKU!$H$2:$I$97,2,0)</f>
        <v>#N/A</v>
      </c>
    </row>
    <row r="3761" spans="24:27">
      <c r="X3761" s="8" t="str">
        <f>+IFERROR(VLOOKUP(N3761,[1]Hoja1!$B$2:$F$52,4,0)*P3761,"")</f>
        <v/>
      </c>
      <c r="Y3761" s="8" t="e">
        <f>+VLOOKUP(M3761,[1]SKU!$B$3:$E$81,4,0)</f>
        <v>#N/A</v>
      </c>
      <c r="Z3761" s="8" t="str">
        <f t="shared" si="58"/>
        <v>FLEX</v>
      </c>
      <c r="AA3761" s="8" t="e">
        <f>+VLOOKUP(I3761,[1]SKU!$H$2:$I$97,2,0)</f>
        <v>#N/A</v>
      </c>
    </row>
    <row r="3762" spans="24:27">
      <c r="X3762" s="8" t="str">
        <f>+IFERROR(VLOOKUP(N3762,[1]Hoja1!$B$2:$F$52,4,0)*P3762,"")</f>
        <v/>
      </c>
      <c r="Y3762" s="8" t="e">
        <f>+VLOOKUP(M3762,[1]SKU!$B$3:$E$81,4,0)</f>
        <v>#N/A</v>
      </c>
      <c r="Z3762" s="8" t="str">
        <f t="shared" si="58"/>
        <v>FLEX</v>
      </c>
      <c r="AA3762" s="8" t="e">
        <f>+VLOOKUP(I3762,[1]SKU!$H$2:$I$97,2,0)</f>
        <v>#N/A</v>
      </c>
    </row>
    <row r="3763" spans="24:27">
      <c r="X3763" s="8" t="str">
        <f>+IFERROR(VLOOKUP(N3763,[1]Hoja1!$B$2:$F$52,4,0)*P3763,"")</f>
        <v/>
      </c>
      <c r="Y3763" s="8" t="e">
        <f>+VLOOKUP(M3763,[1]SKU!$B$3:$E$81,4,0)</f>
        <v>#N/A</v>
      </c>
      <c r="Z3763" s="8" t="str">
        <f t="shared" si="58"/>
        <v>FLEX</v>
      </c>
      <c r="AA3763" s="8" t="e">
        <f>+VLOOKUP(I3763,[1]SKU!$H$2:$I$97,2,0)</f>
        <v>#N/A</v>
      </c>
    </row>
    <row r="3764" spans="24:27">
      <c r="X3764" s="8" t="str">
        <f>+IFERROR(VLOOKUP(N3764,[1]Hoja1!$B$2:$F$52,4,0)*P3764,"")</f>
        <v/>
      </c>
      <c r="Y3764" s="8" t="e">
        <f>+VLOOKUP(M3764,[1]SKU!$B$3:$E$81,4,0)</f>
        <v>#N/A</v>
      </c>
      <c r="Z3764" s="8" t="str">
        <f t="shared" si="58"/>
        <v>FLEX</v>
      </c>
      <c r="AA3764" s="8" t="e">
        <f>+VLOOKUP(I3764,[1]SKU!$H$2:$I$97,2,0)</f>
        <v>#N/A</v>
      </c>
    </row>
    <row r="3765" spans="24:27">
      <c r="X3765" s="8" t="str">
        <f>+IFERROR(VLOOKUP(N3765,[1]Hoja1!$B$2:$F$52,4,0)*P3765,"")</f>
        <v/>
      </c>
      <c r="Y3765" s="8" t="e">
        <f>+VLOOKUP(M3765,[1]SKU!$B$3:$E$81,4,0)</f>
        <v>#N/A</v>
      </c>
      <c r="Z3765" s="8" t="str">
        <f t="shared" si="58"/>
        <v>FLEX</v>
      </c>
      <c r="AA3765" s="8" t="e">
        <f>+VLOOKUP(I3765,[1]SKU!$H$2:$I$97,2,0)</f>
        <v>#N/A</v>
      </c>
    </row>
    <row r="3766" spans="24:27">
      <c r="X3766" s="8" t="str">
        <f>+IFERROR(VLOOKUP(N3766,[1]Hoja1!$B$2:$F$52,4,0)*P3766,"")</f>
        <v/>
      </c>
      <c r="Y3766" s="8" t="e">
        <f>+VLOOKUP(M3766,[1]SKU!$B$3:$E$81,4,0)</f>
        <v>#N/A</v>
      </c>
      <c r="Z3766" s="8" t="str">
        <f t="shared" si="58"/>
        <v>FLEX</v>
      </c>
      <c r="AA3766" s="8" t="e">
        <f>+VLOOKUP(I3766,[1]SKU!$H$2:$I$97,2,0)</f>
        <v>#N/A</v>
      </c>
    </row>
    <row r="3767" spans="24:27">
      <c r="X3767" s="8" t="str">
        <f>+IFERROR(VLOOKUP(N3767,[1]Hoja1!$B$2:$F$52,4,0)*P3767,"")</f>
        <v/>
      </c>
      <c r="Y3767" s="8" t="e">
        <f>+VLOOKUP(M3767,[1]SKU!$B$3:$E$81,4,0)</f>
        <v>#N/A</v>
      </c>
      <c r="Z3767" s="8" t="str">
        <f t="shared" si="58"/>
        <v>FLEX</v>
      </c>
      <c r="AA3767" s="8" t="e">
        <f>+VLOOKUP(I3767,[1]SKU!$H$2:$I$97,2,0)</f>
        <v>#N/A</v>
      </c>
    </row>
    <row r="3768" spans="24:27">
      <c r="X3768" s="8" t="str">
        <f>+IFERROR(VLOOKUP(N3768,[1]Hoja1!$B$2:$F$52,4,0)*P3768,"")</f>
        <v/>
      </c>
      <c r="Y3768" s="8" t="e">
        <f>+VLOOKUP(M3768,[1]SKU!$B$3:$E$81,4,0)</f>
        <v>#N/A</v>
      </c>
      <c r="Z3768" s="8" t="str">
        <f t="shared" si="58"/>
        <v>FLEX</v>
      </c>
      <c r="AA3768" s="8" t="e">
        <f>+VLOOKUP(I3768,[1]SKU!$H$2:$I$97,2,0)</f>
        <v>#N/A</v>
      </c>
    </row>
    <row r="3769" spans="24:27">
      <c r="X3769" s="8" t="str">
        <f>+IFERROR(VLOOKUP(N3769,[1]Hoja1!$B$2:$F$52,4,0)*P3769,"")</f>
        <v/>
      </c>
      <c r="Y3769" s="8" t="e">
        <f>+VLOOKUP(M3769,[1]SKU!$B$3:$E$81,4,0)</f>
        <v>#N/A</v>
      </c>
      <c r="Z3769" s="8" t="str">
        <f t="shared" si="58"/>
        <v>FLEX</v>
      </c>
      <c r="AA3769" s="8" t="e">
        <f>+VLOOKUP(I3769,[1]SKU!$H$2:$I$97,2,0)</f>
        <v>#N/A</v>
      </c>
    </row>
    <row r="3770" spans="24:27">
      <c r="X3770" s="8" t="str">
        <f>+IFERROR(VLOOKUP(N3770,[1]Hoja1!$B$2:$F$52,4,0)*P3770,"")</f>
        <v/>
      </c>
      <c r="Y3770" s="8" t="e">
        <f>+VLOOKUP(M3770,[1]SKU!$B$3:$E$81,4,0)</f>
        <v>#N/A</v>
      </c>
      <c r="Z3770" s="8" t="str">
        <f t="shared" si="58"/>
        <v>FLEX</v>
      </c>
      <c r="AA3770" s="8" t="e">
        <f>+VLOOKUP(I3770,[1]SKU!$H$2:$I$97,2,0)</f>
        <v>#N/A</v>
      </c>
    </row>
    <row r="3771" spans="24:27">
      <c r="X3771" s="8" t="str">
        <f>+IFERROR(VLOOKUP(N3771,[1]Hoja1!$B$2:$F$52,4,0)*P3771,"")</f>
        <v/>
      </c>
      <c r="Y3771" s="8" t="e">
        <f>+VLOOKUP(M3771,[1]SKU!$B$3:$E$81,4,0)</f>
        <v>#N/A</v>
      </c>
      <c r="Z3771" s="8" t="str">
        <f t="shared" si="58"/>
        <v>FLEX</v>
      </c>
      <c r="AA3771" s="8" t="e">
        <f>+VLOOKUP(I3771,[1]SKU!$H$2:$I$97,2,0)</f>
        <v>#N/A</v>
      </c>
    </row>
    <row r="3772" spans="24:27">
      <c r="X3772" s="8" t="str">
        <f>+IFERROR(VLOOKUP(N3772,[1]Hoja1!$B$2:$F$52,4,0)*P3772,"")</f>
        <v/>
      </c>
      <c r="Y3772" s="8" t="e">
        <f>+VLOOKUP(M3772,[1]SKU!$B$3:$E$81,4,0)</f>
        <v>#N/A</v>
      </c>
      <c r="Z3772" s="8" t="str">
        <f t="shared" si="58"/>
        <v>FLEX</v>
      </c>
      <c r="AA3772" s="8" t="e">
        <f>+VLOOKUP(I3772,[1]SKU!$H$2:$I$97,2,0)</f>
        <v>#N/A</v>
      </c>
    </row>
    <row r="3773" spans="24:27">
      <c r="X3773" s="8" t="str">
        <f>+IFERROR(VLOOKUP(N3773,[1]Hoja1!$B$2:$F$52,4,0)*P3773,"")</f>
        <v/>
      </c>
      <c r="Y3773" s="8" t="e">
        <f>+VLOOKUP(M3773,[1]SKU!$B$3:$E$81,4,0)</f>
        <v>#N/A</v>
      </c>
      <c r="Z3773" s="8" t="str">
        <f t="shared" si="58"/>
        <v>FLEX</v>
      </c>
      <c r="AA3773" s="8" t="e">
        <f>+VLOOKUP(I3773,[1]SKU!$H$2:$I$97,2,0)</f>
        <v>#N/A</v>
      </c>
    </row>
    <row r="3774" spans="24:27">
      <c r="X3774" s="8" t="str">
        <f>+IFERROR(VLOOKUP(N3774,[1]Hoja1!$B$2:$F$52,4,0)*P3774,"")</f>
        <v/>
      </c>
      <c r="Y3774" s="8" t="e">
        <f>+VLOOKUP(M3774,[1]SKU!$B$3:$E$81,4,0)</f>
        <v>#N/A</v>
      </c>
      <c r="Z3774" s="8" t="str">
        <f t="shared" si="58"/>
        <v>FLEX</v>
      </c>
      <c r="AA3774" s="8" t="e">
        <f>+VLOOKUP(I3774,[1]SKU!$H$2:$I$97,2,0)</f>
        <v>#N/A</v>
      </c>
    </row>
    <row r="3775" spans="24:27">
      <c r="X3775" s="8" t="str">
        <f>+IFERROR(VLOOKUP(N3775,[1]Hoja1!$B$2:$F$52,4,0)*P3775,"")</f>
        <v/>
      </c>
      <c r="Y3775" s="8" t="e">
        <f>+VLOOKUP(M3775,[1]SKU!$B$3:$E$81,4,0)</f>
        <v>#N/A</v>
      </c>
      <c r="Z3775" s="8" t="str">
        <f t="shared" si="58"/>
        <v>FLEX</v>
      </c>
      <c r="AA3775" s="8" t="e">
        <f>+VLOOKUP(I3775,[1]SKU!$H$2:$I$97,2,0)</f>
        <v>#N/A</v>
      </c>
    </row>
    <row r="3776" spans="24:27">
      <c r="X3776" s="8" t="str">
        <f>+IFERROR(VLOOKUP(N3776,[1]Hoja1!$B$2:$F$52,4,0)*P3776,"")</f>
        <v/>
      </c>
      <c r="Y3776" s="8" t="e">
        <f>+VLOOKUP(M3776,[1]SKU!$B$3:$E$81,4,0)</f>
        <v>#N/A</v>
      </c>
      <c r="Z3776" s="8" t="str">
        <f t="shared" si="58"/>
        <v>FLEX</v>
      </c>
      <c r="AA3776" s="8" t="e">
        <f>+VLOOKUP(I3776,[1]SKU!$H$2:$I$97,2,0)</f>
        <v>#N/A</v>
      </c>
    </row>
    <row r="3777" spans="24:27">
      <c r="X3777" s="8" t="str">
        <f>+IFERROR(VLOOKUP(N3777,[1]Hoja1!$B$2:$F$52,4,0)*P3777,"")</f>
        <v/>
      </c>
      <c r="Y3777" s="8" t="e">
        <f>+VLOOKUP(M3777,[1]SKU!$B$3:$E$81,4,0)</f>
        <v>#N/A</v>
      </c>
      <c r="Z3777" s="8" t="str">
        <f t="shared" si="58"/>
        <v>FLEX</v>
      </c>
      <c r="AA3777" s="8" t="e">
        <f>+VLOOKUP(I3777,[1]SKU!$H$2:$I$97,2,0)</f>
        <v>#N/A</v>
      </c>
    </row>
    <row r="3778" spans="24:27">
      <c r="X3778" s="8" t="str">
        <f>+IFERROR(VLOOKUP(N3778,[1]Hoja1!$B$2:$F$52,4,0)*P3778,"")</f>
        <v/>
      </c>
      <c r="Y3778" s="8" t="e">
        <f>+VLOOKUP(M3778,[1]SKU!$B$3:$E$81,4,0)</f>
        <v>#N/A</v>
      </c>
      <c r="Z3778" s="8" t="str">
        <f t="shared" si="58"/>
        <v>FLEX</v>
      </c>
      <c r="AA3778" s="8" t="e">
        <f>+VLOOKUP(I3778,[1]SKU!$H$2:$I$97,2,0)</f>
        <v>#N/A</v>
      </c>
    </row>
    <row r="3779" spans="24:27">
      <c r="X3779" s="8" t="str">
        <f>+IFERROR(VLOOKUP(N3779,[1]Hoja1!$B$2:$F$52,4,0)*P3779,"")</f>
        <v/>
      </c>
      <c r="Y3779" s="8" t="e">
        <f>+VLOOKUP(M3779,[1]SKU!$B$3:$E$81,4,0)</f>
        <v>#N/A</v>
      </c>
      <c r="Z3779" s="8" t="str">
        <f t="shared" ref="Z3779:Z3842" si="59">+IF(J3779="VB01                          ","BEES","FLEX")</f>
        <v>FLEX</v>
      </c>
      <c r="AA3779" s="8" t="e">
        <f>+VLOOKUP(I3779,[1]SKU!$H$2:$I$97,2,0)</f>
        <v>#N/A</v>
      </c>
    </row>
    <row r="3780" spans="24:27">
      <c r="X3780" s="8" t="str">
        <f>+IFERROR(VLOOKUP(N3780,[1]Hoja1!$B$2:$F$52,4,0)*P3780,"")</f>
        <v/>
      </c>
      <c r="Y3780" s="8" t="e">
        <f>+VLOOKUP(M3780,[1]SKU!$B$3:$E$81,4,0)</f>
        <v>#N/A</v>
      </c>
      <c r="Z3780" s="8" t="str">
        <f t="shared" si="59"/>
        <v>FLEX</v>
      </c>
      <c r="AA3780" s="8" t="e">
        <f>+VLOOKUP(I3780,[1]SKU!$H$2:$I$97,2,0)</f>
        <v>#N/A</v>
      </c>
    </row>
    <row r="3781" spans="24:27">
      <c r="X3781" s="8" t="str">
        <f>+IFERROR(VLOOKUP(N3781,[1]Hoja1!$B$2:$F$52,4,0)*P3781,"")</f>
        <v/>
      </c>
      <c r="Y3781" s="8" t="e">
        <f>+VLOOKUP(M3781,[1]SKU!$B$3:$E$81,4,0)</f>
        <v>#N/A</v>
      </c>
      <c r="Z3781" s="8" t="str">
        <f t="shared" si="59"/>
        <v>FLEX</v>
      </c>
      <c r="AA3781" s="8" t="e">
        <f>+VLOOKUP(I3781,[1]SKU!$H$2:$I$97,2,0)</f>
        <v>#N/A</v>
      </c>
    </row>
    <row r="3782" spans="24:27">
      <c r="X3782" s="8" t="str">
        <f>+IFERROR(VLOOKUP(N3782,[1]Hoja1!$B$2:$F$52,4,0)*P3782,"")</f>
        <v/>
      </c>
      <c r="Y3782" s="8" t="e">
        <f>+VLOOKUP(M3782,[1]SKU!$B$3:$E$81,4,0)</f>
        <v>#N/A</v>
      </c>
      <c r="Z3782" s="8" t="str">
        <f t="shared" si="59"/>
        <v>FLEX</v>
      </c>
      <c r="AA3782" s="8" t="e">
        <f>+VLOOKUP(I3782,[1]SKU!$H$2:$I$97,2,0)</f>
        <v>#N/A</v>
      </c>
    </row>
    <row r="3783" spans="24:27">
      <c r="X3783" s="8" t="str">
        <f>+IFERROR(VLOOKUP(N3783,[1]Hoja1!$B$2:$F$52,4,0)*P3783,"")</f>
        <v/>
      </c>
      <c r="Y3783" s="8" t="e">
        <f>+VLOOKUP(M3783,[1]SKU!$B$3:$E$81,4,0)</f>
        <v>#N/A</v>
      </c>
      <c r="Z3783" s="8" t="str">
        <f t="shared" si="59"/>
        <v>FLEX</v>
      </c>
      <c r="AA3783" s="8" t="e">
        <f>+VLOOKUP(I3783,[1]SKU!$H$2:$I$97,2,0)</f>
        <v>#N/A</v>
      </c>
    </row>
    <row r="3784" spans="24:27">
      <c r="X3784" s="8" t="str">
        <f>+IFERROR(VLOOKUP(N3784,[1]Hoja1!$B$2:$F$52,4,0)*P3784,"")</f>
        <v/>
      </c>
      <c r="Y3784" s="8" t="e">
        <f>+VLOOKUP(M3784,[1]SKU!$B$3:$E$81,4,0)</f>
        <v>#N/A</v>
      </c>
      <c r="Z3784" s="8" t="str">
        <f t="shared" si="59"/>
        <v>FLEX</v>
      </c>
      <c r="AA3784" s="8" t="e">
        <f>+VLOOKUP(I3784,[1]SKU!$H$2:$I$97,2,0)</f>
        <v>#N/A</v>
      </c>
    </row>
    <row r="3785" spans="24:27">
      <c r="X3785" s="8" t="str">
        <f>+IFERROR(VLOOKUP(N3785,[1]Hoja1!$B$2:$F$52,4,0)*P3785,"")</f>
        <v/>
      </c>
      <c r="Y3785" s="8" t="e">
        <f>+VLOOKUP(M3785,[1]SKU!$B$3:$E$81,4,0)</f>
        <v>#N/A</v>
      </c>
      <c r="Z3785" s="8" t="str">
        <f t="shared" si="59"/>
        <v>FLEX</v>
      </c>
      <c r="AA3785" s="8" t="e">
        <f>+VLOOKUP(I3785,[1]SKU!$H$2:$I$97,2,0)</f>
        <v>#N/A</v>
      </c>
    </row>
    <row r="3786" spans="24:27">
      <c r="X3786" s="8" t="str">
        <f>+IFERROR(VLOOKUP(N3786,[1]Hoja1!$B$2:$F$52,4,0)*P3786,"")</f>
        <v/>
      </c>
      <c r="Y3786" s="8" t="e">
        <f>+VLOOKUP(M3786,[1]SKU!$B$3:$E$81,4,0)</f>
        <v>#N/A</v>
      </c>
      <c r="Z3786" s="8" t="str">
        <f t="shared" si="59"/>
        <v>FLEX</v>
      </c>
      <c r="AA3786" s="8" t="e">
        <f>+VLOOKUP(I3786,[1]SKU!$H$2:$I$97,2,0)</f>
        <v>#N/A</v>
      </c>
    </row>
    <row r="3787" spans="24:27">
      <c r="X3787" s="8" t="str">
        <f>+IFERROR(VLOOKUP(N3787,[1]Hoja1!$B$2:$F$52,4,0)*P3787,"")</f>
        <v/>
      </c>
      <c r="Y3787" s="8" t="e">
        <f>+VLOOKUP(M3787,[1]SKU!$B$3:$E$81,4,0)</f>
        <v>#N/A</v>
      </c>
      <c r="Z3787" s="8" t="str">
        <f t="shared" si="59"/>
        <v>FLEX</v>
      </c>
      <c r="AA3787" s="8" t="e">
        <f>+VLOOKUP(I3787,[1]SKU!$H$2:$I$97,2,0)</f>
        <v>#N/A</v>
      </c>
    </row>
    <row r="3788" spans="24:27">
      <c r="X3788" s="8" t="str">
        <f>+IFERROR(VLOOKUP(N3788,[1]Hoja1!$B$2:$F$52,4,0)*P3788,"")</f>
        <v/>
      </c>
      <c r="Y3788" s="8" t="e">
        <f>+VLOOKUP(M3788,[1]SKU!$B$3:$E$81,4,0)</f>
        <v>#N/A</v>
      </c>
      <c r="Z3788" s="8" t="str">
        <f t="shared" si="59"/>
        <v>FLEX</v>
      </c>
      <c r="AA3788" s="8" t="e">
        <f>+VLOOKUP(I3788,[1]SKU!$H$2:$I$97,2,0)</f>
        <v>#N/A</v>
      </c>
    </row>
    <row r="3789" spans="24:27">
      <c r="X3789" s="8" t="str">
        <f>+IFERROR(VLOOKUP(N3789,[1]Hoja1!$B$2:$F$52,4,0)*P3789,"")</f>
        <v/>
      </c>
      <c r="Y3789" s="8" t="e">
        <f>+VLOOKUP(M3789,[1]SKU!$B$3:$E$81,4,0)</f>
        <v>#N/A</v>
      </c>
      <c r="Z3789" s="8" t="str">
        <f t="shared" si="59"/>
        <v>FLEX</v>
      </c>
      <c r="AA3789" s="8" t="e">
        <f>+VLOOKUP(I3789,[1]SKU!$H$2:$I$97,2,0)</f>
        <v>#N/A</v>
      </c>
    </row>
    <row r="3790" spans="24:27">
      <c r="X3790" s="8" t="str">
        <f>+IFERROR(VLOOKUP(N3790,[1]Hoja1!$B$2:$F$52,4,0)*P3790,"")</f>
        <v/>
      </c>
      <c r="Y3790" s="8" t="e">
        <f>+VLOOKUP(M3790,[1]SKU!$B$3:$E$81,4,0)</f>
        <v>#N/A</v>
      </c>
      <c r="Z3790" s="8" t="str">
        <f t="shared" si="59"/>
        <v>FLEX</v>
      </c>
      <c r="AA3790" s="8" t="e">
        <f>+VLOOKUP(I3790,[1]SKU!$H$2:$I$97,2,0)</f>
        <v>#N/A</v>
      </c>
    </row>
    <row r="3791" spans="24:27">
      <c r="X3791" s="8" t="str">
        <f>+IFERROR(VLOOKUP(N3791,[1]Hoja1!$B$2:$F$52,4,0)*P3791,"")</f>
        <v/>
      </c>
      <c r="Y3791" s="8" t="e">
        <f>+VLOOKUP(M3791,[1]SKU!$B$3:$E$81,4,0)</f>
        <v>#N/A</v>
      </c>
      <c r="Z3791" s="8" t="str">
        <f t="shared" si="59"/>
        <v>FLEX</v>
      </c>
      <c r="AA3791" s="8" t="e">
        <f>+VLOOKUP(I3791,[1]SKU!$H$2:$I$97,2,0)</f>
        <v>#N/A</v>
      </c>
    </row>
    <row r="3792" spans="24:27">
      <c r="X3792" s="8" t="str">
        <f>+IFERROR(VLOOKUP(N3792,[1]Hoja1!$B$2:$F$52,4,0)*P3792,"")</f>
        <v/>
      </c>
      <c r="Y3792" s="8" t="e">
        <f>+VLOOKUP(M3792,[1]SKU!$B$3:$E$81,4,0)</f>
        <v>#N/A</v>
      </c>
      <c r="Z3792" s="8" t="str">
        <f t="shared" si="59"/>
        <v>FLEX</v>
      </c>
      <c r="AA3792" s="8" t="e">
        <f>+VLOOKUP(I3792,[1]SKU!$H$2:$I$97,2,0)</f>
        <v>#N/A</v>
      </c>
    </row>
    <row r="3793" spans="24:27">
      <c r="X3793" s="8" t="str">
        <f>+IFERROR(VLOOKUP(N3793,[1]Hoja1!$B$2:$F$52,4,0)*P3793,"")</f>
        <v/>
      </c>
      <c r="Y3793" s="8" t="e">
        <f>+VLOOKUP(M3793,[1]SKU!$B$3:$E$81,4,0)</f>
        <v>#N/A</v>
      </c>
      <c r="Z3793" s="8" t="str">
        <f t="shared" si="59"/>
        <v>FLEX</v>
      </c>
      <c r="AA3793" s="8" t="e">
        <f>+VLOOKUP(I3793,[1]SKU!$H$2:$I$97,2,0)</f>
        <v>#N/A</v>
      </c>
    </row>
    <row r="3794" spans="24:27">
      <c r="X3794" s="8" t="str">
        <f>+IFERROR(VLOOKUP(N3794,[1]Hoja1!$B$2:$F$52,4,0)*P3794,"")</f>
        <v/>
      </c>
      <c r="Y3794" s="8" t="e">
        <f>+VLOOKUP(M3794,[1]SKU!$B$3:$E$81,4,0)</f>
        <v>#N/A</v>
      </c>
      <c r="Z3794" s="8" t="str">
        <f t="shared" si="59"/>
        <v>FLEX</v>
      </c>
      <c r="AA3794" s="8" t="e">
        <f>+VLOOKUP(I3794,[1]SKU!$H$2:$I$97,2,0)</f>
        <v>#N/A</v>
      </c>
    </row>
    <row r="3795" spans="24:27">
      <c r="X3795" s="8" t="str">
        <f>+IFERROR(VLOOKUP(N3795,[1]Hoja1!$B$2:$F$52,4,0)*P3795,"")</f>
        <v/>
      </c>
      <c r="Y3795" s="8" t="e">
        <f>+VLOOKUP(M3795,[1]SKU!$B$3:$E$81,4,0)</f>
        <v>#N/A</v>
      </c>
      <c r="Z3795" s="8" t="str">
        <f t="shared" si="59"/>
        <v>FLEX</v>
      </c>
      <c r="AA3795" s="8" t="e">
        <f>+VLOOKUP(I3795,[1]SKU!$H$2:$I$97,2,0)</f>
        <v>#N/A</v>
      </c>
    </row>
    <row r="3796" spans="24:27">
      <c r="X3796" s="8" t="str">
        <f>+IFERROR(VLOOKUP(N3796,[1]Hoja1!$B$2:$F$52,4,0)*P3796,"")</f>
        <v/>
      </c>
      <c r="Y3796" s="8" t="e">
        <f>+VLOOKUP(M3796,[1]SKU!$B$3:$E$81,4,0)</f>
        <v>#N/A</v>
      </c>
      <c r="Z3796" s="8" t="str">
        <f t="shared" si="59"/>
        <v>FLEX</v>
      </c>
      <c r="AA3796" s="8" t="e">
        <f>+VLOOKUP(I3796,[1]SKU!$H$2:$I$97,2,0)</f>
        <v>#N/A</v>
      </c>
    </row>
    <row r="3797" spans="24:27">
      <c r="X3797" s="8" t="str">
        <f>+IFERROR(VLOOKUP(N3797,[1]Hoja1!$B$2:$F$52,4,0)*P3797,"")</f>
        <v/>
      </c>
      <c r="Y3797" s="8" t="e">
        <f>+VLOOKUP(M3797,[1]SKU!$B$3:$E$81,4,0)</f>
        <v>#N/A</v>
      </c>
      <c r="Z3797" s="8" t="str">
        <f t="shared" si="59"/>
        <v>FLEX</v>
      </c>
      <c r="AA3797" s="8" t="e">
        <f>+VLOOKUP(I3797,[1]SKU!$H$2:$I$97,2,0)</f>
        <v>#N/A</v>
      </c>
    </row>
    <row r="3798" spans="24:27">
      <c r="X3798" s="8" t="str">
        <f>+IFERROR(VLOOKUP(N3798,[1]Hoja1!$B$2:$F$52,4,0)*P3798,"")</f>
        <v/>
      </c>
      <c r="Y3798" s="8" t="e">
        <f>+VLOOKUP(M3798,[1]SKU!$B$3:$E$81,4,0)</f>
        <v>#N/A</v>
      </c>
      <c r="Z3798" s="8" t="str">
        <f t="shared" si="59"/>
        <v>FLEX</v>
      </c>
      <c r="AA3798" s="8" t="e">
        <f>+VLOOKUP(I3798,[1]SKU!$H$2:$I$97,2,0)</f>
        <v>#N/A</v>
      </c>
    </row>
    <row r="3799" spans="24:27">
      <c r="X3799" s="8" t="str">
        <f>+IFERROR(VLOOKUP(N3799,[1]Hoja1!$B$2:$F$52,4,0)*P3799,"")</f>
        <v/>
      </c>
      <c r="Y3799" s="8" t="e">
        <f>+VLOOKUP(M3799,[1]SKU!$B$3:$E$81,4,0)</f>
        <v>#N/A</v>
      </c>
      <c r="Z3799" s="8" t="str">
        <f t="shared" si="59"/>
        <v>FLEX</v>
      </c>
      <c r="AA3799" s="8" t="e">
        <f>+VLOOKUP(I3799,[1]SKU!$H$2:$I$97,2,0)</f>
        <v>#N/A</v>
      </c>
    </row>
    <row r="3800" spans="24:27">
      <c r="X3800" s="8" t="str">
        <f>+IFERROR(VLOOKUP(N3800,[1]Hoja1!$B$2:$F$52,4,0)*P3800,"")</f>
        <v/>
      </c>
      <c r="Y3800" s="8" t="e">
        <f>+VLOOKUP(M3800,[1]SKU!$B$3:$E$81,4,0)</f>
        <v>#N/A</v>
      </c>
      <c r="Z3800" s="8" t="str">
        <f t="shared" si="59"/>
        <v>FLEX</v>
      </c>
      <c r="AA3800" s="8" t="e">
        <f>+VLOOKUP(I3800,[1]SKU!$H$2:$I$97,2,0)</f>
        <v>#N/A</v>
      </c>
    </row>
    <row r="3801" spans="24:27">
      <c r="X3801" s="8" t="str">
        <f>+IFERROR(VLOOKUP(N3801,[1]Hoja1!$B$2:$F$52,4,0)*P3801,"")</f>
        <v/>
      </c>
      <c r="Y3801" s="8" t="e">
        <f>+VLOOKUP(M3801,[1]SKU!$B$3:$E$81,4,0)</f>
        <v>#N/A</v>
      </c>
      <c r="Z3801" s="8" t="str">
        <f t="shared" si="59"/>
        <v>FLEX</v>
      </c>
      <c r="AA3801" s="8" t="e">
        <f>+VLOOKUP(I3801,[1]SKU!$H$2:$I$97,2,0)</f>
        <v>#N/A</v>
      </c>
    </row>
    <row r="3802" spans="24:27">
      <c r="X3802" s="8" t="str">
        <f>+IFERROR(VLOOKUP(N3802,[1]Hoja1!$B$2:$F$52,4,0)*P3802,"")</f>
        <v/>
      </c>
      <c r="Y3802" s="8" t="e">
        <f>+VLOOKUP(M3802,[1]SKU!$B$3:$E$81,4,0)</f>
        <v>#N/A</v>
      </c>
      <c r="Z3802" s="8" t="str">
        <f t="shared" si="59"/>
        <v>FLEX</v>
      </c>
      <c r="AA3802" s="8" t="e">
        <f>+VLOOKUP(I3802,[1]SKU!$H$2:$I$97,2,0)</f>
        <v>#N/A</v>
      </c>
    </row>
    <row r="3803" spans="24:27">
      <c r="X3803" s="8" t="str">
        <f>+IFERROR(VLOOKUP(N3803,[1]Hoja1!$B$2:$F$52,4,0)*P3803,"")</f>
        <v/>
      </c>
      <c r="Y3803" s="8" t="e">
        <f>+VLOOKUP(M3803,[1]SKU!$B$3:$E$81,4,0)</f>
        <v>#N/A</v>
      </c>
      <c r="Z3803" s="8" t="str">
        <f t="shared" si="59"/>
        <v>FLEX</v>
      </c>
      <c r="AA3803" s="8" t="e">
        <f>+VLOOKUP(I3803,[1]SKU!$H$2:$I$97,2,0)</f>
        <v>#N/A</v>
      </c>
    </row>
    <row r="3804" spans="24:27">
      <c r="X3804" s="8" t="str">
        <f>+IFERROR(VLOOKUP(N3804,[1]Hoja1!$B$2:$F$52,4,0)*P3804,"")</f>
        <v/>
      </c>
      <c r="Y3804" s="8" t="e">
        <f>+VLOOKUP(M3804,[1]SKU!$B$3:$E$81,4,0)</f>
        <v>#N/A</v>
      </c>
      <c r="Z3804" s="8" t="str">
        <f t="shared" si="59"/>
        <v>FLEX</v>
      </c>
      <c r="AA3804" s="8" t="e">
        <f>+VLOOKUP(I3804,[1]SKU!$H$2:$I$97,2,0)</f>
        <v>#N/A</v>
      </c>
    </row>
    <row r="3805" spans="24:27">
      <c r="X3805" s="8" t="str">
        <f>+IFERROR(VLOOKUP(N3805,[1]Hoja1!$B$2:$F$52,4,0)*P3805,"")</f>
        <v/>
      </c>
      <c r="Y3805" s="8" t="e">
        <f>+VLOOKUP(M3805,[1]SKU!$B$3:$E$81,4,0)</f>
        <v>#N/A</v>
      </c>
      <c r="Z3805" s="8" t="str">
        <f t="shared" si="59"/>
        <v>FLEX</v>
      </c>
      <c r="AA3805" s="8" t="e">
        <f>+VLOOKUP(I3805,[1]SKU!$H$2:$I$97,2,0)</f>
        <v>#N/A</v>
      </c>
    </row>
    <row r="3806" spans="24:27">
      <c r="X3806" s="8" t="str">
        <f>+IFERROR(VLOOKUP(N3806,[1]Hoja1!$B$2:$F$52,4,0)*P3806,"")</f>
        <v/>
      </c>
      <c r="Y3806" s="8" t="e">
        <f>+VLOOKUP(M3806,[1]SKU!$B$3:$E$81,4,0)</f>
        <v>#N/A</v>
      </c>
      <c r="Z3806" s="8" t="str">
        <f t="shared" si="59"/>
        <v>FLEX</v>
      </c>
      <c r="AA3806" s="8" t="e">
        <f>+VLOOKUP(I3806,[1]SKU!$H$2:$I$97,2,0)</f>
        <v>#N/A</v>
      </c>
    </row>
    <row r="3807" spans="24:27">
      <c r="X3807" s="8" t="str">
        <f>+IFERROR(VLOOKUP(N3807,[1]Hoja1!$B$2:$F$52,4,0)*P3807,"")</f>
        <v/>
      </c>
      <c r="Y3807" s="8" t="e">
        <f>+VLOOKUP(M3807,[1]SKU!$B$3:$E$81,4,0)</f>
        <v>#N/A</v>
      </c>
      <c r="Z3807" s="8" t="str">
        <f t="shared" si="59"/>
        <v>FLEX</v>
      </c>
      <c r="AA3807" s="8" t="e">
        <f>+VLOOKUP(I3807,[1]SKU!$H$2:$I$97,2,0)</f>
        <v>#N/A</v>
      </c>
    </row>
    <row r="3808" spans="24:27">
      <c r="X3808" s="8" t="str">
        <f>+IFERROR(VLOOKUP(N3808,[1]Hoja1!$B$2:$F$52,4,0)*P3808,"")</f>
        <v/>
      </c>
      <c r="Y3808" s="8" t="e">
        <f>+VLOOKUP(M3808,[1]SKU!$B$3:$E$81,4,0)</f>
        <v>#N/A</v>
      </c>
      <c r="Z3808" s="8" t="str">
        <f t="shared" si="59"/>
        <v>FLEX</v>
      </c>
      <c r="AA3808" s="8" t="e">
        <f>+VLOOKUP(I3808,[1]SKU!$H$2:$I$97,2,0)</f>
        <v>#N/A</v>
      </c>
    </row>
    <row r="3809" spans="24:27">
      <c r="X3809" s="8" t="str">
        <f>+IFERROR(VLOOKUP(N3809,[1]Hoja1!$B$2:$F$52,4,0)*P3809,"")</f>
        <v/>
      </c>
      <c r="Y3809" s="8" t="e">
        <f>+VLOOKUP(M3809,[1]SKU!$B$3:$E$81,4,0)</f>
        <v>#N/A</v>
      </c>
      <c r="Z3809" s="8" t="str">
        <f t="shared" si="59"/>
        <v>FLEX</v>
      </c>
      <c r="AA3809" s="8" t="e">
        <f>+VLOOKUP(I3809,[1]SKU!$H$2:$I$97,2,0)</f>
        <v>#N/A</v>
      </c>
    </row>
    <row r="3810" spans="24:27">
      <c r="X3810" s="8" t="str">
        <f>+IFERROR(VLOOKUP(N3810,[1]Hoja1!$B$2:$F$52,4,0)*P3810,"")</f>
        <v/>
      </c>
      <c r="Y3810" s="8" t="e">
        <f>+VLOOKUP(M3810,[1]SKU!$B$3:$E$81,4,0)</f>
        <v>#N/A</v>
      </c>
      <c r="Z3810" s="8" t="str">
        <f t="shared" si="59"/>
        <v>FLEX</v>
      </c>
      <c r="AA3810" s="8" t="e">
        <f>+VLOOKUP(I3810,[1]SKU!$H$2:$I$97,2,0)</f>
        <v>#N/A</v>
      </c>
    </row>
    <row r="3811" spans="24:27">
      <c r="X3811" s="8" t="str">
        <f>+IFERROR(VLOOKUP(N3811,[1]Hoja1!$B$2:$F$52,4,0)*P3811,"")</f>
        <v/>
      </c>
      <c r="Y3811" s="8" t="e">
        <f>+VLOOKUP(M3811,[1]SKU!$B$3:$E$81,4,0)</f>
        <v>#N/A</v>
      </c>
      <c r="Z3811" s="8" t="str">
        <f t="shared" si="59"/>
        <v>FLEX</v>
      </c>
      <c r="AA3811" s="8" t="e">
        <f>+VLOOKUP(I3811,[1]SKU!$H$2:$I$97,2,0)</f>
        <v>#N/A</v>
      </c>
    </row>
    <row r="3812" spans="24:27">
      <c r="X3812" s="8" t="str">
        <f>+IFERROR(VLOOKUP(N3812,[1]Hoja1!$B$2:$F$52,4,0)*P3812,"")</f>
        <v/>
      </c>
      <c r="Y3812" s="8" t="e">
        <f>+VLOOKUP(M3812,[1]SKU!$B$3:$E$81,4,0)</f>
        <v>#N/A</v>
      </c>
      <c r="Z3812" s="8" t="str">
        <f t="shared" si="59"/>
        <v>FLEX</v>
      </c>
      <c r="AA3812" s="8" t="e">
        <f>+VLOOKUP(I3812,[1]SKU!$H$2:$I$97,2,0)</f>
        <v>#N/A</v>
      </c>
    </row>
    <row r="3813" spans="24:27">
      <c r="X3813" s="8" t="str">
        <f>+IFERROR(VLOOKUP(N3813,[1]Hoja1!$B$2:$F$52,4,0)*P3813,"")</f>
        <v/>
      </c>
      <c r="Y3813" s="8" t="e">
        <f>+VLOOKUP(M3813,[1]SKU!$B$3:$E$81,4,0)</f>
        <v>#N/A</v>
      </c>
      <c r="Z3813" s="8" t="str">
        <f t="shared" si="59"/>
        <v>FLEX</v>
      </c>
      <c r="AA3813" s="8" t="e">
        <f>+VLOOKUP(I3813,[1]SKU!$H$2:$I$97,2,0)</f>
        <v>#N/A</v>
      </c>
    </row>
    <row r="3814" spans="24:27">
      <c r="X3814" s="8" t="str">
        <f>+IFERROR(VLOOKUP(N3814,[1]Hoja1!$B$2:$F$52,4,0)*P3814,"")</f>
        <v/>
      </c>
      <c r="Y3814" s="8" t="e">
        <f>+VLOOKUP(M3814,[1]SKU!$B$3:$E$81,4,0)</f>
        <v>#N/A</v>
      </c>
      <c r="Z3814" s="8" t="str">
        <f t="shared" si="59"/>
        <v>FLEX</v>
      </c>
      <c r="AA3814" s="8" t="e">
        <f>+VLOOKUP(I3814,[1]SKU!$H$2:$I$97,2,0)</f>
        <v>#N/A</v>
      </c>
    </row>
    <row r="3815" spans="24:27">
      <c r="X3815" s="8" t="str">
        <f>+IFERROR(VLOOKUP(N3815,[1]Hoja1!$B$2:$F$52,4,0)*P3815,"")</f>
        <v/>
      </c>
      <c r="Y3815" s="8" t="e">
        <f>+VLOOKUP(M3815,[1]SKU!$B$3:$E$81,4,0)</f>
        <v>#N/A</v>
      </c>
      <c r="Z3815" s="8" t="str">
        <f t="shared" si="59"/>
        <v>FLEX</v>
      </c>
      <c r="AA3815" s="8" t="e">
        <f>+VLOOKUP(I3815,[1]SKU!$H$2:$I$97,2,0)</f>
        <v>#N/A</v>
      </c>
    </row>
    <row r="3816" spans="24:27">
      <c r="X3816" s="8" t="str">
        <f>+IFERROR(VLOOKUP(N3816,[1]Hoja1!$B$2:$F$52,4,0)*P3816,"")</f>
        <v/>
      </c>
      <c r="Y3816" s="8" t="e">
        <f>+VLOOKUP(M3816,[1]SKU!$B$3:$E$81,4,0)</f>
        <v>#N/A</v>
      </c>
      <c r="Z3816" s="8" t="str">
        <f t="shared" si="59"/>
        <v>FLEX</v>
      </c>
      <c r="AA3816" s="8" t="e">
        <f>+VLOOKUP(I3816,[1]SKU!$H$2:$I$97,2,0)</f>
        <v>#N/A</v>
      </c>
    </row>
    <row r="3817" spans="24:27">
      <c r="X3817" s="8" t="str">
        <f>+IFERROR(VLOOKUP(N3817,[1]Hoja1!$B$2:$F$52,4,0)*P3817,"")</f>
        <v/>
      </c>
      <c r="Y3817" s="8" t="e">
        <f>+VLOOKUP(M3817,[1]SKU!$B$3:$E$81,4,0)</f>
        <v>#N/A</v>
      </c>
      <c r="Z3817" s="8" t="str">
        <f t="shared" si="59"/>
        <v>FLEX</v>
      </c>
      <c r="AA3817" s="8" t="e">
        <f>+VLOOKUP(I3817,[1]SKU!$H$2:$I$97,2,0)</f>
        <v>#N/A</v>
      </c>
    </row>
    <row r="3818" spans="24:27">
      <c r="X3818" s="8" t="str">
        <f>+IFERROR(VLOOKUP(N3818,[1]Hoja1!$B$2:$F$52,4,0)*P3818,"")</f>
        <v/>
      </c>
      <c r="Y3818" s="8" t="e">
        <f>+VLOOKUP(M3818,[1]SKU!$B$3:$E$81,4,0)</f>
        <v>#N/A</v>
      </c>
      <c r="Z3818" s="8" t="str">
        <f t="shared" si="59"/>
        <v>FLEX</v>
      </c>
      <c r="AA3818" s="8" t="e">
        <f>+VLOOKUP(I3818,[1]SKU!$H$2:$I$97,2,0)</f>
        <v>#N/A</v>
      </c>
    </row>
    <row r="3819" spans="24:27">
      <c r="X3819" s="8" t="str">
        <f>+IFERROR(VLOOKUP(N3819,[1]Hoja1!$B$2:$F$52,4,0)*P3819,"")</f>
        <v/>
      </c>
      <c r="Y3819" s="8" t="e">
        <f>+VLOOKUP(M3819,[1]SKU!$B$3:$E$81,4,0)</f>
        <v>#N/A</v>
      </c>
      <c r="Z3819" s="8" t="str">
        <f t="shared" si="59"/>
        <v>FLEX</v>
      </c>
      <c r="AA3819" s="8" t="e">
        <f>+VLOOKUP(I3819,[1]SKU!$H$2:$I$97,2,0)</f>
        <v>#N/A</v>
      </c>
    </row>
    <row r="3820" spans="24:27">
      <c r="X3820" s="8" t="str">
        <f>+IFERROR(VLOOKUP(N3820,[1]Hoja1!$B$2:$F$52,4,0)*P3820,"")</f>
        <v/>
      </c>
      <c r="Y3820" s="8" t="e">
        <f>+VLOOKUP(M3820,[1]SKU!$B$3:$E$81,4,0)</f>
        <v>#N/A</v>
      </c>
      <c r="Z3820" s="8" t="str">
        <f t="shared" si="59"/>
        <v>FLEX</v>
      </c>
      <c r="AA3820" s="8" t="e">
        <f>+VLOOKUP(I3820,[1]SKU!$H$2:$I$97,2,0)</f>
        <v>#N/A</v>
      </c>
    </row>
    <row r="3821" spans="24:27">
      <c r="X3821" s="8" t="str">
        <f>+IFERROR(VLOOKUP(N3821,[1]Hoja1!$B$2:$F$52,4,0)*P3821,"")</f>
        <v/>
      </c>
      <c r="Y3821" s="8" t="e">
        <f>+VLOOKUP(M3821,[1]SKU!$B$3:$E$81,4,0)</f>
        <v>#N/A</v>
      </c>
      <c r="Z3821" s="8" t="str">
        <f t="shared" si="59"/>
        <v>FLEX</v>
      </c>
      <c r="AA3821" s="8" t="e">
        <f>+VLOOKUP(I3821,[1]SKU!$H$2:$I$97,2,0)</f>
        <v>#N/A</v>
      </c>
    </row>
    <row r="3822" spans="24:27">
      <c r="X3822" s="8" t="str">
        <f>+IFERROR(VLOOKUP(N3822,[1]Hoja1!$B$2:$F$52,4,0)*P3822,"")</f>
        <v/>
      </c>
      <c r="Y3822" s="8" t="e">
        <f>+VLOOKUP(M3822,[1]SKU!$B$3:$E$81,4,0)</f>
        <v>#N/A</v>
      </c>
      <c r="Z3822" s="8" t="str">
        <f t="shared" si="59"/>
        <v>FLEX</v>
      </c>
      <c r="AA3822" s="8" t="e">
        <f>+VLOOKUP(I3822,[1]SKU!$H$2:$I$97,2,0)</f>
        <v>#N/A</v>
      </c>
    </row>
    <row r="3823" spans="24:27">
      <c r="X3823" s="8" t="str">
        <f>+IFERROR(VLOOKUP(N3823,[1]Hoja1!$B$2:$F$52,4,0)*P3823,"")</f>
        <v/>
      </c>
      <c r="Y3823" s="8" t="e">
        <f>+VLOOKUP(M3823,[1]SKU!$B$3:$E$81,4,0)</f>
        <v>#N/A</v>
      </c>
      <c r="Z3823" s="8" t="str">
        <f t="shared" si="59"/>
        <v>FLEX</v>
      </c>
      <c r="AA3823" s="8" t="e">
        <f>+VLOOKUP(I3823,[1]SKU!$H$2:$I$97,2,0)</f>
        <v>#N/A</v>
      </c>
    </row>
    <row r="3824" spans="24:27">
      <c r="X3824" s="8" t="str">
        <f>+IFERROR(VLOOKUP(N3824,[1]Hoja1!$B$2:$F$52,4,0)*P3824,"")</f>
        <v/>
      </c>
      <c r="Y3824" s="8" t="e">
        <f>+VLOOKUP(M3824,[1]SKU!$B$3:$E$81,4,0)</f>
        <v>#N/A</v>
      </c>
      <c r="Z3824" s="8" t="str">
        <f t="shared" si="59"/>
        <v>FLEX</v>
      </c>
      <c r="AA3824" s="8" t="e">
        <f>+VLOOKUP(I3824,[1]SKU!$H$2:$I$97,2,0)</f>
        <v>#N/A</v>
      </c>
    </row>
    <row r="3825" spans="24:27">
      <c r="X3825" s="8" t="str">
        <f>+IFERROR(VLOOKUP(N3825,[1]Hoja1!$B$2:$F$52,4,0)*P3825,"")</f>
        <v/>
      </c>
      <c r="Y3825" s="8" t="e">
        <f>+VLOOKUP(M3825,[1]SKU!$B$3:$E$81,4,0)</f>
        <v>#N/A</v>
      </c>
      <c r="Z3825" s="8" t="str">
        <f t="shared" si="59"/>
        <v>FLEX</v>
      </c>
      <c r="AA3825" s="8" t="e">
        <f>+VLOOKUP(I3825,[1]SKU!$H$2:$I$97,2,0)</f>
        <v>#N/A</v>
      </c>
    </row>
    <row r="3826" spans="24:27">
      <c r="X3826" s="8" t="str">
        <f>+IFERROR(VLOOKUP(N3826,[1]Hoja1!$B$2:$F$52,4,0)*P3826,"")</f>
        <v/>
      </c>
      <c r="Y3826" s="8" t="e">
        <f>+VLOOKUP(M3826,[1]SKU!$B$3:$E$81,4,0)</f>
        <v>#N/A</v>
      </c>
      <c r="Z3826" s="8" t="str">
        <f t="shared" si="59"/>
        <v>FLEX</v>
      </c>
      <c r="AA3826" s="8" t="e">
        <f>+VLOOKUP(I3826,[1]SKU!$H$2:$I$97,2,0)</f>
        <v>#N/A</v>
      </c>
    </row>
    <row r="3827" spans="24:27">
      <c r="X3827" s="8" t="str">
        <f>+IFERROR(VLOOKUP(N3827,[1]Hoja1!$B$2:$F$52,4,0)*P3827,"")</f>
        <v/>
      </c>
      <c r="Y3827" s="8" t="e">
        <f>+VLOOKUP(M3827,[1]SKU!$B$3:$E$81,4,0)</f>
        <v>#N/A</v>
      </c>
      <c r="Z3827" s="8" t="str">
        <f t="shared" si="59"/>
        <v>FLEX</v>
      </c>
      <c r="AA3827" s="8" t="e">
        <f>+VLOOKUP(I3827,[1]SKU!$H$2:$I$97,2,0)</f>
        <v>#N/A</v>
      </c>
    </row>
    <row r="3828" spans="24:27">
      <c r="X3828" s="8" t="str">
        <f>+IFERROR(VLOOKUP(N3828,[1]Hoja1!$B$2:$F$52,4,0)*P3828,"")</f>
        <v/>
      </c>
      <c r="Y3828" s="8" t="e">
        <f>+VLOOKUP(M3828,[1]SKU!$B$3:$E$81,4,0)</f>
        <v>#N/A</v>
      </c>
      <c r="Z3828" s="8" t="str">
        <f t="shared" si="59"/>
        <v>FLEX</v>
      </c>
      <c r="AA3828" s="8" t="e">
        <f>+VLOOKUP(I3828,[1]SKU!$H$2:$I$97,2,0)</f>
        <v>#N/A</v>
      </c>
    </row>
    <row r="3829" spans="24:27">
      <c r="X3829" s="8" t="str">
        <f>+IFERROR(VLOOKUP(N3829,[1]Hoja1!$B$2:$F$52,4,0)*P3829,"")</f>
        <v/>
      </c>
      <c r="Y3829" s="8" t="e">
        <f>+VLOOKUP(M3829,[1]SKU!$B$3:$E$81,4,0)</f>
        <v>#N/A</v>
      </c>
      <c r="Z3829" s="8" t="str">
        <f t="shared" si="59"/>
        <v>FLEX</v>
      </c>
      <c r="AA3829" s="8" t="e">
        <f>+VLOOKUP(I3829,[1]SKU!$H$2:$I$97,2,0)</f>
        <v>#N/A</v>
      </c>
    </row>
    <row r="3830" spans="24:27">
      <c r="X3830" s="8" t="str">
        <f>+IFERROR(VLOOKUP(N3830,[1]Hoja1!$B$2:$F$52,4,0)*P3830,"")</f>
        <v/>
      </c>
      <c r="Y3830" s="8" t="e">
        <f>+VLOOKUP(M3830,[1]SKU!$B$3:$E$81,4,0)</f>
        <v>#N/A</v>
      </c>
      <c r="Z3830" s="8" t="str">
        <f t="shared" si="59"/>
        <v>FLEX</v>
      </c>
      <c r="AA3830" s="8" t="e">
        <f>+VLOOKUP(I3830,[1]SKU!$H$2:$I$97,2,0)</f>
        <v>#N/A</v>
      </c>
    </row>
    <row r="3831" spans="24:27">
      <c r="X3831" s="8" t="str">
        <f>+IFERROR(VLOOKUP(N3831,[1]Hoja1!$B$2:$F$52,4,0)*P3831,"")</f>
        <v/>
      </c>
      <c r="Y3831" s="8" t="e">
        <f>+VLOOKUP(M3831,[1]SKU!$B$3:$E$81,4,0)</f>
        <v>#N/A</v>
      </c>
      <c r="Z3831" s="8" t="str">
        <f t="shared" si="59"/>
        <v>FLEX</v>
      </c>
      <c r="AA3831" s="8" t="e">
        <f>+VLOOKUP(I3831,[1]SKU!$H$2:$I$97,2,0)</f>
        <v>#N/A</v>
      </c>
    </row>
    <row r="3832" spans="24:27">
      <c r="X3832" s="8" t="str">
        <f>+IFERROR(VLOOKUP(N3832,[1]Hoja1!$B$2:$F$52,4,0)*P3832,"")</f>
        <v/>
      </c>
      <c r="Y3832" s="8" t="e">
        <f>+VLOOKUP(M3832,[1]SKU!$B$3:$E$81,4,0)</f>
        <v>#N/A</v>
      </c>
      <c r="Z3832" s="8" t="str">
        <f t="shared" si="59"/>
        <v>FLEX</v>
      </c>
      <c r="AA3832" s="8" t="e">
        <f>+VLOOKUP(I3832,[1]SKU!$H$2:$I$97,2,0)</f>
        <v>#N/A</v>
      </c>
    </row>
    <row r="3833" spans="24:27">
      <c r="X3833" s="8" t="str">
        <f>+IFERROR(VLOOKUP(N3833,[1]Hoja1!$B$2:$F$52,4,0)*P3833,"")</f>
        <v/>
      </c>
      <c r="Y3833" s="8" t="e">
        <f>+VLOOKUP(M3833,[1]SKU!$B$3:$E$81,4,0)</f>
        <v>#N/A</v>
      </c>
      <c r="Z3833" s="8" t="str">
        <f t="shared" si="59"/>
        <v>FLEX</v>
      </c>
      <c r="AA3833" s="8" t="e">
        <f>+VLOOKUP(I3833,[1]SKU!$H$2:$I$97,2,0)</f>
        <v>#N/A</v>
      </c>
    </row>
    <row r="3834" spans="24:27">
      <c r="X3834" s="8" t="str">
        <f>+IFERROR(VLOOKUP(N3834,[1]Hoja1!$B$2:$F$52,4,0)*P3834,"")</f>
        <v/>
      </c>
      <c r="Y3834" s="8" t="e">
        <f>+VLOOKUP(M3834,[1]SKU!$B$3:$E$81,4,0)</f>
        <v>#N/A</v>
      </c>
      <c r="Z3834" s="8" t="str">
        <f t="shared" si="59"/>
        <v>FLEX</v>
      </c>
      <c r="AA3834" s="8" t="e">
        <f>+VLOOKUP(I3834,[1]SKU!$H$2:$I$97,2,0)</f>
        <v>#N/A</v>
      </c>
    </row>
    <row r="3835" spans="24:27">
      <c r="X3835" s="8" t="str">
        <f>+IFERROR(VLOOKUP(N3835,[1]Hoja1!$B$2:$F$52,4,0)*P3835,"")</f>
        <v/>
      </c>
      <c r="Y3835" s="8" t="e">
        <f>+VLOOKUP(M3835,[1]SKU!$B$3:$E$81,4,0)</f>
        <v>#N/A</v>
      </c>
      <c r="Z3835" s="8" t="str">
        <f t="shared" si="59"/>
        <v>FLEX</v>
      </c>
      <c r="AA3835" s="8" t="e">
        <f>+VLOOKUP(I3835,[1]SKU!$H$2:$I$97,2,0)</f>
        <v>#N/A</v>
      </c>
    </row>
    <row r="3836" spans="24:27">
      <c r="X3836" s="8" t="str">
        <f>+IFERROR(VLOOKUP(N3836,[1]Hoja1!$B$2:$F$52,4,0)*P3836,"")</f>
        <v/>
      </c>
      <c r="Y3836" s="8" t="e">
        <f>+VLOOKUP(M3836,[1]SKU!$B$3:$E$81,4,0)</f>
        <v>#N/A</v>
      </c>
      <c r="Z3836" s="8" t="str">
        <f t="shared" si="59"/>
        <v>FLEX</v>
      </c>
      <c r="AA3836" s="8" t="e">
        <f>+VLOOKUP(I3836,[1]SKU!$H$2:$I$97,2,0)</f>
        <v>#N/A</v>
      </c>
    </row>
    <row r="3837" spans="24:27">
      <c r="X3837" s="8" t="str">
        <f>+IFERROR(VLOOKUP(N3837,[1]Hoja1!$B$2:$F$52,4,0)*P3837,"")</f>
        <v/>
      </c>
      <c r="Y3837" s="8" t="e">
        <f>+VLOOKUP(M3837,[1]SKU!$B$3:$E$81,4,0)</f>
        <v>#N/A</v>
      </c>
      <c r="Z3837" s="8" t="str">
        <f t="shared" si="59"/>
        <v>FLEX</v>
      </c>
      <c r="AA3837" s="8" t="e">
        <f>+VLOOKUP(I3837,[1]SKU!$H$2:$I$97,2,0)</f>
        <v>#N/A</v>
      </c>
    </row>
    <row r="3838" spans="24:27">
      <c r="X3838" s="8" t="str">
        <f>+IFERROR(VLOOKUP(N3838,[1]Hoja1!$B$2:$F$52,4,0)*P3838,"")</f>
        <v/>
      </c>
      <c r="Y3838" s="8" t="e">
        <f>+VLOOKUP(M3838,[1]SKU!$B$3:$E$81,4,0)</f>
        <v>#N/A</v>
      </c>
      <c r="Z3838" s="8" t="str">
        <f t="shared" si="59"/>
        <v>FLEX</v>
      </c>
      <c r="AA3838" s="8" t="e">
        <f>+VLOOKUP(I3838,[1]SKU!$H$2:$I$97,2,0)</f>
        <v>#N/A</v>
      </c>
    </row>
    <row r="3839" spans="24:27">
      <c r="X3839" s="8" t="str">
        <f>+IFERROR(VLOOKUP(N3839,[1]Hoja1!$B$2:$F$52,4,0)*P3839,"")</f>
        <v/>
      </c>
      <c r="Y3839" s="8" t="e">
        <f>+VLOOKUP(M3839,[1]SKU!$B$3:$E$81,4,0)</f>
        <v>#N/A</v>
      </c>
      <c r="Z3839" s="8" t="str">
        <f t="shared" si="59"/>
        <v>FLEX</v>
      </c>
      <c r="AA3839" s="8" t="e">
        <f>+VLOOKUP(I3839,[1]SKU!$H$2:$I$97,2,0)</f>
        <v>#N/A</v>
      </c>
    </row>
    <row r="3840" spans="24:27">
      <c r="X3840" s="8" t="str">
        <f>+IFERROR(VLOOKUP(N3840,[1]Hoja1!$B$2:$F$52,4,0)*P3840,"")</f>
        <v/>
      </c>
      <c r="Y3840" s="8" t="e">
        <f>+VLOOKUP(M3840,[1]SKU!$B$3:$E$81,4,0)</f>
        <v>#N/A</v>
      </c>
      <c r="Z3840" s="8" t="str">
        <f t="shared" si="59"/>
        <v>FLEX</v>
      </c>
      <c r="AA3840" s="8" t="e">
        <f>+VLOOKUP(I3840,[1]SKU!$H$2:$I$97,2,0)</f>
        <v>#N/A</v>
      </c>
    </row>
    <row r="3841" spans="24:27">
      <c r="X3841" s="8" t="str">
        <f>+IFERROR(VLOOKUP(N3841,[1]Hoja1!$B$2:$F$52,4,0)*P3841,"")</f>
        <v/>
      </c>
      <c r="Y3841" s="8" t="e">
        <f>+VLOOKUP(M3841,[1]SKU!$B$3:$E$81,4,0)</f>
        <v>#N/A</v>
      </c>
      <c r="Z3841" s="8" t="str">
        <f t="shared" si="59"/>
        <v>FLEX</v>
      </c>
      <c r="AA3841" s="8" t="e">
        <f>+VLOOKUP(I3841,[1]SKU!$H$2:$I$97,2,0)</f>
        <v>#N/A</v>
      </c>
    </row>
    <row r="3842" spans="24:27">
      <c r="X3842" s="8" t="str">
        <f>+IFERROR(VLOOKUP(N3842,[1]Hoja1!$B$2:$F$52,4,0)*P3842,"")</f>
        <v/>
      </c>
      <c r="Y3842" s="8" t="e">
        <f>+VLOOKUP(M3842,[1]SKU!$B$3:$E$81,4,0)</f>
        <v>#N/A</v>
      </c>
      <c r="Z3842" s="8" t="str">
        <f t="shared" si="59"/>
        <v>FLEX</v>
      </c>
      <c r="AA3842" s="8" t="e">
        <f>+VLOOKUP(I3842,[1]SKU!$H$2:$I$97,2,0)</f>
        <v>#N/A</v>
      </c>
    </row>
    <row r="3843" spans="24:27">
      <c r="X3843" s="8" t="str">
        <f>+IFERROR(VLOOKUP(N3843,[1]Hoja1!$B$2:$F$52,4,0)*P3843,"")</f>
        <v/>
      </c>
      <c r="Y3843" s="8" t="e">
        <f>+VLOOKUP(M3843,[1]SKU!$B$3:$E$81,4,0)</f>
        <v>#N/A</v>
      </c>
      <c r="Z3843" s="8" t="str">
        <f t="shared" ref="Z3843:Z3906" si="60">+IF(J3843="VB01                          ","BEES","FLEX")</f>
        <v>FLEX</v>
      </c>
      <c r="AA3843" s="8" t="e">
        <f>+VLOOKUP(I3843,[1]SKU!$H$2:$I$97,2,0)</f>
        <v>#N/A</v>
      </c>
    </row>
    <row r="3844" spans="24:27">
      <c r="X3844" s="8" t="str">
        <f>+IFERROR(VLOOKUP(N3844,[1]Hoja1!$B$2:$F$52,4,0)*P3844,"")</f>
        <v/>
      </c>
      <c r="Y3844" s="8" t="e">
        <f>+VLOOKUP(M3844,[1]SKU!$B$3:$E$81,4,0)</f>
        <v>#N/A</v>
      </c>
      <c r="Z3844" s="8" t="str">
        <f t="shared" si="60"/>
        <v>FLEX</v>
      </c>
      <c r="AA3844" s="8" t="e">
        <f>+VLOOKUP(I3844,[1]SKU!$H$2:$I$97,2,0)</f>
        <v>#N/A</v>
      </c>
    </row>
    <row r="3845" spans="24:27">
      <c r="X3845" s="8" t="str">
        <f>+IFERROR(VLOOKUP(N3845,[1]Hoja1!$B$2:$F$52,4,0)*P3845,"")</f>
        <v/>
      </c>
      <c r="Y3845" s="8" t="e">
        <f>+VLOOKUP(M3845,[1]SKU!$B$3:$E$81,4,0)</f>
        <v>#N/A</v>
      </c>
      <c r="Z3845" s="8" t="str">
        <f t="shared" si="60"/>
        <v>FLEX</v>
      </c>
      <c r="AA3845" s="8" t="e">
        <f>+VLOOKUP(I3845,[1]SKU!$H$2:$I$97,2,0)</f>
        <v>#N/A</v>
      </c>
    </row>
    <row r="3846" spans="24:27">
      <c r="X3846" s="8" t="str">
        <f>+IFERROR(VLOOKUP(N3846,[1]Hoja1!$B$2:$F$52,4,0)*P3846,"")</f>
        <v/>
      </c>
      <c r="Y3846" s="8" t="e">
        <f>+VLOOKUP(M3846,[1]SKU!$B$3:$E$81,4,0)</f>
        <v>#N/A</v>
      </c>
      <c r="Z3846" s="8" t="str">
        <f t="shared" si="60"/>
        <v>FLEX</v>
      </c>
      <c r="AA3846" s="8" t="e">
        <f>+VLOOKUP(I3846,[1]SKU!$H$2:$I$97,2,0)</f>
        <v>#N/A</v>
      </c>
    </row>
    <row r="3847" spans="24:27">
      <c r="X3847" s="8" t="str">
        <f>+IFERROR(VLOOKUP(N3847,[1]Hoja1!$B$2:$F$52,4,0)*P3847,"")</f>
        <v/>
      </c>
      <c r="Y3847" s="8" t="e">
        <f>+VLOOKUP(M3847,[1]SKU!$B$3:$E$81,4,0)</f>
        <v>#N/A</v>
      </c>
      <c r="Z3847" s="8" t="str">
        <f t="shared" si="60"/>
        <v>FLEX</v>
      </c>
      <c r="AA3847" s="8" t="e">
        <f>+VLOOKUP(I3847,[1]SKU!$H$2:$I$97,2,0)</f>
        <v>#N/A</v>
      </c>
    </row>
    <row r="3848" spans="24:27">
      <c r="X3848" s="8" t="str">
        <f>+IFERROR(VLOOKUP(N3848,[1]Hoja1!$B$2:$F$52,4,0)*P3848,"")</f>
        <v/>
      </c>
      <c r="Y3848" s="8" t="e">
        <f>+VLOOKUP(M3848,[1]SKU!$B$3:$E$81,4,0)</f>
        <v>#N/A</v>
      </c>
      <c r="Z3848" s="8" t="str">
        <f t="shared" si="60"/>
        <v>FLEX</v>
      </c>
      <c r="AA3848" s="8" t="e">
        <f>+VLOOKUP(I3848,[1]SKU!$H$2:$I$97,2,0)</f>
        <v>#N/A</v>
      </c>
    </row>
    <row r="3849" spans="24:27">
      <c r="X3849" s="8" t="str">
        <f>+IFERROR(VLOOKUP(N3849,[1]Hoja1!$B$2:$F$52,4,0)*P3849,"")</f>
        <v/>
      </c>
      <c r="Y3849" s="8" t="e">
        <f>+VLOOKUP(M3849,[1]SKU!$B$3:$E$81,4,0)</f>
        <v>#N/A</v>
      </c>
      <c r="Z3849" s="8" t="str">
        <f t="shared" si="60"/>
        <v>FLEX</v>
      </c>
      <c r="AA3849" s="8" t="e">
        <f>+VLOOKUP(I3849,[1]SKU!$H$2:$I$97,2,0)</f>
        <v>#N/A</v>
      </c>
    </row>
    <row r="3850" spans="24:27">
      <c r="X3850" s="8" t="str">
        <f>+IFERROR(VLOOKUP(N3850,[1]Hoja1!$B$2:$F$52,4,0)*P3850,"")</f>
        <v/>
      </c>
      <c r="Y3850" s="8" t="e">
        <f>+VLOOKUP(M3850,[1]SKU!$B$3:$E$81,4,0)</f>
        <v>#N/A</v>
      </c>
      <c r="Z3850" s="8" t="str">
        <f t="shared" si="60"/>
        <v>FLEX</v>
      </c>
      <c r="AA3850" s="8" t="e">
        <f>+VLOOKUP(I3850,[1]SKU!$H$2:$I$97,2,0)</f>
        <v>#N/A</v>
      </c>
    </row>
    <row r="3851" spans="24:27">
      <c r="X3851" s="8" t="str">
        <f>+IFERROR(VLOOKUP(N3851,[1]Hoja1!$B$2:$F$52,4,0)*P3851,"")</f>
        <v/>
      </c>
      <c r="Y3851" s="8" t="e">
        <f>+VLOOKUP(M3851,[1]SKU!$B$3:$E$81,4,0)</f>
        <v>#N/A</v>
      </c>
      <c r="Z3851" s="8" t="str">
        <f t="shared" si="60"/>
        <v>FLEX</v>
      </c>
      <c r="AA3851" s="8" t="e">
        <f>+VLOOKUP(I3851,[1]SKU!$H$2:$I$97,2,0)</f>
        <v>#N/A</v>
      </c>
    </row>
    <row r="3852" spans="24:27">
      <c r="X3852" s="8" t="str">
        <f>+IFERROR(VLOOKUP(N3852,[1]Hoja1!$B$2:$F$52,4,0)*P3852,"")</f>
        <v/>
      </c>
      <c r="Y3852" s="8" t="e">
        <f>+VLOOKUP(M3852,[1]SKU!$B$3:$E$81,4,0)</f>
        <v>#N/A</v>
      </c>
      <c r="Z3852" s="8" t="str">
        <f t="shared" si="60"/>
        <v>FLEX</v>
      </c>
      <c r="AA3852" s="8" t="e">
        <f>+VLOOKUP(I3852,[1]SKU!$H$2:$I$97,2,0)</f>
        <v>#N/A</v>
      </c>
    </row>
    <row r="3853" spans="24:27">
      <c r="X3853" s="8" t="str">
        <f>+IFERROR(VLOOKUP(N3853,[1]Hoja1!$B$2:$F$52,4,0)*P3853,"")</f>
        <v/>
      </c>
      <c r="Y3853" s="8" t="e">
        <f>+VLOOKUP(M3853,[1]SKU!$B$3:$E$81,4,0)</f>
        <v>#N/A</v>
      </c>
      <c r="Z3853" s="8" t="str">
        <f t="shared" si="60"/>
        <v>FLEX</v>
      </c>
      <c r="AA3853" s="8" t="e">
        <f>+VLOOKUP(I3853,[1]SKU!$H$2:$I$97,2,0)</f>
        <v>#N/A</v>
      </c>
    </row>
    <row r="3854" spans="24:27">
      <c r="X3854" s="8" t="str">
        <f>+IFERROR(VLOOKUP(N3854,[1]Hoja1!$B$2:$F$52,4,0)*P3854,"")</f>
        <v/>
      </c>
      <c r="Y3854" s="8" t="e">
        <f>+VLOOKUP(M3854,[1]SKU!$B$3:$E$81,4,0)</f>
        <v>#N/A</v>
      </c>
      <c r="Z3854" s="8" t="str">
        <f t="shared" si="60"/>
        <v>FLEX</v>
      </c>
      <c r="AA3854" s="8" t="e">
        <f>+VLOOKUP(I3854,[1]SKU!$H$2:$I$97,2,0)</f>
        <v>#N/A</v>
      </c>
    </row>
    <row r="3855" spans="24:27">
      <c r="X3855" s="8" t="str">
        <f>+IFERROR(VLOOKUP(N3855,[1]Hoja1!$B$2:$F$52,4,0)*P3855,"")</f>
        <v/>
      </c>
      <c r="Y3855" s="8" t="e">
        <f>+VLOOKUP(M3855,[1]SKU!$B$3:$E$81,4,0)</f>
        <v>#N/A</v>
      </c>
      <c r="Z3855" s="8" t="str">
        <f t="shared" si="60"/>
        <v>FLEX</v>
      </c>
      <c r="AA3855" s="8" t="e">
        <f>+VLOOKUP(I3855,[1]SKU!$H$2:$I$97,2,0)</f>
        <v>#N/A</v>
      </c>
    </row>
    <row r="3856" spans="24:27">
      <c r="X3856" s="8" t="str">
        <f>+IFERROR(VLOOKUP(N3856,[1]Hoja1!$B$2:$F$52,4,0)*P3856,"")</f>
        <v/>
      </c>
      <c r="Y3856" s="8" t="e">
        <f>+VLOOKUP(M3856,[1]SKU!$B$3:$E$81,4,0)</f>
        <v>#N/A</v>
      </c>
      <c r="Z3856" s="8" t="str">
        <f t="shared" si="60"/>
        <v>FLEX</v>
      </c>
      <c r="AA3856" s="8" t="e">
        <f>+VLOOKUP(I3856,[1]SKU!$H$2:$I$97,2,0)</f>
        <v>#N/A</v>
      </c>
    </row>
    <row r="3857" spans="24:27">
      <c r="X3857" s="8" t="str">
        <f>+IFERROR(VLOOKUP(N3857,[1]Hoja1!$B$2:$F$52,4,0)*P3857,"")</f>
        <v/>
      </c>
      <c r="Y3857" s="8" t="e">
        <f>+VLOOKUP(M3857,[1]SKU!$B$3:$E$81,4,0)</f>
        <v>#N/A</v>
      </c>
      <c r="Z3857" s="8" t="str">
        <f t="shared" si="60"/>
        <v>FLEX</v>
      </c>
      <c r="AA3857" s="8" t="e">
        <f>+VLOOKUP(I3857,[1]SKU!$H$2:$I$97,2,0)</f>
        <v>#N/A</v>
      </c>
    </row>
    <row r="3858" spans="24:27">
      <c r="X3858" s="8" t="str">
        <f>+IFERROR(VLOOKUP(N3858,[1]Hoja1!$B$2:$F$52,4,0)*P3858,"")</f>
        <v/>
      </c>
      <c r="Y3858" s="8" t="e">
        <f>+VLOOKUP(M3858,[1]SKU!$B$3:$E$81,4,0)</f>
        <v>#N/A</v>
      </c>
      <c r="Z3858" s="8" t="str">
        <f t="shared" si="60"/>
        <v>FLEX</v>
      </c>
      <c r="AA3858" s="8" t="e">
        <f>+VLOOKUP(I3858,[1]SKU!$H$2:$I$97,2,0)</f>
        <v>#N/A</v>
      </c>
    </row>
    <row r="3859" spans="24:27">
      <c r="X3859" s="8" t="str">
        <f>+IFERROR(VLOOKUP(N3859,[1]Hoja1!$B$2:$F$52,4,0)*P3859,"")</f>
        <v/>
      </c>
      <c r="Y3859" s="8" t="e">
        <f>+VLOOKUP(M3859,[1]SKU!$B$3:$E$81,4,0)</f>
        <v>#N/A</v>
      </c>
      <c r="Z3859" s="8" t="str">
        <f t="shared" si="60"/>
        <v>FLEX</v>
      </c>
      <c r="AA3859" s="8" t="e">
        <f>+VLOOKUP(I3859,[1]SKU!$H$2:$I$97,2,0)</f>
        <v>#N/A</v>
      </c>
    </row>
    <row r="3860" spans="24:27">
      <c r="X3860" s="8" t="str">
        <f>+IFERROR(VLOOKUP(N3860,[1]Hoja1!$B$2:$F$52,4,0)*P3860,"")</f>
        <v/>
      </c>
      <c r="Y3860" s="8" t="e">
        <f>+VLOOKUP(M3860,[1]SKU!$B$3:$E$81,4,0)</f>
        <v>#N/A</v>
      </c>
      <c r="Z3860" s="8" t="str">
        <f t="shared" si="60"/>
        <v>FLEX</v>
      </c>
      <c r="AA3860" s="8" t="e">
        <f>+VLOOKUP(I3860,[1]SKU!$H$2:$I$97,2,0)</f>
        <v>#N/A</v>
      </c>
    </row>
    <row r="3861" spans="24:27">
      <c r="X3861" s="8" t="str">
        <f>+IFERROR(VLOOKUP(N3861,[1]Hoja1!$B$2:$F$52,4,0)*P3861,"")</f>
        <v/>
      </c>
      <c r="Y3861" s="8" t="e">
        <f>+VLOOKUP(M3861,[1]SKU!$B$3:$E$81,4,0)</f>
        <v>#N/A</v>
      </c>
      <c r="Z3861" s="8" t="str">
        <f t="shared" si="60"/>
        <v>FLEX</v>
      </c>
      <c r="AA3861" s="8" t="e">
        <f>+VLOOKUP(I3861,[1]SKU!$H$2:$I$97,2,0)</f>
        <v>#N/A</v>
      </c>
    </row>
    <row r="3862" spans="24:27">
      <c r="X3862" s="8" t="str">
        <f>+IFERROR(VLOOKUP(N3862,[1]Hoja1!$B$2:$F$52,4,0)*P3862,"")</f>
        <v/>
      </c>
      <c r="Y3862" s="8" t="e">
        <f>+VLOOKUP(M3862,[1]SKU!$B$3:$E$81,4,0)</f>
        <v>#N/A</v>
      </c>
      <c r="Z3862" s="8" t="str">
        <f t="shared" si="60"/>
        <v>FLEX</v>
      </c>
      <c r="AA3862" s="8" t="e">
        <f>+VLOOKUP(I3862,[1]SKU!$H$2:$I$97,2,0)</f>
        <v>#N/A</v>
      </c>
    </row>
    <row r="3863" spans="24:27">
      <c r="X3863" s="8" t="str">
        <f>+IFERROR(VLOOKUP(N3863,[1]Hoja1!$B$2:$F$52,4,0)*P3863,"")</f>
        <v/>
      </c>
      <c r="Y3863" s="8" t="e">
        <f>+VLOOKUP(M3863,[1]SKU!$B$3:$E$81,4,0)</f>
        <v>#N/A</v>
      </c>
      <c r="Z3863" s="8" t="str">
        <f t="shared" si="60"/>
        <v>FLEX</v>
      </c>
      <c r="AA3863" s="8" t="e">
        <f>+VLOOKUP(I3863,[1]SKU!$H$2:$I$97,2,0)</f>
        <v>#N/A</v>
      </c>
    </row>
    <row r="3864" spans="24:27">
      <c r="X3864" s="8" t="str">
        <f>+IFERROR(VLOOKUP(N3864,[1]Hoja1!$B$2:$F$52,4,0)*P3864,"")</f>
        <v/>
      </c>
      <c r="Y3864" s="8" t="e">
        <f>+VLOOKUP(M3864,[1]SKU!$B$3:$E$81,4,0)</f>
        <v>#N/A</v>
      </c>
      <c r="Z3864" s="8" t="str">
        <f t="shared" si="60"/>
        <v>FLEX</v>
      </c>
      <c r="AA3864" s="8" t="e">
        <f>+VLOOKUP(I3864,[1]SKU!$H$2:$I$97,2,0)</f>
        <v>#N/A</v>
      </c>
    </row>
    <row r="3865" spans="24:27">
      <c r="X3865" s="8" t="str">
        <f>+IFERROR(VLOOKUP(N3865,[1]Hoja1!$B$2:$F$52,4,0)*P3865,"")</f>
        <v/>
      </c>
      <c r="Y3865" s="8" t="e">
        <f>+VLOOKUP(M3865,[1]SKU!$B$3:$E$81,4,0)</f>
        <v>#N/A</v>
      </c>
      <c r="Z3865" s="8" t="str">
        <f t="shared" si="60"/>
        <v>FLEX</v>
      </c>
      <c r="AA3865" s="8" t="e">
        <f>+VLOOKUP(I3865,[1]SKU!$H$2:$I$97,2,0)</f>
        <v>#N/A</v>
      </c>
    </row>
    <row r="3866" spans="24:27">
      <c r="X3866" s="8" t="str">
        <f>+IFERROR(VLOOKUP(N3866,[1]Hoja1!$B$2:$F$52,4,0)*P3866,"")</f>
        <v/>
      </c>
      <c r="Y3866" s="8" t="e">
        <f>+VLOOKUP(M3866,[1]SKU!$B$3:$E$81,4,0)</f>
        <v>#N/A</v>
      </c>
      <c r="Z3866" s="8" t="str">
        <f t="shared" si="60"/>
        <v>FLEX</v>
      </c>
      <c r="AA3866" s="8" t="e">
        <f>+VLOOKUP(I3866,[1]SKU!$H$2:$I$97,2,0)</f>
        <v>#N/A</v>
      </c>
    </row>
    <row r="3867" spans="24:27">
      <c r="X3867" s="8" t="str">
        <f>+IFERROR(VLOOKUP(N3867,[1]Hoja1!$B$2:$F$52,4,0)*P3867,"")</f>
        <v/>
      </c>
      <c r="Y3867" s="8" t="e">
        <f>+VLOOKUP(M3867,[1]SKU!$B$3:$E$81,4,0)</f>
        <v>#N/A</v>
      </c>
      <c r="Z3867" s="8" t="str">
        <f t="shared" si="60"/>
        <v>FLEX</v>
      </c>
      <c r="AA3867" s="8" t="e">
        <f>+VLOOKUP(I3867,[1]SKU!$H$2:$I$97,2,0)</f>
        <v>#N/A</v>
      </c>
    </row>
    <row r="3868" spans="24:27">
      <c r="X3868" s="8" t="str">
        <f>+IFERROR(VLOOKUP(N3868,[1]Hoja1!$B$2:$F$52,4,0)*P3868,"")</f>
        <v/>
      </c>
      <c r="Y3868" s="8" t="e">
        <f>+VLOOKUP(M3868,[1]SKU!$B$3:$E$81,4,0)</f>
        <v>#N/A</v>
      </c>
      <c r="Z3868" s="8" t="str">
        <f t="shared" si="60"/>
        <v>FLEX</v>
      </c>
      <c r="AA3868" s="8" t="e">
        <f>+VLOOKUP(I3868,[1]SKU!$H$2:$I$97,2,0)</f>
        <v>#N/A</v>
      </c>
    </row>
    <row r="3869" spans="24:27">
      <c r="X3869" s="8" t="str">
        <f>+IFERROR(VLOOKUP(N3869,[1]Hoja1!$B$2:$F$52,4,0)*P3869,"")</f>
        <v/>
      </c>
      <c r="Y3869" s="8" t="e">
        <f>+VLOOKUP(M3869,[1]SKU!$B$3:$E$81,4,0)</f>
        <v>#N/A</v>
      </c>
      <c r="Z3869" s="8" t="str">
        <f t="shared" si="60"/>
        <v>FLEX</v>
      </c>
      <c r="AA3869" s="8" t="e">
        <f>+VLOOKUP(I3869,[1]SKU!$H$2:$I$97,2,0)</f>
        <v>#N/A</v>
      </c>
    </row>
    <row r="3870" spans="24:27">
      <c r="X3870" s="8" t="str">
        <f>+IFERROR(VLOOKUP(N3870,[1]Hoja1!$B$2:$F$52,4,0)*P3870,"")</f>
        <v/>
      </c>
      <c r="Y3870" s="8" t="e">
        <f>+VLOOKUP(M3870,[1]SKU!$B$3:$E$81,4,0)</f>
        <v>#N/A</v>
      </c>
      <c r="Z3870" s="8" t="str">
        <f t="shared" si="60"/>
        <v>FLEX</v>
      </c>
      <c r="AA3870" s="8" t="e">
        <f>+VLOOKUP(I3870,[1]SKU!$H$2:$I$97,2,0)</f>
        <v>#N/A</v>
      </c>
    </row>
    <row r="3871" spans="24:27">
      <c r="X3871" s="8" t="str">
        <f>+IFERROR(VLOOKUP(N3871,[1]Hoja1!$B$2:$F$52,4,0)*P3871,"")</f>
        <v/>
      </c>
      <c r="Y3871" s="8" t="e">
        <f>+VLOOKUP(M3871,[1]SKU!$B$3:$E$81,4,0)</f>
        <v>#N/A</v>
      </c>
      <c r="Z3871" s="8" t="str">
        <f t="shared" si="60"/>
        <v>FLEX</v>
      </c>
      <c r="AA3871" s="8" t="e">
        <f>+VLOOKUP(I3871,[1]SKU!$H$2:$I$97,2,0)</f>
        <v>#N/A</v>
      </c>
    </row>
    <row r="3872" spans="24:27">
      <c r="X3872" s="8" t="str">
        <f>+IFERROR(VLOOKUP(N3872,[1]Hoja1!$B$2:$F$52,4,0)*P3872,"")</f>
        <v/>
      </c>
      <c r="Y3872" s="8" t="e">
        <f>+VLOOKUP(M3872,[1]SKU!$B$3:$E$81,4,0)</f>
        <v>#N/A</v>
      </c>
      <c r="Z3872" s="8" t="str">
        <f t="shared" si="60"/>
        <v>FLEX</v>
      </c>
      <c r="AA3872" s="8" t="e">
        <f>+VLOOKUP(I3872,[1]SKU!$H$2:$I$97,2,0)</f>
        <v>#N/A</v>
      </c>
    </row>
    <row r="3873" spans="24:27">
      <c r="X3873" s="8" t="str">
        <f>+IFERROR(VLOOKUP(N3873,[1]Hoja1!$B$2:$F$52,4,0)*P3873,"")</f>
        <v/>
      </c>
      <c r="Y3873" s="8" t="e">
        <f>+VLOOKUP(M3873,[1]SKU!$B$3:$E$81,4,0)</f>
        <v>#N/A</v>
      </c>
      <c r="Z3873" s="8" t="str">
        <f t="shared" si="60"/>
        <v>FLEX</v>
      </c>
      <c r="AA3873" s="8" t="e">
        <f>+VLOOKUP(I3873,[1]SKU!$H$2:$I$97,2,0)</f>
        <v>#N/A</v>
      </c>
    </row>
    <row r="3874" spans="24:27">
      <c r="X3874" s="8" t="str">
        <f>+IFERROR(VLOOKUP(N3874,[1]Hoja1!$B$2:$F$52,4,0)*P3874,"")</f>
        <v/>
      </c>
      <c r="Y3874" s="8" t="e">
        <f>+VLOOKUP(M3874,[1]SKU!$B$3:$E$81,4,0)</f>
        <v>#N/A</v>
      </c>
      <c r="Z3874" s="8" t="str">
        <f t="shared" si="60"/>
        <v>FLEX</v>
      </c>
      <c r="AA3874" s="8" t="e">
        <f>+VLOOKUP(I3874,[1]SKU!$H$2:$I$97,2,0)</f>
        <v>#N/A</v>
      </c>
    </row>
    <row r="3875" spans="24:27">
      <c r="X3875" s="8" t="str">
        <f>+IFERROR(VLOOKUP(N3875,[1]Hoja1!$B$2:$F$52,4,0)*P3875,"")</f>
        <v/>
      </c>
      <c r="Y3875" s="8" t="e">
        <f>+VLOOKUP(M3875,[1]SKU!$B$3:$E$81,4,0)</f>
        <v>#N/A</v>
      </c>
      <c r="Z3875" s="8" t="str">
        <f t="shared" si="60"/>
        <v>FLEX</v>
      </c>
      <c r="AA3875" s="8" t="e">
        <f>+VLOOKUP(I3875,[1]SKU!$H$2:$I$97,2,0)</f>
        <v>#N/A</v>
      </c>
    </row>
    <row r="3876" spans="24:27">
      <c r="X3876" s="8" t="str">
        <f>+IFERROR(VLOOKUP(N3876,[1]Hoja1!$B$2:$F$52,4,0)*P3876,"")</f>
        <v/>
      </c>
      <c r="Y3876" s="8" t="e">
        <f>+VLOOKUP(M3876,[1]SKU!$B$3:$E$81,4,0)</f>
        <v>#N/A</v>
      </c>
      <c r="Z3876" s="8" t="str">
        <f t="shared" si="60"/>
        <v>FLEX</v>
      </c>
      <c r="AA3876" s="8" t="e">
        <f>+VLOOKUP(I3876,[1]SKU!$H$2:$I$97,2,0)</f>
        <v>#N/A</v>
      </c>
    </row>
    <row r="3877" spans="24:27">
      <c r="X3877" s="8" t="str">
        <f>+IFERROR(VLOOKUP(N3877,[1]Hoja1!$B$2:$F$52,4,0)*P3877,"")</f>
        <v/>
      </c>
      <c r="Y3877" s="8" t="e">
        <f>+VLOOKUP(M3877,[1]SKU!$B$3:$E$81,4,0)</f>
        <v>#N/A</v>
      </c>
      <c r="Z3877" s="8" t="str">
        <f t="shared" si="60"/>
        <v>FLEX</v>
      </c>
      <c r="AA3877" s="8" t="e">
        <f>+VLOOKUP(I3877,[1]SKU!$H$2:$I$97,2,0)</f>
        <v>#N/A</v>
      </c>
    </row>
    <row r="3878" spans="24:27">
      <c r="X3878" s="8" t="str">
        <f>+IFERROR(VLOOKUP(N3878,[1]Hoja1!$B$2:$F$52,4,0)*P3878,"")</f>
        <v/>
      </c>
      <c r="Y3878" s="8" t="e">
        <f>+VLOOKUP(M3878,[1]SKU!$B$3:$E$81,4,0)</f>
        <v>#N/A</v>
      </c>
      <c r="Z3878" s="8" t="str">
        <f t="shared" si="60"/>
        <v>FLEX</v>
      </c>
      <c r="AA3878" s="8" t="e">
        <f>+VLOOKUP(I3878,[1]SKU!$H$2:$I$97,2,0)</f>
        <v>#N/A</v>
      </c>
    </row>
    <row r="3879" spans="24:27">
      <c r="X3879" s="8" t="str">
        <f>+IFERROR(VLOOKUP(N3879,[1]Hoja1!$B$2:$F$52,4,0)*P3879,"")</f>
        <v/>
      </c>
      <c r="Y3879" s="8" t="e">
        <f>+VLOOKUP(M3879,[1]SKU!$B$3:$E$81,4,0)</f>
        <v>#N/A</v>
      </c>
      <c r="Z3879" s="8" t="str">
        <f t="shared" si="60"/>
        <v>FLEX</v>
      </c>
      <c r="AA3879" s="8" t="e">
        <f>+VLOOKUP(I3879,[1]SKU!$H$2:$I$97,2,0)</f>
        <v>#N/A</v>
      </c>
    </row>
    <row r="3880" spans="24:27">
      <c r="X3880" s="8" t="str">
        <f>+IFERROR(VLOOKUP(N3880,[1]Hoja1!$B$2:$F$52,4,0)*P3880,"")</f>
        <v/>
      </c>
      <c r="Y3880" s="8" t="e">
        <f>+VLOOKUP(M3880,[1]SKU!$B$3:$E$81,4,0)</f>
        <v>#N/A</v>
      </c>
      <c r="Z3880" s="8" t="str">
        <f t="shared" si="60"/>
        <v>FLEX</v>
      </c>
      <c r="AA3880" s="8" t="e">
        <f>+VLOOKUP(I3880,[1]SKU!$H$2:$I$97,2,0)</f>
        <v>#N/A</v>
      </c>
    </row>
    <row r="3881" spans="24:27">
      <c r="X3881" s="8" t="str">
        <f>+IFERROR(VLOOKUP(N3881,[1]Hoja1!$B$2:$F$52,4,0)*P3881,"")</f>
        <v/>
      </c>
      <c r="Y3881" s="8" t="e">
        <f>+VLOOKUP(M3881,[1]SKU!$B$3:$E$81,4,0)</f>
        <v>#N/A</v>
      </c>
      <c r="Z3881" s="8" t="str">
        <f t="shared" si="60"/>
        <v>FLEX</v>
      </c>
      <c r="AA3881" s="8" t="e">
        <f>+VLOOKUP(I3881,[1]SKU!$H$2:$I$97,2,0)</f>
        <v>#N/A</v>
      </c>
    </row>
    <row r="3882" spans="24:27">
      <c r="X3882" s="8" t="str">
        <f>+IFERROR(VLOOKUP(N3882,[1]Hoja1!$B$2:$F$52,4,0)*P3882,"")</f>
        <v/>
      </c>
      <c r="Y3882" s="8" t="e">
        <f>+VLOOKUP(M3882,[1]SKU!$B$3:$E$81,4,0)</f>
        <v>#N/A</v>
      </c>
      <c r="Z3882" s="8" t="str">
        <f t="shared" si="60"/>
        <v>FLEX</v>
      </c>
      <c r="AA3882" s="8" t="e">
        <f>+VLOOKUP(I3882,[1]SKU!$H$2:$I$97,2,0)</f>
        <v>#N/A</v>
      </c>
    </row>
    <row r="3883" spans="24:27">
      <c r="X3883" s="8" t="str">
        <f>+IFERROR(VLOOKUP(N3883,[1]Hoja1!$B$2:$F$52,4,0)*P3883,"")</f>
        <v/>
      </c>
      <c r="Y3883" s="8" t="e">
        <f>+VLOOKUP(M3883,[1]SKU!$B$3:$E$81,4,0)</f>
        <v>#N/A</v>
      </c>
      <c r="Z3883" s="8" t="str">
        <f t="shared" si="60"/>
        <v>FLEX</v>
      </c>
      <c r="AA3883" s="8" t="e">
        <f>+VLOOKUP(I3883,[1]SKU!$H$2:$I$97,2,0)</f>
        <v>#N/A</v>
      </c>
    </row>
    <row r="3884" spans="24:27">
      <c r="X3884" s="8" t="str">
        <f>+IFERROR(VLOOKUP(N3884,[1]Hoja1!$B$2:$F$52,4,0)*P3884,"")</f>
        <v/>
      </c>
      <c r="Y3884" s="8" t="e">
        <f>+VLOOKUP(M3884,[1]SKU!$B$3:$E$81,4,0)</f>
        <v>#N/A</v>
      </c>
      <c r="Z3884" s="8" t="str">
        <f t="shared" si="60"/>
        <v>FLEX</v>
      </c>
      <c r="AA3884" s="8" t="e">
        <f>+VLOOKUP(I3884,[1]SKU!$H$2:$I$97,2,0)</f>
        <v>#N/A</v>
      </c>
    </row>
    <row r="3885" spans="24:27">
      <c r="X3885" s="8" t="str">
        <f>+IFERROR(VLOOKUP(N3885,[1]Hoja1!$B$2:$F$52,4,0)*P3885,"")</f>
        <v/>
      </c>
      <c r="Y3885" s="8" t="e">
        <f>+VLOOKUP(M3885,[1]SKU!$B$3:$E$81,4,0)</f>
        <v>#N/A</v>
      </c>
      <c r="Z3885" s="8" t="str">
        <f t="shared" si="60"/>
        <v>FLEX</v>
      </c>
      <c r="AA3885" s="8" t="e">
        <f>+VLOOKUP(I3885,[1]SKU!$H$2:$I$97,2,0)</f>
        <v>#N/A</v>
      </c>
    </row>
    <row r="3886" spans="24:27">
      <c r="X3886" s="8" t="str">
        <f>+IFERROR(VLOOKUP(N3886,[1]Hoja1!$B$2:$F$52,4,0)*P3886,"")</f>
        <v/>
      </c>
      <c r="Y3886" s="8" t="e">
        <f>+VLOOKUP(M3886,[1]SKU!$B$3:$E$81,4,0)</f>
        <v>#N/A</v>
      </c>
      <c r="Z3886" s="8" t="str">
        <f t="shared" si="60"/>
        <v>FLEX</v>
      </c>
      <c r="AA3886" s="8" t="e">
        <f>+VLOOKUP(I3886,[1]SKU!$H$2:$I$97,2,0)</f>
        <v>#N/A</v>
      </c>
    </row>
    <row r="3887" spans="24:27">
      <c r="X3887" s="8" t="str">
        <f>+IFERROR(VLOOKUP(N3887,[1]Hoja1!$B$2:$F$52,4,0)*P3887,"")</f>
        <v/>
      </c>
      <c r="Y3887" s="8" t="e">
        <f>+VLOOKUP(M3887,[1]SKU!$B$3:$E$81,4,0)</f>
        <v>#N/A</v>
      </c>
      <c r="Z3887" s="8" t="str">
        <f t="shared" si="60"/>
        <v>FLEX</v>
      </c>
      <c r="AA3887" s="8" t="e">
        <f>+VLOOKUP(I3887,[1]SKU!$H$2:$I$97,2,0)</f>
        <v>#N/A</v>
      </c>
    </row>
    <row r="3888" spans="24:27">
      <c r="X3888" s="8" t="str">
        <f>+IFERROR(VLOOKUP(N3888,[1]Hoja1!$B$2:$F$52,4,0)*P3888,"")</f>
        <v/>
      </c>
      <c r="Y3888" s="8" t="e">
        <f>+VLOOKUP(M3888,[1]SKU!$B$3:$E$81,4,0)</f>
        <v>#N/A</v>
      </c>
      <c r="Z3888" s="8" t="str">
        <f t="shared" si="60"/>
        <v>FLEX</v>
      </c>
      <c r="AA3888" s="8" t="e">
        <f>+VLOOKUP(I3888,[1]SKU!$H$2:$I$97,2,0)</f>
        <v>#N/A</v>
      </c>
    </row>
    <row r="3889" spans="24:27">
      <c r="X3889" s="8" t="str">
        <f>+IFERROR(VLOOKUP(N3889,[1]Hoja1!$B$2:$F$52,4,0)*P3889,"")</f>
        <v/>
      </c>
      <c r="Y3889" s="8" t="e">
        <f>+VLOOKUP(M3889,[1]SKU!$B$3:$E$81,4,0)</f>
        <v>#N/A</v>
      </c>
      <c r="Z3889" s="8" t="str">
        <f t="shared" si="60"/>
        <v>FLEX</v>
      </c>
      <c r="AA3889" s="8" t="e">
        <f>+VLOOKUP(I3889,[1]SKU!$H$2:$I$97,2,0)</f>
        <v>#N/A</v>
      </c>
    </row>
    <row r="3890" spans="24:27">
      <c r="X3890" s="8" t="str">
        <f>+IFERROR(VLOOKUP(N3890,[1]Hoja1!$B$2:$F$52,4,0)*P3890,"")</f>
        <v/>
      </c>
      <c r="Y3890" s="8" t="e">
        <f>+VLOOKUP(M3890,[1]SKU!$B$3:$E$81,4,0)</f>
        <v>#N/A</v>
      </c>
      <c r="Z3890" s="8" t="str">
        <f t="shared" si="60"/>
        <v>FLEX</v>
      </c>
      <c r="AA3890" s="8" t="e">
        <f>+VLOOKUP(I3890,[1]SKU!$H$2:$I$97,2,0)</f>
        <v>#N/A</v>
      </c>
    </row>
    <row r="3891" spans="24:27">
      <c r="X3891" s="8" t="str">
        <f>+IFERROR(VLOOKUP(N3891,[1]Hoja1!$B$2:$F$52,4,0)*P3891,"")</f>
        <v/>
      </c>
      <c r="Y3891" s="8" t="e">
        <f>+VLOOKUP(M3891,[1]SKU!$B$3:$E$81,4,0)</f>
        <v>#N/A</v>
      </c>
      <c r="Z3891" s="8" t="str">
        <f t="shared" si="60"/>
        <v>FLEX</v>
      </c>
      <c r="AA3891" s="8" t="e">
        <f>+VLOOKUP(I3891,[1]SKU!$H$2:$I$97,2,0)</f>
        <v>#N/A</v>
      </c>
    </row>
    <row r="3892" spans="24:27">
      <c r="X3892" s="8" t="str">
        <f>+IFERROR(VLOOKUP(N3892,[1]Hoja1!$B$2:$F$52,4,0)*P3892,"")</f>
        <v/>
      </c>
      <c r="Y3892" s="8" t="e">
        <f>+VLOOKUP(M3892,[1]SKU!$B$3:$E$81,4,0)</f>
        <v>#N/A</v>
      </c>
      <c r="Z3892" s="8" t="str">
        <f t="shared" si="60"/>
        <v>FLEX</v>
      </c>
      <c r="AA3892" s="8" t="e">
        <f>+VLOOKUP(I3892,[1]SKU!$H$2:$I$97,2,0)</f>
        <v>#N/A</v>
      </c>
    </row>
    <row r="3893" spans="24:27">
      <c r="X3893" s="8" t="str">
        <f>+IFERROR(VLOOKUP(N3893,[1]Hoja1!$B$2:$F$52,4,0)*P3893,"")</f>
        <v/>
      </c>
      <c r="Y3893" s="8" t="e">
        <f>+VLOOKUP(M3893,[1]SKU!$B$3:$E$81,4,0)</f>
        <v>#N/A</v>
      </c>
      <c r="Z3893" s="8" t="str">
        <f t="shared" si="60"/>
        <v>FLEX</v>
      </c>
      <c r="AA3893" s="8" t="e">
        <f>+VLOOKUP(I3893,[1]SKU!$H$2:$I$97,2,0)</f>
        <v>#N/A</v>
      </c>
    </row>
    <row r="3894" spans="24:27">
      <c r="X3894" s="8" t="str">
        <f>+IFERROR(VLOOKUP(N3894,[1]Hoja1!$B$2:$F$52,4,0)*P3894,"")</f>
        <v/>
      </c>
      <c r="Y3894" s="8" t="e">
        <f>+VLOOKUP(M3894,[1]SKU!$B$3:$E$81,4,0)</f>
        <v>#N/A</v>
      </c>
      <c r="Z3894" s="8" t="str">
        <f t="shared" si="60"/>
        <v>FLEX</v>
      </c>
      <c r="AA3894" s="8" t="e">
        <f>+VLOOKUP(I3894,[1]SKU!$H$2:$I$97,2,0)</f>
        <v>#N/A</v>
      </c>
    </row>
    <row r="3895" spans="24:27">
      <c r="X3895" s="8" t="str">
        <f>+IFERROR(VLOOKUP(N3895,[1]Hoja1!$B$2:$F$52,4,0)*P3895,"")</f>
        <v/>
      </c>
      <c r="Y3895" s="8" t="e">
        <f>+VLOOKUP(M3895,[1]SKU!$B$3:$E$81,4,0)</f>
        <v>#N/A</v>
      </c>
      <c r="Z3895" s="8" t="str">
        <f t="shared" si="60"/>
        <v>FLEX</v>
      </c>
      <c r="AA3895" s="8" t="e">
        <f>+VLOOKUP(I3895,[1]SKU!$H$2:$I$97,2,0)</f>
        <v>#N/A</v>
      </c>
    </row>
    <row r="3896" spans="24:27">
      <c r="X3896" s="8" t="str">
        <f>+IFERROR(VLOOKUP(N3896,[1]Hoja1!$B$2:$F$52,4,0)*P3896,"")</f>
        <v/>
      </c>
      <c r="Y3896" s="8" t="e">
        <f>+VLOOKUP(M3896,[1]SKU!$B$3:$E$81,4,0)</f>
        <v>#N/A</v>
      </c>
      <c r="Z3896" s="8" t="str">
        <f t="shared" si="60"/>
        <v>FLEX</v>
      </c>
      <c r="AA3896" s="8" t="e">
        <f>+VLOOKUP(I3896,[1]SKU!$H$2:$I$97,2,0)</f>
        <v>#N/A</v>
      </c>
    </row>
    <row r="3897" spans="24:27">
      <c r="X3897" s="8" t="str">
        <f>+IFERROR(VLOOKUP(N3897,[1]Hoja1!$B$2:$F$52,4,0)*P3897,"")</f>
        <v/>
      </c>
      <c r="Y3897" s="8" t="e">
        <f>+VLOOKUP(M3897,[1]SKU!$B$3:$E$81,4,0)</f>
        <v>#N/A</v>
      </c>
      <c r="Z3897" s="8" t="str">
        <f t="shared" si="60"/>
        <v>FLEX</v>
      </c>
      <c r="AA3897" s="8" t="e">
        <f>+VLOOKUP(I3897,[1]SKU!$H$2:$I$97,2,0)</f>
        <v>#N/A</v>
      </c>
    </row>
    <row r="3898" spans="24:27">
      <c r="X3898" s="8" t="str">
        <f>+IFERROR(VLOOKUP(N3898,[1]Hoja1!$B$2:$F$52,4,0)*P3898,"")</f>
        <v/>
      </c>
      <c r="Y3898" s="8" t="e">
        <f>+VLOOKUP(M3898,[1]SKU!$B$3:$E$81,4,0)</f>
        <v>#N/A</v>
      </c>
      <c r="Z3898" s="8" t="str">
        <f t="shared" si="60"/>
        <v>FLEX</v>
      </c>
      <c r="AA3898" s="8" t="e">
        <f>+VLOOKUP(I3898,[1]SKU!$H$2:$I$97,2,0)</f>
        <v>#N/A</v>
      </c>
    </row>
    <row r="3899" spans="24:27">
      <c r="X3899" s="8" t="str">
        <f>+IFERROR(VLOOKUP(N3899,[1]Hoja1!$B$2:$F$52,4,0)*P3899,"")</f>
        <v/>
      </c>
      <c r="Y3899" s="8" t="e">
        <f>+VLOOKUP(M3899,[1]SKU!$B$3:$E$81,4,0)</f>
        <v>#N/A</v>
      </c>
      <c r="Z3899" s="8" t="str">
        <f t="shared" si="60"/>
        <v>FLEX</v>
      </c>
      <c r="AA3899" s="8" t="e">
        <f>+VLOOKUP(I3899,[1]SKU!$H$2:$I$97,2,0)</f>
        <v>#N/A</v>
      </c>
    </row>
    <row r="3900" spans="24:27">
      <c r="X3900" s="8" t="str">
        <f>+IFERROR(VLOOKUP(N3900,[1]Hoja1!$B$2:$F$52,4,0)*P3900,"")</f>
        <v/>
      </c>
      <c r="Y3900" s="8" t="e">
        <f>+VLOOKUP(M3900,[1]SKU!$B$3:$E$81,4,0)</f>
        <v>#N/A</v>
      </c>
      <c r="Z3900" s="8" t="str">
        <f t="shared" si="60"/>
        <v>FLEX</v>
      </c>
      <c r="AA3900" s="8" t="e">
        <f>+VLOOKUP(I3900,[1]SKU!$H$2:$I$97,2,0)</f>
        <v>#N/A</v>
      </c>
    </row>
    <row r="3901" spans="24:27">
      <c r="X3901" s="8" t="str">
        <f>+IFERROR(VLOOKUP(N3901,[1]Hoja1!$B$2:$F$52,4,0)*P3901,"")</f>
        <v/>
      </c>
      <c r="Y3901" s="8" t="e">
        <f>+VLOOKUP(M3901,[1]SKU!$B$3:$E$81,4,0)</f>
        <v>#N/A</v>
      </c>
      <c r="Z3901" s="8" t="str">
        <f t="shared" si="60"/>
        <v>FLEX</v>
      </c>
      <c r="AA3901" s="8" t="e">
        <f>+VLOOKUP(I3901,[1]SKU!$H$2:$I$97,2,0)</f>
        <v>#N/A</v>
      </c>
    </row>
    <row r="3902" spans="24:27">
      <c r="X3902" s="8" t="str">
        <f>+IFERROR(VLOOKUP(N3902,[1]Hoja1!$B$2:$F$52,4,0)*P3902,"")</f>
        <v/>
      </c>
      <c r="Y3902" s="8" t="e">
        <f>+VLOOKUP(M3902,[1]SKU!$B$3:$E$81,4,0)</f>
        <v>#N/A</v>
      </c>
      <c r="Z3902" s="8" t="str">
        <f t="shared" si="60"/>
        <v>FLEX</v>
      </c>
      <c r="AA3902" s="8" t="e">
        <f>+VLOOKUP(I3902,[1]SKU!$H$2:$I$97,2,0)</f>
        <v>#N/A</v>
      </c>
    </row>
    <row r="3903" spans="24:27">
      <c r="X3903" s="8" t="str">
        <f>+IFERROR(VLOOKUP(N3903,[1]Hoja1!$B$2:$F$52,4,0)*P3903,"")</f>
        <v/>
      </c>
      <c r="Y3903" s="8" t="e">
        <f>+VLOOKUP(M3903,[1]SKU!$B$3:$E$81,4,0)</f>
        <v>#N/A</v>
      </c>
      <c r="Z3903" s="8" t="str">
        <f t="shared" si="60"/>
        <v>FLEX</v>
      </c>
      <c r="AA3903" s="8" t="e">
        <f>+VLOOKUP(I3903,[1]SKU!$H$2:$I$97,2,0)</f>
        <v>#N/A</v>
      </c>
    </row>
    <row r="3904" spans="24:27">
      <c r="X3904" s="8" t="str">
        <f>+IFERROR(VLOOKUP(N3904,[1]Hoja1!$B$2:$F$52,4,0)*P3904,"")</f>
        <v/>
      </c>
      <c r="Y3904" s="8" t="e">
        <f>+VLOOKUP(M3904,[1]SKU!$B$3:$E$81,4,0)</f>
        <v>#N/A</v>
      </c>
      <c r="Z3904" s="8" t="str">
        <f t="shared" si="60"/>
        <v>FLEX</v>
      </c>
      <c r="AA3904" s="8" t="e">
        <f>+VLOOKUP(I3904,[1]SKU!$H$2:$I$97,2,0)</f>
        <v>#N/A</v>
      </c>
    </row>
    <row r="3905" spans="24:27">
      <c r="X3905" s="8" t="str">
        <f>+IFERROR(VLOOKUP(N3905,[1]Hoja1!$B$2:$F$52,4,0)*P3905,"")</f>
        <v/>
      </c>
      <c r="Y3905" s="8" t="e">
        <f>+VLOOKUP(M3905,[1]SKU!$B$3:$E$81,4,0)</f>
        <v>#N/A</v>
      </c>
      <c r="Z3905" s="8" t="str">
        <f t="shared" si="60"/>
        <v>FLEX</v>
      </c>
      <c r="AA3905" s="8" t="e">
        <f>+VLOOKUP(I3905,[1]SKU!$H$2:$I$97,2,0)</f>
        <v>#N/A</v>
      </c>
    </row>
    <row r="3906" spans="24:27">
      <c r="X3906" s="8" t="str">
        <f>+IFERROR(VLOOKUP(N3906,[1]Hoja1!$B$2:$F$52,4,0)*P3906,"")</f>
        <v/>
      </c>
      <c r="Y3906" s="8" t="e">
        <f>+VLOOKUP(M3906,[1]SKU!$B$3:$E$81,4,0)</f>
        <v>#N/A</v>
      </c>
      <c r="Z3906" s="8" t="str">
        <f t="shared" si="60"/>
        <v>FLEX</v>
      </c>
      <c r="AA3906" s="8" t="e">
        <f>+VLOOKUP(I3906,[1]SKU!$H$2:$I$97,2,0)</f>
        <v>#N/A</v>
      </c>
    </row>
    <row r="3907" spans="24:27">
      <c r="X3907" s="8" t="str">
        <f>+IFERROR(VLOOKUP(N3907,[1]Hoja1!$B$2:$F$52,4,0)*P3907,"")</f>
        <v/>
      </c>
      <c r="Y3907" s="8" t="e">
        <f>+VLOOKUP(M3907,[1]SKU!$B$3:$E$81,4,0)</f>
        <v>#N/A</v>
      </c>
      <c r="Z3907" s="8" t="str">
        <f t="shared" ref="Z3907:Z3970" si="61">+IF(J3907="VB01                          ","BEES","FLEX")</f>
        <v>FLEX</v>
      </c>
      <c r="AA3907" s="8" t="e">
        <f>+VLOOKUP(I3907,[1]SKU!$H$2:$I$97,2,0)</f>
        <v>#N/A</v>
      </c>
    </row>
    <row r="3908" spans="24:27">
      <c r="X3908" s="8" t="str">
        <f>+IFERROR(VLOOKUP(N3908,[1]Hoja1!$B$2:$F$52,4,0)*P3908,"")</f>
        <v/>
      </c>
      <c r="Y3908" s="8" t="e">
        <f>+VLOOKUP(M3908,[1]SKU!$B$3:$E$81,4,0)</f>
        <v>#N/A</v>
      </c>
      <c r="Z3908" s="8" t="str">
        <f t="shared" si="61"/>
        <v>FLEX</v>
      </c>
      <c r="AA3908" s="8" t="e">
        <f>+VLOOKUP(I3908,[1]SKU!$H$2:$I$97,2,0)</f>
        <v>#N/A</v>
      </c>
    </row>
    <row r="3909" spans="24:27">
      <c r="X3909" s="8" t="str">
        <f>+IFERROR(VLOOKUP(N3909,[1]Hoja1!$B$2:$F$52,4,0)*P3909,"")</f>
        <v/>
      </c>
      <c r="Y3909" s="8" t="e">
        <f>+VLOOKUP(M3909,[1]SKU!$B$3:$E$81,4,0)</f>
        <v>#N/A</v>
      </c>
      <c r="Z3909" s="8" t="str">
        <f t="shared" si="61"/>
        <v>FLEX</v>
      </c>
      <c r="AA3909" s="8" t="e">
        <f>+VLOOKUP(I3909,[1]SKU!$H$2:$I$97,2,0)</f>
        <v>#N/A</v>
      </c>
    </row>
    <row r="3910" spans="24:27">
      <c r="X3910" s="8" t="str">
        <f>+IFERROR(VLOOKUP(N3910,[1]Hoja1!$B$2:$F$52,4,0)*P3910,"")</f>
        <v/>
      </c>
      <c r="Y3910" s="8" t="e">
        <f>+VLOOKUP(M3910,[1]SKU!$B$3:$E$81,4,0)</f>
        <v>#N/A</v>
      </c>
      <c r="Z3910" s="8" t="str">
        <f t="shared" si="61"/>
        <v>FLEX</v>
      </c>
      <c r="AA3910" s="8" t="e">
        <f>+VLOOKUP(I3910,[1]SKU!$H$2:$I$97,2,0)</f>
        <v>#N/A</v>
      </c>
    </row>
    <row r="3911" spans="24:27">
      <c r="X3911" s="8" t="str">
        <f>+IFERROR(VLOOKUP(N3911,[1]Hoja1!$B$2:$F$52,4,0)*P3911,"")</f>
        <v/>
      </c>
      <c r="Y3911" s="8" t="e">
        <f>+VLOOKUP(M3911,[1]SKU!$B$3:$E$81,4,0)</f>
        <v>#N/A</v>
      </c>
      <c r="Z3911" s="8" t="str">
        <f t="shared" si="61"/>
        <v>FLEX</v>
      </c>
      <c r="AA3911" s="8" t="e">
        <f>+VLOOKUP(I3911,[1]SKU!$H$2:$I$97,2,0)</f>
        <v>#N/A</v>
      </c>
    </row>
    <row r="3912" spans="24:27">
      <c r="X3912" s="8" t="str">
        <f>+IFERROR(VLOOKUP(N3912,[1]Hoja1!$B$2:$F$52,4,0)*P3912,"")</f>
        <v/>
      </c>
      <c r="Y3912" s="8" t="e">
        <f>+VLOOKUP(M3912,[1]SKU!$B$3:$E$81,4,0)</f>
        <v>#N/A</v>
      </c>
      <c r="Z3912" s="8" t="str">
        <f t="shared" si="61"/>
        <v>FLEX</v>
      </c>
      <c r="AA3912" s="8" t="e">
        <f>+VLOOKUP(I3912,[1]SKU!$H$2:$I$97,2,0)</f>
        <v>#N/A</v>
      </c>
    </row>
    <row r="3913" spans="24:27">
      <c r="X3913" s="8" t="str">
        <f>+IFERROR(VLOOKUP(N3913,[1]Hoja1!$B$2:$F$52,4,0)*P3913,"")</f>
        <v/>
      </c>
      <c r="Y3913" s="8" t="e">
        <f>+VLOOKUP(M3913,[1]SKU!$B$3:$E$81,4,0)</f>
        <v>#N/A</v>
      </c>
      <c r="Z3913" s="8" t="str">
        <f t="shared" si="61"/>
        <v>FLEX</v>
      </c>
      <c r="AA3913" s="8" t="e">
        <f>+VLOOKUP(I3913,[1]SKU!$H$2:$I$97,2,0)</f>
        <v>#N/A</v>
      </c>
    </row>
    <row r="3914" spans="24:27">
      <c r="X3914" s="8" t="str">
        <f>+IFERROR(VLOOKUP(N3914,[1]Hoja1!$B$2:$F$52,4,0)*P3914,"")</f>
        <v/>
      </c>
      <c r="Y3914" s="8" t="e">
        <f>+VLOOKUP(M3914,[1]SKU!$B$3:$E$81,4,0)</f>
        <v>#N/A</v>
      </c>
      <c r="Z3914" s="8" t="str">
        <f t="shared" si="61"/>
        <v>FLEX</v>
      </c>
      <c r="AA3914" s="8" t="e">
        <f>+VLOOKUP(I3914,[1]SKU!$H$2:$I$97,2,0)</f>
        <v>#N/A</v>
      </c>
    </row>
    <row r="3915" spans="24:27">
      <c r="X3915" s="8" t="str">
        <f>+IFERROR(VLOOKUP(N3915,[1]Hoja1!$B$2:$F$52,4,0)*P3915,"")</f>
        <v/>
      </c>
      <c r="Y3915" s="8" t="e">
        <f>+VLOOKUP(M3915,[1]SKU!$B$3:$E$81,4,0)</f>
        <v>#N/A</v>
      </c>
      <c r="Z3915" s="8" t="str">
        <f t="shared" si="61"/>
        <v>FLEX</v>
      </c>
      <c r="AA3915" s="8" t="e">
        <f>+VLOOKUP(I3915,[1]SKU!$H$2:$I$97,2,0)</f>
        <v>#N/A</v>
      </c>
    </row>
    <row r="3916" spans="24:27">
      <c r="X3916" s="8" t="str">
        <f>+IFERROR(VLOOKUP(N3916,[1]Hoja1!$B$2:$F$52,4,0)*P3916,"")</f>
        <v/>
      </c>
      <c r="Y3916" s="8" t="e">
        <f>+VLOOKUP(M3916,[1]SKU!$B$3:$E$81,4,0)</f>
        <v>#N/A</v>
      </c>
      <c r="Z3916" s="8" t="str">
        <f t="shared" si="61"/>
        <v>FLEX</v>
      </c>
      <c r="AA3916" s="8" t="e">
        <f>+VLOOKUP(I3916,[1]SKU!$H$2:$I$97,2,0)</f>
        <v>#N/A</v>
      </c>
    </row>
    <row r="3917" spans="24:27">
      <c r="X3917" s="8" t="str">
        <f>+IFERROR(VLOOKUP(N3917,[1]Hoja1!$B$2:$F$52,4,0)*P3917,"")</f>
        <v/>
      </c>
      <c r="Y3917" s="8" t="e">
        <f>+VLOOKUP(M3917,[1]SKU!$B$3:$E$81,4,0)</f>
        <v>#N/A</v>
      </c>
      <c r="Z3917" s="8" t="str">
        <f t="shared" si="61"/>
        <v>FLEX</v>
      </c>
      <c r="AA3917" s="8" t="e">
        <f>+VLOOKUP(I3917,[1]SKU!$H$2:$I$97,2,0)</f>
        <v>#N/A</v>
      </c>
    </row>
    <row r="3918" spans="24:27">
      <c r="X3918" s="8" t="str">
        <f>+IFERROR(VLOOKUP(N3918,[1]Hoja1!$B$2:$F$52,4,0)*P3918,"")</f>
        <v/>
      </c>
      <c r="Y3918" s="8" t="e">
        <f>+VLOOKUP(M3918,[1]SKU!$B$3:$E$81,4,0)</f>
        <v>#N/A</v>
      </c>
      <c r="Z3918" s="8" t="str">
        <f t="shared" si="61"/>
        <v>FLEX</v>
      </c>
      <c r="AA3918" s="8" t="e">
        <f>+VLOOKUP(I3918,[1]SKU!$H$2:$I$97,2,0)</f>
        <v>#N/A</v>
      </c>
    </row>
    <row r="3919" spans="24:27">
      <c r="X3919" s="8" t="str">
        <f>+IFERROR(VLOOKUP(N3919,[1]Hoja1!$B$2:$F$52,4,0)*P3919,"")</f>
        <v/>
      </c>
      <c r="Y3919" s="8" t="e">
        <f>+VLOOKUP(M3919,[1]SKU!$B$3:$E$81,4,0)</f>
        <v>#N/A</v>
      </c>
      <c r="Z3919" s="8" t="str">
        <f t="shared" si="61"/>
        <v>FLEX</v>
      </c>
      <c r="AA3919" s="8" t="e">
        <f>+VLOOKUP(I3919,[1]SKU!$H$2:$I$97,2,0)</f>
        <v>#N/A</v>
      </c>
    </row>
    <row r="3920" spans="24:27">
      <c r="X3920" s="8" t="str">
        <f>+IFERROR(VLOOKUP(N3920,[1]Hoja1!$B$2:$F$52,4,0)*P3920,"")</f>
        <v/>
      </c>
      <c r="Y3920" s="8" t="e">
        <f>+VLOOKUP(M3920,[1]SKU!$B$3:$E$81,4,0)</f>
        <v>#N/A</v>
      </c>
      <c r="Z3920" s="8" t="str">
        <f t="shared" si="61"/>
        <v>FLEX</v>
      </c>
      <c r="AA3920" s="8" t="e">
        <f>+VLOOKUP(I3920,[1]SKU!$H$2:$I$97,2,0)</f>
        <v>#N/A</v>
      </c>
    </row>
    <row r="3921" spans="24:27">
      <c r="X3921" s="8" t="str">
        <f>+IFERROR(VLOOKUP(N3921,[1]Hoja1!$B$2:$F$52,4,0)*P3921,"")</f>
        <v/>
      </c>
      <c r="Y3921" s="8" t="e">
        <f>+VLOOKUP(M3921,[1]SKU!$B$3:$E$81,4,0)</f>
        <v>#N/A</v>
      </c>
      <c r="Z3921" s="8" t="str">
        <f t="shared" si="61"/>
        <v>FLEX</v>
      </c>
      <c r="AA3921" s="8" t="e">
        <f>+VLOOKUP(I3921,[1]SKU!$H$2:$I$97,2,0)</f>
        <v>#N/A</v>
      </c>
    </row>
    <row r="3922" spans="24:27">
      <c r="X3922" s="8" t="str">
        <f>+IFERROR(VLOOKUP(N3922,[1]Hoja1!$B$2:$F$52,4,0)*P3922,"")</f>
        <v/>
      </c>
      <c r="Y3922" s="8" t="e">
        <f>+VLOOKUP(M3922,[1]SKU!$B$3:$E$81,4,0)</f>
        <v>#N/A</v>
      </c>
      <c r="Z3922" s="8" t="str">
        <f t="shared" si="61"/>
        <v>FLEX</v>
      </c>
      <c r="AA3922" s="8" t="e">
        <f>+VLOOKUP(I3922,[1]SKU!$H$2:$I$97,2,0)</f>
        <v>#N/A</v>
      </c>
    </row>
    <row r="3923" spans="24:27">
      <c r="X3923" s="8" t="str">
        <f>+IFERROR(VLOOKUP(N3923,[1]Hoja1!$B$2:$F$52,4,0)*P3923,"")</f>
        <v/>
      </c>
      <c r="Y3923" s="8" t="e">
        <f>+VLOOKUP(M3923,[1]SKU!$B$3:$E$81,4,0)</f>
        <v>#N/A</v>
      </c>
      <c r="Z3923" s="8" t="str">
        <f t="shared" si="61"/>
        <v>FLEX</v>
      </c>
      <c r="AA3923" s="8" t="e">
        <f>+VLOOKUP(I3923,[1]SKU!$H$2:$I$97,2,0)</f>
        <v>#N/A</v>
      </c>
    </row>
    <row r="3924" spans="24:27">
      <c r="X3924" s="8" t="str">
        <f>+IFERROR(VLOOKUP(N3924,[1]Hoja1!$B$2:$F$52,4,0)*P3924,"")</f>
        <v/>
      </c>
      <c r="Y3924" s="8" t="e">
        <f>+VLOOKUP(M3924,[1]SKU!$B$3:$E$81,4,0)</f>
        <v>#N/A</v>
      </c>
      <c r="Z3924" s="8" t="str">
        <f t="shared" si="61"/>
        <v>FLEX</v>
      </c>
      <c r="AA3924" s="8" t="e">
        <f>+VLOOKUP(I3924,[1]SKU!$H$2:$I$97,2,0)</f>
        <v>#N/A</v>
      </c>
    </row>
    <row r="3925" spans="24:27">
      <c r="X3925" s="8" t="str">
        <f>+IFERROR(VLOOKUP(N3925,[1]Hoja1!$B$2:$F$52,4,0)*P3925,"")</f>
        <v/>
      </c>
      <c r="Y3925" s="8" t="e">
        <f>+VLOOKUP(M3925,[1]SKU!$B$3:$E$81,4,0)</f>
        <v>#N/A</v>
      </c>
      <c r="Z3925" s="8" t="str">
        <f t="shared" si="61"/>
        <v>FLEX</v>
      </c>
      <c r="AA3925" s="8" t="e">
        <f>+VLOOKUP(I3925,[1]SKU!$H$2:$I$97,2,0)</f>
        <v>#N/A</v>
      </c>
    </row>
    <row r="3926" spans="24:27">
      <c r="X3926" s="8" t="str">
        <f>+IFERROR(VLOOKUP(N3926,[1]Hoja1!$B$2:$F$52,4,0)*P3926,"")</f>
        <v/>
      </c>
      <c r="Y3926" s="8" t="e">
        <f>+VLOOKUP(M3926,[1]SKU!$B$3:$E$81,4,0)</f>
        <v>#N/A</v>
      </c>
      <c r="Z3926" s="8" t="str">
        <f t="shared" si="61"/>
        <v>FLEX</v>
      </c>
      <c r="AA3926" s="8" t="e">
        <f>+VLOOKUP(I3926,[1]SKU!$H$2:$I$97,2,0)</f>
        <v>#N/A</v>
      </c>
    </row>
    <row r="3927" spans="24:27">
      <c r="X3927" s="8" t="str">
        <f>+IFERROR(VLOOKUP(N3927,[1]Hoja1!$B$2:$F$52,4,0)*P3927,"")</f>
        <v/>
      </c>
      <c r="Y3927" s="8" t="e">
        <f>+VLOOKUP(M3927,[1]SKU!$B$3:$E$81,4,0)</f>
        <v>#N/A</v>
      </c>
      <c r="Z3927" s="8" t="str">
        <f t="shared" si="61"/>
        <v>FLEX</v>
      </c>
      <c r="AA3927" s="8" t="e">
        <f>+VLOOKUP(I3927,[1]SKU!$H$2:$I$97,2,0)</f>
        <v>#N/A</v>
      </c>
    </row>
    <row r="3928" spans="24:27">
      <c r="X3928" s="8" t="str">
        <f>+IFERROR(VLOOKUP(N3928,[1]Hoja1!$B$2:$F$52,4,0)*P3928,"")</f>
        <v/>
      </c>
      <c r="Y3928" s="8" t="e">
        <f>+VLOOKUP(M3928,[1]SKU!$B$3:$E$81,4,0)</f>
        <v>#N/A</v>
      </c>
      <c r="Z3928" s="8" t="str">
        <f t="shared" si="61"/>
        <v>FLEX</v>
      </c>
      <c r="AA3928" s="8" t="e">
        <f>+VLOOKUP(I3928,[1]SKU!$H$2:$I$97,2,0)</f>
        <v>#N/A</v>
      </c>
    </row>
    <row r="3929" spans="24:27">
      <c r="X3929" s="8" t="str">
        <f>+IFERROR(VLOOKUP(N3929,[1]Hoja1!$B$2:$F$52,4,0)*P3929,"")</f>
        <v/>
      </c>
      <c r="Y3929" s="8" t="e">
        <f>+VLOOKUP(M3929,[1]SKU!$B$3:$E$81,4,0)</f>
        <v>#N/A</v>
      </c>
      <c r="Z3929" s="8" t="str">
        <f t="shared" si="61"/>
        <v>FLEX</v>
      </c>
      <c r="AA3929" s="8" t="e">
        <f>+VLOOKUP(I3929,[1]SKU!$H$2:$I$97,2,0)</f>
        <v>#N/A</v>
      </c>
    </row>
    <row r="3930" spans="24:27">
      <c r="X3930" s="8" t="str">
        <f>+IFERROR(VLOOKUP(N3930,[1]Hoja1!$B$2:$F$52,4,0)*P3930,"")</f>
        <v/>
      </c>
      <c r="Y3930" s="8" t="e">
        <f>+VLOOKUP(M3930,[1]SKU!$B$3:$E$81,4,0)</f>
        <v>#N/A</v>
      </c>
      <c r="Z3930" s="8" t="str">
        <f t="shared" si="61"/>
        <v>FLEX</v>
      </c>
      <c r="AA3930" s="8" t="e">
        <f>+VLOOKUP(I3930,[1]SKU!$H$2:$I$97,2,0)</f>
        <v>#N/A</v>
      </c>
    </row>
    <row r="3931" spans="24:27">
      <c r="X3931" s="8" t="str">
        <f>+IFERROR(VLOOKUP(N3931,[1]Hoja1!$B$2:$F$52,4,0)*P3931,"")</f>
        <v/>
      </c>
      <c r="Y3931" s="8" t="e">
        <f>+VLOOKUP(M3931,[1]SKU!$B$3:$E$81,4,0)</f>
        <v>#N/A</v>
      </c>
      <c r="Z3931" s="8" t="str">
        <f t="shared" si="61"/>
        <v>FLEX</v>
      </c>
      <c r="AA3931" s="8" t="e">
        <f>+VLOOKUP(I3931,[1]SKU!$H$2:$I$97,2,0)</f>
        <v>#N/A</v>
      </c>
    </row>
    <row r="3932" spans="24:27">
      <c r="X3932" s="8" t="str">
        <f>+IFERROR(VLOOKUP(N3932,[1]Hoja1!$B$2:$F$52,4,0)*P3932,"")</f>
        <v/>
      </c>
      <c r="Y3932" s="8" t="e">
        <f>+VLOOKUP(M3932,[1]SKU!$B$3:$E$81,4,0)</f>
        <v>#N/A</v>
      </c>
      <c r="Z3932" s="8" t="str">
        <f t="shared" si="61"/>
        <v>FLEX</v>
      </c>
      <c r="AA3932" s="8" t="e">
        <f>+VLOOKUP(I3932,[1]SKU!$H$2:$I$97,2,0)</f>
        <v>#N/A</v>
      </c>
    </row>
    <row r="3933" spans="24:27">
      <c r="X3933" s="8" t="str">
        <f>+IFERROR(VLOOKUP(N3933,[1]Hoja1!$B$2:$F$52,4,0)*P3933,"")</f>
        <v/>
      </c>
      <c r="Y3933" s="8" t="e">
        <f>+VLOOKUP(M3933,[1]SKU!$B$3:$E$81,4,0)</f>
        <v>#N/A</v>
      </c>
      <c r="Z3933" s="8" t="str">
        <f t="shared" si="61"/>
        <v>FLEX</v>
      </c>
      <c r="AA3933" s="8" t="e">
        <f>+VLOOKUP(I3933,[1]SKU!$H$2:$I$97,2,0)</f>
        <v>#N/A</v>
      </c>
    </row>
    <row r="3934" spans="24:27">
      <c r="X3934" s="8" t="str">
        <f>+IFERROR(VLOOKUP(N3934,[1]Hoja1!$B$2:$F$52,4,0)*P3934,"")</f>
        <v/>
      </c>
      <c r="Y3934" s="8" t="e">
        <f>+VLOOKUP(M3934,[1]SKU!$B$3:$E$81,4,0)</f>
        <v>#N/A</v>
      </c>
      <c r="Z3934" s="8" t="str">
        <f t="shared" si="61"/>
        <v>FLEX</v>
      </c>
      <c r="AA3934" s="8" t="e">
        <f>+VLOOKUP(I3934,[1]SKU!$H$2:$I$97,2,0)</f>
        <v>#N/A</v>
      </c>
    </row>
    <row r="3935" spans="24:27">
      <c r="X3935" s="8" t="str">
        <f>+IFERROR(VLOOKUP(N3935,[1]Hoja1!$B$2:$F$52,4,0)*P3935,"")</f>
        <v/>
      </c>
      <c r="Y3935" s="8" t="e">
        <f>+VLOOKUP(M3935,[1]SKU!$B$3:$E$81,4,0)</f>
        <v>#N/A</v>
      </c>
      <c r="Z3935" s="8" t="str">
        <f t="shared" si="61"/>
        <v>FLEX</v>
      </c>
      <c r="AA3935" s="8" t="e">
        <f>+VLOOKUP(I3935,[1]SKU!$H$2:$I$97,2,0)</f>
        <v>#N/A</v>
      </c>
    </row>
    <row r="3936" spans="24:27">
      <c r="X3936" s="8" t="str">
        <f>+IFERROR(VLOOKUP(N3936,[1]Hoja1!$B$2:$F$52,4,0)*P3936,"")</f>
        <v/>
      </c>
      <c r="Y3936" s="8" t="e">
        <f>+VLOOKUP(M3936,[1]SKU!$B$3:$E$81,4,0)</f>
        <v>#N/A</v>
      </c>
      <c r="Z3936" s="8" t="str">
        <f t="shared" si="61"/>
        <v>FLEX</v>
      </c>
      <c r="AA3936" s="8" t="e">
        <f>+VLOOKUP(I3936,[1]SKU!$H$2:$I$97,2,0)</f>
        <v>#N/A</v>
      </c>
    </row>
    <row r="3937" spans="24:27">
      <c r="X3937" s="8" t="str">
        <f>+IFERROR(VLOOKUP(N3937,[1]Hoja1!$B$2:$F$52,4,0)*P3937,"")</f>
        <v/>
      </c>
      <c r="Y3937" s="8" t="e">
        <f>+VLOOKUP(M3937,[1]SKU!$B$3:$E$81,4,0)</f>
        <v>#N/A</v>
      </c>
      <c r="Z3937" s="8" t="str">
        <f t="shared" si="61"/>
        <v>FLEX</v>
      </c>
      <c r="AA3937" s="8" t="e">
        <f>+VLOOKUP(I3937,[1]SKU!$H$2:$I$97,2,0)</f>
        <v>#N/A</v>
      </c>
    </row>
    <row r="3938" spans="24:27">
      <c r="X3938" s="8" t="str">
        <f>+IFERROR(VLOOKUP(N3938,[1]Hoja1!$B$2:$F$52,4,0)*P3938,"")</f>
        <v/>
      </c>
      <c r="Y3938" s="8" t="e">
        <f>+VLOOKUP(M3938,[1]SKU!$B$3:$E$81,4,0)</f>
        <v>#N/A</v>
      </c>
      <c r="Z3938" s="8" t="str">
        <f t="shared" si="61"/>
        <v>FLEX</v>
      </c>
      <c r="AA3938" s="8" t="e">
        <f>+VLOOKUP(I3938,[1]SKU!$H$2:$I$97,2,0)</f>
        <v>#N/A</v>
      </c>
    </row>
    <row r="3939" spans="24:27">
      <c r="X3939" s="8" t="str">
        <f>+IFERROR(VLOOKUP(N3939,[1]Hoja1!$B$2:$F$52,4,0)*P3939,"")</f>
        <v/>
      </c>
      <c r="Y3939" s="8" t="e">
        <f>+VLOOKUP(M3939,[1]SKU!$B$3:$E$81,4,0)</f>
        <v>#N/A</v>
      </c>
      <c r="Z3939" s="8" t="str">
        <f t="shared" si="61"/>
        <v>FLEX</v>
      </c>
      <c r="AA3939" s="8" t="e">
        <f>+VLOOKUP(I3939,[1]SKU!$H$2:$I$97,2,0)</f>
        <v>#N/A</v>
      </c>
    </row>
    <row r="3940" spans="24:27">
      <c r="X3940" s="8" t="str">
        <f>+IFERROR(VLOOKUP(N3940,[1]Hoja1!$B$2:$F$52,4,0)*P3940,"")</f>
        <v/>
      </c>
      <c r="Y3940" s="8" t="e">
        <f>+VLOOKUP(M3940,[1]SKU!$B$3:$E$81,4,0)</f>
        <v>#N/A</v>
      </c>
      <c r="Z3940" s="8" t="str">
        <f t="shared" si="61"/>
        <v>FLEX</v>
      </c>
      <c r="AA3940" s="8" t="e">
        <f>+VLOOKUP(I3940,[1]SKU!$H$2:$I$97,2,0)</f>
        <v>#N/A</v>
      </c>
    </row>
    <row r="3941" spans="24:27">
      <c r="X3941" s="8" t="str">
        <f>+IFERROR(VLOOKUP(N3941,[1]Hoja1!$B$2:$F$52,4,0)*P3941,"")</f>
        <v/>
      </c>
      <c r="Y3941" s="8" t="e">
        <f>+VLOOKUP(M3941,[1]SKU!$B$3:$E$81,4,0)</f>
        <v>#N/A</v>
      </c>
      <c r="Z3941" s="8" t="str">
        <f t="shared" si="61"/>
        <v>FLEX</v>
      </c>
      <c r="AA3941" s="8" t="e">
        <f>+VLOOKUP(I3941,[1]SKU!$H$2:$I$97,2,0)</f>
        <v>#N/A</v>
      </c>
    </row>
    <row r="3942" spans="24:27">
      <c r="X3942" s="8" t="str">
        <f>+IFERROR(VLOOKUP(N3942,[1]Hoja1!$B$2:$F$52,4,0)*P3942,"")</f>
        <v/>
      </c>
      <c r="Y3942" s="8" t="e">
        <f>+VLOOKUP(M3942,[1]SKU!$B$3:$E$81,4,0)</f>
        <v>#N/A</v>
      </c>
      <c r="Z3942" s="8" t="str">
        <f t="shared" si="61"/>
        <v>FLEX</v>
      </c>
      <c r="AA3942" s="8" t="e">
        <f>+VLOOKUP(I3942,[1]SKU!$H$2:$I$97,2,0)</f>
        <v>#N/A</v>
      </c>
    </row>
    <row r="3943" spans="24:27">
      <c r="X3943" s="8" t="str">
        <f>+IFERROR(VLOOKUP(N3943,[1]Hoja1!$B$2:$F$52,4,0)*P3943,"")</f>
        <v/>
      </c>
      <c r="Y3943" s="8" t="e">
        <f>+VLOOKUP(M3943,[1]SKU!$B$3:$E$81,4,0)</f>
        <v>#N/A</v>
      </c>
      <c r="Z3943" s="8" t="str">
        <f t="shared" si="61"/>
        <v>FLEX</v>
      </c>
      <c r="AA3943" s="8" t="e">
        <f>+VLOOKUP(I3943,[1]SKU!$H$2:$I$97,2,0)</f>
        <v>#N/A</v>
      </c>
    </row>
    <row r="3944" spans="24:27">
      <c r="X3944" s="8" t="str">
        <f>+IFERROR(VLOOKUP(N3944,[1]Hoja1!$B$2:$F$52,4,0)*P3944,"")</f>
        <v/>
      </c>
      <c r="Y3944" s="8" t="e">
        <f>+VLOOKUP(M3944,[1]SKU!$B$3:$E$81,4,0)</f>
        <v>#N/A</v>
      </c>
      <c r="Z3944" s="8" t="str">
        <f t="shared" si="61"/>
        <v>FLEX</v>
      </c>
      <c r="AA3944" s="8" t="e">
        <f>+VLOOKUP(I3944,[1]SKU!$H$2:$I$97,2,0)</f>
        <v>#N/A</v>
      </c>
    </row>
    <row r="3945" spans="24:27">
      <c r="X3945" s="8" t="str">
        <f>+IFERROR(VLOOKUP(N3945,[1]Hoja1!$B$2:$F$52,4,0)*P3945,"")</f>
        <v/>
      </c>
      <c r="Y3945" s="8" t="e">
        <f>+VLOOKUP(M3945,[1]SKU!$B$3:$E$81,4,0)</f>
        <v>#N/A</v>
      </c>
      <c r="Z3945" s="8" t="str">
        <f t="shared" si="61"/>
        <v>FLEX</v>
      </c>
      <c r="AA3945" s="8" t="e">
        <f>+VLOOKUP(I3945,[1]SKU!$H$2:$I$97,2,0)</f>
        <v>#N/A</v>
      </c>
    </row>
    <row r="3946" spans="24:27">
      <c r="X3946" s="8" t="str">
        <f>+IFERROR(VLOOKUP(N3946,[1]Hoja1!$B$2:$F$52,4,0)*P3946,"")</f>
        <v/>
      </c>
      <c r="Y3946" s="8" t="e">
        <f>+VLOOKUP(M3946,[1]SKU!$B$3:$E$81,4,0)</f>
        <v>#N/A</v>
      </c>
      <c r="Z3946" s="8" t="str">
        <f t="shared" si="61"/>
        <v>FLEX</v>
      </c>
      <c r="AA3946" s="8" t="e">
        <f>+VLOOKUP(I3946,[1]SKU!$H$2:$I$97,2,0)</f>
        <v>#N/A</v>
      </c>
    </row>
    <row r="3947" spans="24:27">
      <c r="X3947" s="8" t="str">
        <f>+IFERROR(VLOOKUP(N3947,[1]Hoja1!$B$2:$F$52,4,0)*P3947,"")</f>
        <v/>
      </c>
      <c r="Y3947" s="8" t="e">
        <f>+VLOOKUP(M3947,[1]SKU!$B$3:$E$81,4,0)</f>
        <v>#N/A</v>
      </c>
      <c r="Z3947" s="8" t="str">
        <f t="shared" si="61"/>
        <v>FLEX</v>
      </c>
      <c r="AA3947" s="8" t="e">
        <f>+VLOOKUP(I3947,[1]SKU!$H$2:$I$97,2,0)</f>
        <v>#N/A</v>
      </c>
    </row>
    <row r="3948" spans="24:27">
      <c r="X3948" s="8" t="str">
        <f>+IFERROR(VLOOKUP(N3948,[1]Hoja1!$B$2:$F$52,4,0)*P3948,"")</f>
        <v/>
      </c>
      <c r="Y3948" s="8" t="e">
        <f>+VLOOKUP(M3948,[1]SKU!$B$3:$E$81,4,0)</f>
        <v>#N/A</v>
      </c>
      <c r="Z3948" s="8" t="str">
        <f t="shared" si="61"/>
        <v>FLEX</v>
      </c>
      <c r="AA3948" s="8" t="e">
        <f>+VLOOKUP(I3948,[1]SKU!$H$2:$I$97,2,0)</f>
        <v>#N/A</v>
      </c>
    </row>
    <row r="3949" spans="24:27">
      <c r="X3949" s="8" t="str">
        <f>+IFERROR(VLOOKUP(N3949,[1]Hoja1!$B$2:$F$52,4,0)*P3949,"")</f>
        <v/>
      </c>
      <c r="Y3949" s="8" t="e">
        <f>+VLOOKUP(M3949,[1]SKU!$B$3:$E$81,4,0)</f>
        <v>#N/A</v>
      </c>
      <c r="Z3949" s="8" t="str">
        <f t="shared" si="61"/>
        <v>FLEX</v>
      </c>
      <c r="AA3949" s="8" t="e">
        <f>+VLOOKUP(I3949,[1]SKU!$H$2:$I$97,2,0)</f>
        <v>#N/A</v>
      </c>
    </row>
    <row r="3950" spans="24:27">
      <c r="X3950" s="8" t="str">
        <f>+IFERROR(VLOOKUP(N3950,[1]Hoja1!$B$2:$F$52,4,0)*P3950,"")</f>
        <v/>
      </c>
      <c r="Y3950" s="8" t="e">
        <f>+VLOOKUP(M3950,[1]SKU!$B$3:$E$81,4,0)</f>
        <v>#N/A</v>
      </c>
      <c r="Z3950" s="8" t="str">
        <f t="shared" si="61"/>
        <v>FLEX</v>
      </c>
      <c r="AA3950" s="8" t="e">
        <f>+VLOOKUP(I3950,[1]SKU!$H$2:$I$97,2,0)</f>
        <v>#N/A</v>
      </c>
    </row>
    <row r="3951" spans="24:27">
      <c r="X3951" s="8" t="str">
        <f>+IFERROR(VLOOKUP(N3951,[1]Hoja1!$B$2:$F$52,4,0)*P3951,"")</f>
        <v/>
      </c>
      <c r="Y3951" s="8" t="e">
        <f>+VLOOKUP(M3951,[1]SKU!$B$3:$E$81,4,0)</f>
        <v>#N/A</v>
      </c>
      <c r="Z3951" s="8" t="str">
        <f t="shared" si="61"/>
        <v>FLEX</v>
      </c>
      <c r="AA3951" s="8" t="e">
        <f>+VLOOKUP(I3951,[1]SKU!$H$2:$I$97,2,0)</f>
        <v>#N/A</v>
      </c>
    </row>
    <row r="3952" spans="24:27">
      <c r="X3952" s="8" t="str">
        <f>+IFERROR(VLOOKUP(N3952,[1]Hoja1!$B$2:$F$52,4,0)*P3952,"")</f>
        <v/>
      </c>
      <c r="Y3952" s="8" t="e">
        <f>+VLOOKUP(M3952,[1]SKU!$B$3:$E$81,4,0)</f>
        <v>#N/A</v>
      </c>
      <c r="Z3952" s="8" t="str">
        <f t="shared" si="61"/>
        <v>FLEX</v>
      </c>
      <c r="AA3952" s="8" t="e">
        <f>+VLOOKUP(I3952,[1]SKU!$H$2:$I$97,2,0)</f>
        <v>#N/A</v>
      </c>
    </row>
    <row r="3953" spans="24:27">
      <c r="X3953" s="8" t="str">
        <f>+IFERROR(VLOOKUP(N3953,[1]Hoja1!$B$2:$F$52,4,0)*P3953,"")</f>
        <v/>
      </c>
      <c r="Y3953" s="8" t="e">
        <f>+VLOOKUP(M3953,[1]SKU!$B$3:$E$81,4,0)</f>
        <v>#N/A</v>
      </c>
      <c r="Z3953" s="8" t="str">
        <f t="shared" si="61"/>
        <v>FLEX</v>
      </c>
      <c r="AA3953" s="8" t="e">
        <f>+VLOOKUP(I3953,[1]SKU!$H$2:$I$97,2,0)</f>
        <v>#N/A</v>
      </c>
    </row>
    <row r="3954" spans="24:27">
      <c r="X3954" s="8" t="str">
        <f>+IFERROR(VLOOKUP(N3954,[1]Hoja1!$B$2:$F$52,4,0)*P3954,"")</f>
        <v/>
      </c>
      <c r="Y3954" s="8" t="e">
        <f>+VLOOKUP(M3954,[1]SKU!$B$3:$E$81,4,0)</f>
        <v>#N/A</v>
      </c>
      <c r="Z3954" s="8" t="str">
        <f t="shared" si="61"/>
        <v>FLEX</v>
      </c>
      <c r="AA3954" s="8" t="e">
        <f>+VLOOKUP(I3954,[1]SKU!$H$2:$I$97,2,0)</f>
        <v>#N/A</v>
      </c>
    </row>
    <row r="3955" spans="24:27">
      <c r="X3955" s="8" t="str">
        <f>+IFERROR(VLOOKUP(N3955,[1]Hoja1!$B$2:$F$52,4,0)*P3955,"")</f>
        <v/>
      </c>
      <c r="Y3955" s="8" t="e">
        <f>+VLOOKUP(M3955,[1]SKU!$B$3:$E$81,4,0)</f>
        <v>#N/A</v>
      </c>
      <c r="Z3955" s="8" t="str">
        <f t="shared" si="61"/>
        <v>FLEX</v>
      </c>
      <c r="AA3955" s="8" t="e">
        <f>+VLOOKUP(I3955,[1]SKU!$H$2:$I$97,2,0)</f>
        <v>#N/A</v>
      </c>
    </row>
    <row r="3956" spans="24:27">
      <c r="X3956" s="8" t="str">
        <f>+IFERROR(VLOOKUP(N3956,[1]Hoja1!$B$2:$F$52,4,0)*P3956,"")</f>
        <v/>
      </c>
      <c r="Y3956" s="8" t="e">
        <f>+VLOOKUP(M3956,[1]SKU!$B$3:$E$81,4,0)</f>
        <v>#N/A</v>
      </c>
      <c r="Z3956" s="8" t="str">
        <f t="shared" si="61"/>
        <v>FLEX</v>
      </c>
      <c r="AA3956" s="8" t="e">
        <f>+VLOOKUP(I3956,[1]SKU!$H$2:$I$97,2,0)</f>
        <v>#N/A</v>
      </c>
    </row>
    <row r="3957" spans="24:27">
      <c r="X3957" s="8" t="str">
        <f>+IFERROR(VLOOKUP(N3957,[1]Hoja1!$B$2:$F$52,4,0)*P3957,"")</f>
        <v/>
      </c>
      <c r="Y3957" s="8" t="e">
        <f>+VLOOKUP(M3957,[1]SKU!$B$3:$E$81,4,0)</f>
        <v>#N/A</v>
      </c>
      <c r="Z3957" s="8" t="str">
        <f t="shared" si="61"/>
        <v>FLEX</v>
      </c>
      <c r="AA3957" s="8" t="e">
        <f>+VLOOKUP(I3957,[1]SKU!$H$2:$I$97,2,0)</f>
        <v>#N/A</v>
      </c>
    </row>
    <row r="3958" spans="24:27">
      <c r="X3958" s="8" t="str">
        <f>+IFERROR(VLOOKUP(N3958,[1]Hoja1!$B$2:$F$52,4,0)*P3958,"")</f>
        <v/>
      </c>
      <c r="Y3958" s="8" t="e">
        <f>+VLOOKUP(M3958,[1]SKU!$B$3:$E$81,4,0)</f>
        <v>#N/A</v>
      </c>
      <c r="Z3958" s="8" t="str">
        <f t="shared" si="61"/>
        <v>FLEX</v>
      </c>
      <c r="AA3958" s="8" t="e">
        <f>+VLOOKUP(I3958,[1]SKU!$H$2:$I$97,2,0)</f>
        <v>#N/A</v>
      </c>
    </row>
    <row r="3959" spans="24:27">
      <c r="X3959" s="8" t="str">
        <f>+IFERROR(VLOOKUP(N3959,[1]Hoja1!$B$2:$F$52,4,0)*P3959,"")</f>
        <v/>
      </c>
      <c r="Y3959" s="8" t="e">
        <f>+VLOOKUP(M3959,[1]SKU!$B$3:$E$81,4,0)</f>
        <v>#N/A</v>
      </c>
      <c r="Z3959" s="8" t="str">
        <f t="shared" si="61"/>
        <v>FLEX</v>
      </c>
      <c r="AA3959" s="8" t="e">
        <f>+VLOOKUP(I3959,[1]SKU!$H$2:$I$97,2,0)</f>
        <v>#N/A</v>
      </c>
    </row>
    <row r="3960" spans="24:27">
      <c r="X3960" s="8" t="str">
        <f>+IFERROR(VLOOKUP(N3960,[1]Hoja1!$B$2:$F$52,4,0)*P3960,"")</f>
        <v/>
      </c>
      <c r="Y3960" s="8" t="e">
        <f>+VLOOKUP(M3960,[1]SKU!$B$3:$E$81,4,0)</f>
        <v>#N/A</v>
      </c>
      <c r="Z3960" s="8" t="str">
        <f t="shared" si="61"/>
        <v>FLEX</v>
      </c>
      <c r="AA3960" s="8" t="e">
        <f>+VLOOKUP(I3960,[1]SKU!$H$2:$I$97,2,0)</f>
        <v>#N/A</v>
      </c>
    </row>
    <row r="3961" spans="24:27">
      <c r="X3961" s="8" t="str">
        <f>+IFERROR(VLOOKUP(N3961,[1]Hoja1!$B$2:$F$52,4,0)*P3961,"")</f>
        <v/>
      </c>
      <c r="Y3961" s="8" t="e">
        <f>+VLOOKUP(M3961,[1]SKU!$B$3:$E$81,4,0)</f>
        <v>#N/A</v>
      </c>
      <c r="Z3961" s="8" t="str">
        <f t="shared" si="61"/>
        <v>FLEX</v>
      </c>
      <c r="AA3961" s="8" t="e">
        <f>+VLOOKUP(I3961,[1]SKU!$H$2:$I$97,2,0)</f>
        <v>#N/A</v>
      </c>
    </row>
    <row r="3962" spans="24:27">
      <c r="X3962" s="8" t="str">
        <f>+IFERROR(VLOOKUP(N3962,[1]Hoja1!$B$2:$F$52,4,0)*P3962,"")</f>
        <v/>
      </c>
      <c r="Y3962" s="8" t="e">
        <f>+VLOOKUP(M3962,[1]SKU!$B$3:$E$81,4,0)</f>
        <v>#N/A</v>
      </c>
      <c r="Z3962" s="8" t="str">
        <f t="shared" si="61"/>
        <v>FLEX</v>
      </c>
      <c r="AA3962" s="8" t="e">
        <f>+VLOOKUP(I3962,[1]SKU!$H$2:$I$97,2,0)</f>
        <v>#N/A</v>
      </c>
    </row>
    <row r="3963" spans="24:27">
      <c r="X3963" s="8" t="str">
        <f>+IFERROR(VLOOKUP(N3963,[1]Hoja1!$B$2:$F$52,4,0)*P3963,"")</f>
        <v/>
      </c>
      <c r="Y3963" s="8" t="e">
        <f>+VLOOKUP(M3963,[1]SKU!$B$3:$E$81,4,0)</f>
        <v>#N/A</v>
      </c>
      <c r="Z3963" s="8" t="str">
        <f t="shared" si="61"/>
        <v>FLEX</v>
      </c>
      <c r="AA3963" s="8" t="e">
        <f>+VLOOKUP(I3963,[1]SKU!$H$2:$I$97,2,0)</f>
        <v>#N/A</v>
      </c>
    </row>
    <row r="3964" spans="24:27">
      <c r="X3964" s="8" t="str">
        <f>+IFERROR(VLOOKUP(N3964,[1]Hoja1!$B$2:$F$52,4,0)*P3964,"")</f>
        <v/>
      </c>
      <c r="Y3964" s="8" t="e">
        <f>+VLOOKUP(M3964,[1]SKU!$B$3:$E$81,4,0)</f>
        <v>#N/A</v>
      </c>
      <c r="Z3964" s="8" t="str">
        <f t="shared" si="61"/>
        <v>FLEX</v>
      </c>
      <c r="AA3964" s="8" t="e">
        <f>+VLOOKUP(I3964,[1]SKU!$H$2:$I$97,2,0)</f>
        <v>#N/A</v>
      </c>
    </row>
    <row r="3965" spans="24:27">
      <c r="X3965" s="8" t="str">
        <f>+IFERROR(VLOOKUP(N3965,[1]Hoja1!$B$2:$F$52,4,0)*P3965,"")</f>
        <v/>
      </c>
      <c r="Y3965" s="8" t="e">
        <f>+VLOOKUP(M3965,[1]SKU!$B$3:$E$81,4,0)</f>
        <v>#N/A</v>
      </c>
      <c r="Z3965" s="8" t="str">
        <f t="shared" si="61"/>
        <v>FLEX</v>
      </c>
      <c r="AA3965" s="8" t="e">
        <f>+VLOOKUP(I3965,[1]SKU!$H$2:$I$97,2,0)</f>
        <v>#N/A</v>
      </c>
    </row>
    <row r="3966" spans="24:27">
      <c r="X3966" s="8" t="str">
        <f>+IFERROR(VLOOKUP(N3966,[1]Hoja1!$B$2:$F$52,4,0)*P3966,"")</f>
        <v/>
      </c>
      <c r="Y3966" s="8" t="e">
        <f>+VLOOKUP(M3966,[1]SKU!$B$3:$E$81,4,0)</f>
        <v>#N/A</v>
      </c>
      <c r="Z3966" s="8" t="str">
        <f t="shared" si="61"/>
        <v>FLEX</v>
      </c>
      <c r="AA3966" s="8" t="e">
        <f>+VLOOKUP(I3966,[1]SKU!$H$2:$I$97,2,0)</f>
        <v>#N/A</v>
      </c>
    </row>
    <row r="3967" spans="24:27">
      <c r="X3967" s="8" t="str">
        <f>+IFERROR(VLOOKUP(N3967,[1]Hoja1!$B$2:$F$52,4,0)*P3967,"")</f>
        <v/>
      </c>
      <c r="Y3967" s="8" t="e">
        <f>+VLOOKUP(M3967,[1]SKU!$B$3:$E$81,4,0)</f>
        <v>#N/A</v>
      </c>
      <c r="Z3967" s="8" t="str">
        <f t="shared" si="61"/>
        <v>FLEX</v>
      </c>
      <c r="AA3967" s="8" t="e">
        <f>+VLOOKUP(I3967,[1]SKU!$H$2:$I$97,2,0)</f>
        <v>#N/A</v>
      </c>
    </row>
    <row r="3968" spans="24:27">
      <c r="X3968" s="8" t="str">
        <f>+IFERROR(VLOOKUP(N3968,[1]Hoja1!$B$2:$F$52,4,0)*P3968,"")</f>
        <v/>
      </c>
      <c r="Y3968" s="8" t="e">
        <f>+VLOOKUP(M3968,[1]SKU!$B$3:$E$81,4,0)</f>
        <v>#N/A</v>
      </c>
      <c r="Z3968" s="8" t="str">
        <f t="shared" si="61"/>
        <v>FLEX</v>
      </c>
      <c r="AA3968" s="8" t="e">
        <f>+VLOOKUP(I3968,[1]SKU!$H$2:$I$97,2,0)</f>
        <v>#N/A</v>
      </c>
    </row>
    <row r="3969" spans="24:27">
      <c r="X3969" s="8" t="str">
        <f>+IFERROR(VLOOKUP(N3969,[1]Hoja1!$B$2:$F$52,4,0)*P3969,"")</f>
        <v/>
      </c>
      <c r="Y3969" s="8" t="e">
        <f>+VLOOKUP(M3969,[1]SKU!$B$3:$E$81,4,0)</f>
        <v>#N/A</v>
      </c>
      <c r="Z3969" s="8" t="str">
        <f t="shared" si="61"/>
        <v>FLEX</v>
      </c>
      <c r="AA3969" s="8" t="e">
        <f>+VLOOKUP(I3969,[1]SKU!$H$2:$I$97,2,0)</f>
        <v>#N/A</v>
      </c>
    </row>
    <row r="3970" spans="24:27">
      <c r="X3970" s="8" t="str">
        <f>+IFERROR(VLOOKUP(N3970,[1]Hoja1!$B$2:$F$52,4,0)*P3970,"")</f>
        <v/>
      </c>
      <c r="Y3970" s="8" t="e">
        <f>+VLOOKUP(M3970,[1]SKU!$B$3:$E$81,4,0)</f>
        <v>#N/A</v>
      </c>
      <c r="Z3970" s="8" t="str">
        <f t="shared" si="61"/>
        <v>FLEX</v>
      </c>
      <c r="AA3970" s="8" t="e">
        <f>+VLOOKUP(I3970,[1]SKU!$H$2:$I$97,2,0)</f>
        <v>#N/A</v>
      </c>
    </row>
    <row r="3971" spans="24:27">
      <c r="X3971" s="8" t="str">
        <f>+IFERROR(VLOOKUP(N3971,[1]Hoja1!$B$2:$F$52,4,0)*P3971,"")</f>
        <v/>
      </c>
      <c r="Y3971" s="8" t="e">
        <f>+VLOOKUP(M3971,[1]SKU!$B$3:$E$81,4,0)</f>
        <v>#N/A</v>
      </c>
      <c r="Z3971" s="8" t="str">
        <f t="shared" ref="Z3971:Z4034" si="62">+IF(J3971="VB01                          ","BEES","FLEX")</f>
        <v>FLEX</v>
      </c>
      <c r="AA3971" s="8" t="e">
        <f>+VLOOKUP(I3971,[1]SKU!$H$2:$I$97,2,0)</f>
        <v>#N/A</v>
      </c>
    </row>
    <row r="3972" spans="24:27">
      <c r="X3972" s="8" t="str">
        <f>+IFERROR(VLOOKUP(N3972,[1]Hoja1!$B$2:$F$52,4,0)*P3972,"")</f>
        <v/>
      </c>
      <c r="Y3972" s="8" t="e">
        <f>+VLOOKUP(M3972,[1]SKU!$B$3:$E$81,4,0)</f>
        <v>#N/A</v>
      </c>
      <c r="Z3972" s="8" t="str">
        <f t="shared" si="62"/>
        <v>FLEX</v>
      </c>
      <c r="AA3972" s="8" t="e">
        <f>+VLOOKUP(I3972,[1]SKU!$H$2:$I$97,2,0)</f>
        <v>#N/A</v>
      </c>
    </row>
    <row r="3973" spans="24:27">
      <c r="X3973" s="8" t="str">
        <f>+IFERROR(VLOOKUP(N3973,[1]Hoja1!$B$2:$F$52,4,0)*P3973,"")</f>
        <v/>
      </c>
      <c r="Y3973" s="8" t="e">
        <f>+VLOOKUP(M3973,[1]SKU!$B$3:$E$81,4,0)</f>
        <v>#N/A</v>
      </c>
      <c r="Z3973" s="8" t="str">
        <f t="shared" si="62"/>
        <v>FLEX</v>
      </c>
      <c r="AA3973" s="8" t="e">
        <f>+VLOOKUP(I3973,[1]SKU!$H$2:$I$97,2,0)</f>
        <v>#N/A</v>
      </c>
    </row>
    <row r="3974" spans="24:27">
      <c r="X3974" s="8" t="str">
        <f>+IFERROR(VLOOKUP(N3974,[1]Hoja1!$B$2:$F$52,4,0)*P3974,"")</f>
        <v/>
      </c>
      <c r="Y3974" s="8" t="e">
        <f>+VLOOKUP(M3974,[1]SKU!$B$3:$E$81,4,0)</f>
        <v>#N/A</v>
      </c>
      <c r="Z3974" s="8" t="str">
        <f t="shared" si="62"/>
        <v>FLEX</v>
      </c>
      <c r="AA3974" s="8" t="e">
        <f>+VLOOKUP(I3974,[1]SKU!$H$2:$I$97,2,0)</f>
        <v>#N/A</v>
      </c>
    </row>
    <row r="3975" spans="24:27">
      <c r="X3975" s="8" t="str">
        <f>+IFERROR(VLOOKUP(N3975,[1]Hoja1!$B$2:$F$52,4,0)*P3975,"")</f>
        <v/>
      </c>
      <c r="Y3975" s="8" t="e">
        <f>+VLOOKUP(M3975,[1]SKU!$B$3:$E$81,4,0)</f>
        <v>#N/A</v>
      </c>
      <c r="Z3975" s="8" t="str">
        <f t="shared" si="62"/>
        <v>FLEX</v>
      </c>
      <c r="AA3975" s="8" t="e">
        <f>+VLOOKUP(I3975,[1]SKU!$H$2:$I$97,2,0)</f>
        <v>#N/A</v>
      </c>
    </row>
    <row r="3976" spans="24:27">
      <c r="X3976" s="8" t="str">
        <f>+IFERROR(VLOOKUP(N3976,[1]Hoja1!$B$2:$F$52,4,0)*P3976,"")</f>
        <v/>
      </c>
      <c r="Y3976" s="8" t="e">
        <f>+VLOOKUP(M3976,[1]SKU!$B$3:$E$81,4,0)</f>
        <v>#N/A</v>
      </c>
      <c r="Z3976" s="8" t="str">
        <f t="shared" si="62"/>
        <v>FLEX</v>
      </c>
      <c r="AA3976" s="8" t="e">
        <f>+VLOOKUP(I3976,[1]SKU!$H$2:$I$97,2,0)</f>
        <v>#N/A</v>
      </c>
    </row>
    <row r="3977" spans="24:27">
      <c r="X3977" s="8" t="str">
        <f>+IFERROR(VLOOKUP(N3977,[1]Hoja1!$B$2:$F$52,4,0)*P3977,"")</f>
        <v/>
      </c>
      <c r="Y3977" s="8" t="e">
        <f>+VLOOKUP(M3977,[1]SKU!$B$3:$E$81,4,0)</f>
        <v>#N/A</v>
      </c>
      <c r="Z3977" s="8" t="str">
        <f t="shared" si="62"/>
        <v>FLEX</v>
      </c>
      <c r="AA3977" s="8" t="e">
        <f>+VLOOKUP(I3977,[1]SKU!$H$2:$I$97,2,0)</f>
        <v>#N/A</v>
      </c>
    </row>
    <row r="3978" spans="24:27">
      <c r="X3978" s="8" t="str">
        <f>+IFERROR(VLOOKUP(N3978,[1]Hoja1!$B$2:$F$52,4,0)*P3978,"")</f>
        <v/>
      </c>
      <c r="Y3978" s="8" t="e">
        <f>+VLOOKUP(M3978,[1]SKU!$B$3:$E$81,4,0)</f>
        <v>#N/A</v>
      </c>
      <c r="Z3978" s="8" t="str">
        <f t="shared" si="62"/>
        <v>FLEX</v>
      </c>
      <c r="AA3978" s="8" t="e">
        <f>+VLOOKUP(I3978,[1]SKU!$H$2:$I$97,2,0)</f>
        <v>#N/A</v>
      </c>
    </row>
    <row r="3979" spans="24:27">
      <c r="X3979" s="8" t="str">
        <f>+IFERROR(VLOOKUP(N3979,[1]Hoja1!$B$2:$F$52,4,0)*P3979,"")</f>
        <v/>
      </c>
      <c r="Y3979" s="8" t="e">
        <f>+VLOOKUP(M3979,[1]SKU!$B$3:$E$81,4,0)</f>
        <v>#N/A</v>
      </c>
      <c r="Z3979" s="8" t="str">
        <f t="shared" si="62"/>
        <v>FLEX</v>
      </c>
      <c r="AA3979" s="8" t="e">
        <f>+VLOOKUP(I3979,[1]SKU!$H$2:$I$97,2,0)</f>
        <v>#N/A</v>
      </c>
    </row>
    <row r="3980" spans="24:27">
      <c r="X3980" s="8" t="str">
        <f>+IFERROR(VLOOKUP(N3980,[1]Hoja1!$B$2:$F$52,4,0)*P3980,"")</f>
        <v/>
      </c>
      <c r="Y3980" s="8" t="e">
        <f>+VLOOKUP(M3980,[1]SKU!$B$3:$E$81,4,0)</f>
        <v>#N/A</v>
      </c>
      <c r="Z3980" s="8" t="str">
        <f t="shared" si="62"/>
        <v>FLEX</v>
      </c>
      <c r="AA3980" s="8" t="e">
        <f>+VLOOKUP(I3980,[1]SKU!$H$2:$I$97,2,0)</f>
        <v>#N/A</v>
      </c>
    </row>
    <row r="3981" spans="24:27">
      <c r="X3981" s="8" t="str">
        <f>+IFERROR(VLOOKUP(N3981,[1]Hoja1!$B$2:$F$52,4,0)*P3981,"")</f>
        <v/>
      </c>
      <c r="Y3981" s="8" t="e">
        <f>+VLOOKUP(M3981,[1]SKU!$B$3:$E$81,4,0)</f>
        <v>#N/A</v>
      </c>
      <c r="Z3981" s="8" t="str">
        <f t="shared" si="62"/>
        <v>FLEX</v>
      </c>
      <c r="AA3981" s="8" t="e">
        <f>+VLOOKUP(I3981,[1]SKU!$H$2:$I$97,2,0)</f>
        <v>#N/A</v>
      </c>
    </row>
    <row r="3982" spans="24:27">
      <c r="X3982" s="8" t="str">
        <f>+IFERROR(VLOOKUP(N3982,[1]Hoja1!$B$2:$F$52,4,0)*P3982,"")</f>
        <v/>
      </c>
      <c r="Y3982" s="8" t="e">
        <f>+VLOOKUP(M3982,[1]SKU!$B$3:$E$81,4,0)</f>
        <v>#N/A</v>
      </c>
      <c r="Z3982" s="8" t="str">
        <f t="shared" si="62"/>
        <v>FLEX</v>
      </c>
      <c r="AA3982" s="8" t="e">
        <f>+VLOOKUP(I3982,[1]SKU!$H$2:$I$97,2,0)</f>
        <v>#N/A</v>
      </c>
    </row>
    <row r="3983" spans="24:27">
      <c r="X3983" s="8" t="str">
        <f>+IFERROR(VLOOKUP(N3983,[1]Hoja1!$B$2:$F$52,4,0)*P3983,"")</f>
        <v/>
      </c>
      <c r="Y3983" s="8" t="e">
        <f>+VLOOKUP(M3983,[1]SKU!$B$3:$E$81,4,0)</f>
        <v>#N/A</v>
      </c>
      <c r="Z3983" s="8" t="str">
        <f t="shared" si="62"/>
        <v>FLEX</v>
      </c>
      <c r="AA3983" s="8" t="e">
        <f>+VLOOKUP(I3983,[1]SKU!$H$2:$I$97,2,0)</f>
        <v>#N/A</v>
      </c>
    </row>
    <row r="3984" spans="24:27">
      <c r="X3984" s="8" t="str">
        <f>+IFERROR(VLOOKUP(N3984,[1]Hoja1!$B$2:$F$52,4,0)*P3984,"")</f>
        <v/>
      </c>
      <c r="Y3984" s="8" t="e">
        <f>+VLOOKUP(M3984,[1]SKU!$B$3:$E$81,4,0)</f>
        <v>#N/A</v>
      </c>
      <c r="Z3984" s="8" t="str">
        <f t="shared" si="62"/>
        <v>FLEX</v>
      </c>
      <c r="AA3984" s="8" t="e">
        <f>+VLOOKUP(I3984,[1]SKU!$H$2:$I$97,2,0)</f>
        <v>#N/A</v>
      </c>
    </row>
    <row r="3985" spans="24:27">
      <c r="X3985" s="8" t="str">
        <f>+IFERROR(VLOOKUP(N3985,[1]Hoja1!$B$2:$F$52,4,0)*P3985,"")</f>
        <v/>
      </c>
      <c r="Y3985" s="8" t="e">
        <f>+VLOOKUP(M3985,[1]SKU!$B$3:$E$81,4,0)</f>
        <v>#N/A</v>
      </c>
      <c r="Z3985" s="8" t="str">
        <f t="shared" si="62"/>
        <v>FLEX</v>
      </c>
      <c r="AA3985" s="8" t="e">
        <f>+VLOOKUP(I3985,[1]SKU!$H$2:$I$97,2,0)</f>
        <v>#N/A</v>
      </c>
    </row>
    <row r="3986" spans="24:27">
      <c r="X3986" s="8" t="str">
        <f>+IFERROR(VLOOKUP(N3986,[1]Hoja1!$B$2:$F$52,4,0)*P3986,"")</f>
        <v/>
      </c>
      <c r="Y3986" s="8" t="e">
        <f>+VLOOKUP(M3986,[1]SKU!$B$3:$E$81,4,0)</f>
        <v>#N/A</v>
      </c>
      <c r="Z3986" s="8" t="str">
        <f t="shared" si="62"/>
        <v>FLEX</v>
      </c>
      <c r="AA3986" s="8" t="e">
        <f>+VLOOKUP(I3986,[1]SKU!$H$2:$I$97,2,0)</f>
        <v>#N/A</v>
      </c>
    </row>
    <row r="3987" spans="24:27">
      <c r="X3987" s="8" t="str">
        <f>+IFERROR(VLOOKUP(N3987,[1]Hoja1!$B$2:$F$52,4,0)*P3987,"")</f>
        <v/>
      </c>
      <c r="Y3987" s="8" t="e">
        <f>+VLOOKUP(M3987,[1]SKU!$B$3:$E$81,4,0)</f>
        <v>#N/A</v>
      </c>
      <c r="Z3987" s="8" t="str">
        <f t="shared" si="62"/>
        <v>FLEX</v>
      </c>
      <c r="AA3987" s="8" t="e">
        <f>+VLOOKUP(I3987,[1]SKU!$H$2:$I$97,2,0)</f>
        <v>#N/A</v>
      </c>
    </row>
    <row r="3988" spans="24:27">
      <c r="X3988" s="8" t="str">
        <f>+IFERROR(VLOOKUP(N3988,[1]Hoja1!$B$2:$F$52,4,0)*P3988,"")</f>
        <v/>
      </c>
      <c r="Y3988" s="8" t="e">
        <f>+VLOOKUP(M3988,[1]SKU!$B$3:$E$81,4,0)</f>
        <v>#N/A</v>
      </c>
      <c r="Z3988" s="8" t="str">
        <f t="shared" si="62"/>
        <v>FLEX</v>
      </c>
      <c r="AA3988" s="8" t="e">
        <f>+VLOOKUP(I3988,[1]SKU!$H$2:$I$97,2,0)</f>
        <v>#N/A</v>
      </c>
    </row>
    <row r="3989" spans="24:27">
      <c r="X3989" s="8" t="str">
        <f>+IFERROR(VLOOKUP(N3989,[1]Hoja1!$B$2:$F$52,4,0)*P3989,"")</f>
        <v/>
      </c>
      <c r="Y3989" s="8" t="e">
        <f>+VLOOKUP(M3989,[1]SKU!$B$3:$E$81,4,0)</f>
        <v>#N/A</v>
      </c>
      <c r="Z3989" s="8" t="str">
        <f t="shared" si="62"/>
        <v>FLEX</v>
      </c>
      <c r="AA3989" s="8" t="e">
        <f>+VLOOKUP(I3989,[1]SKU!$H$2:$I$97,2,0)</f>
        <v>#N/A</v>
      </c>
    </row>
    <row r="3990" spans="24:27">
      <c r="X3990" s="8" t="str">
        <f>+IFERROR(VLOOKUP(N3990,[1]Hoja1!$B$2:$F$52,4,0)*P3990,"")</f>
        <v/>
      </c>
      <c r="Y3990" s="8" t="e">
        <f>+VLOOKUP(M3990,[1]SKU!$B$3:$E$81,4,0)</f>
        <v>#N/A</v>
      </c>
      <c r="Z3990" s="8" t="str">
        <f t="shared" si="62"/>
        <v>FLEX</v>
      </c>
      <c r="AA3990" s="8" t="e">
        <f>+VLOOKUP(I3990,[1]SKU!$H$2:$I$97,2,0)</f>
        <v>#N/A</v>
      </c>
    </row>
    <row r="3991" spans="24:27">
      <c r="X3991" s="8" t="str">
        <f>+IFERROR(VLOOKUP(N3991,[1]Hoja1!$B$2:$F$52,4,0)*P3991,"")</f>
        <v/>
      </c>
      <c r="Y3991" s="8" t="e">
        <f>+VLOOKUP(M3991,[1]SKU!$B$3:$E$81,4,0)</f>
        <v>#N/A</v>
      </c>
      <c r="Z3991" s="8" t="str">
        <f t="shared" si="62"/>
        <v>FLEX</v>
      </c>
      <c r="AA3991" s="8" t="e">
        <f>+VLOOKUP(I3991,[1]SKU!$H$2:$I$97,2,0)</f>
        <v>#N/A</v>
      </c>
    </row>
    <row r="3992" spans="24:27">
      <c r="X3992" s="8" t="str">
        <f>+IFERROR(VLOOKUP(N3992,[1]Hoja1!$B$2:$F$52,4,0)*P3992,"")</f>
        <v/>
      </c>
      <c r="Y3992" s="8" t="e">
        <f>+VLOOKUP(M3992,[1]SKU!$B$3:$E$81,4,0)</f>
        <v>#N/A</v>
      </c>
      <c r="Z3992" s="8" t="str">
        <f t="shared" si="62"/>
        <v>FLEX</v>
      </c>
      <c r="AA3992" s="8" t="e">
        <f>+VLOOKUP(I3992,[1]SKU!$H$2:$I$97,2,0)</f>
        <v>#N/A</v>
      </c>
    </row>
    <row r="3993" spans="24:27">
      <c r="X3993" s="8" t="str">
        <f>+IFERROR(VLOOKUP(N3993,[1]Hoja1!$B$2:$F$52,4,0)*P3993,"")</f>
        <v/>
      </c>
      <c r="Y3993" s="8" t="e">
        <f>+VLOOKUP(M3993,[1]SKU!$B$3:$E$81,4,0)</f>
        <v>#N/A</v>
      </c>
      <c r="Z3993" s="8" t="str">
        <f t="shared" si="62"/>
        <v>FLEX</v>
      </c>
      <c r="AA3993" s="8" t="e">
        <f>+VLOOKUP(I3993,[1]SKU!$H$2:$I$97,2,0)</f>
        <v>#N/A</v>
      </c>
    </row>
    <row r="3994" spans="24:27">
      <c r="X3994" s="8" t="str">
        <f>+IFERROR(VLOOKUP(N3994,[1]Hoja1!$B$2:$F$52,4,0)*P3994,"")</f>
        <v/>
      </c>
      <c r="Y3994" s="8" t="e">
        <f>+VLOOKUP(M3994,[1]SKU!$B$3:$E$81,4,0)</f>
        <v>#N/A</v>
      </c>
      <c r="Z3994" s="8" t="str">
        <f t="shared" si="62"/>
        <v>FLEX</v>
      </c>
      <c r="AA3994" s="8" t="e">
        <f>+VLOOKUP(I3994,[1]SKU!$H$2:$I$97,2,0)</f>
        <v>#N/A</v>
      </c>
    </row>
    <row r="3995" spans="24:27">
      <c r="X3995" s="8" t="str">
        <f>+IFERROR(VLOOKUP(N3995,[1]Hoja1!$B$2:$F$52,4,0)*P3995,"")</f>
        <v/>
      </c>
      <c r="Y3995" s="8" t="e">
        <f>+VLOOKUP(M3995,[1]SKU!$B$3:$E$81,4,0)</f>
        <v>#N/A</v>
      </c>
      <c r="Z3995" s="8" t="str">
        <f t="shared" si="62"/>
        <v>FLEX</v>
      </c>
      <c r="AA3995" s="8" t="e">
        <f>+VLOOKUP(I3995,[1]SKU!$H$2:$I$97,2,0)</f>
        <v>#N/A</v>
      </c>
    </row>
    <row r="3996" spans="24:27">
      <c r="X3996" s="8" t="str">
        <f>+IFERROR(VLOOKUP(N3996,[1]Hoja1!$B$2:$F$52,4,0)*P3996,"")</f>
        <v/>
      </c>
      <c r="Y3996" s="8" t="e">
        <f>+VLOOKUP(M3996,[1]SKU!$B$3:$E$81,4,0)</f>
        <v>#N/A</v>
      </c>
      <c r="Z3996" s="8" t="str">
        <f t="shared" si="62"/>
        <v>FLEX</v>
      </c>
      <c r="AA3996" s="8" t="e">
        <f>+VLOOKUP(I3996,[1]SKU!$H$2:$I$97,2,0)</f>
        <v>#N/A</v>
      </c>
    </row>
    <row r="3997" spans="24:27">
      <c r="X3997" s="8" t="str">
        <f>+IFERROR(VLOOKUP(N3997,[1]Hoja1!$B$2:$F$52,4,0)*P3997,"")</f>
        <v/>
      </c>
      <c r="Y3997" s="8" t="e">
        <f>+VLOOKUP(M3997,[1]SKU!$B$3:$E$81,4,0)</f>
        <v>#N/A</v>
      </c>
      <c r="Z3997" s="8" t="str">
        <f t="shared" si="62"/>
        <v>FLEX</v>
      </c>
      <c r="AA3997" s="8" t="e">
        <f>+VLOOKUP(I3997,[1]SKU!$H$2:$I$97,2,0)</f>
        <v>#N/A</v>
      </c>
    </row>
    <row r="3998" spans="24:27">
      <c r="X3998" s="8" t="str">
        <f>+IFERROR(VLOOKUP(N3998,[1]Hoja1!$B$2:$F$52,4,0)*P3998,"")</f>
        <v/>
      </c>
      <c r="Y3998" s="8" t="e">
        <f>+VLOOKUP(M3998,[1]SKU!$B$3:$E$81,4,0)</f>
        <v>#N/A</v>
      </c>
      <c r="Z3998" s="8" t="str">
        <f t="shared" si="62"/>
        <v>FLEX</v>
      </c>
      <c r="AA3998" s="8" t="e">
        <f>+VLOOKUP(I3998,[1]SKU!$H$2:$I$97,2,0)</f>
        <v>#N/A</v>
      </c>
    </row>
    <row r="3999" spans="24:27">
      <c r="X3999" s="8" t="str">
        <f>+IFERROR(VLOOKUP(N3999,[1]Hoja1!$B$2:$F$52,4,0)*P3999,"")</f>
        <v/>
      </c>
      <c r="Y3999" s="8" t="e">
        <f>+VLOOKUP(M3999,[1]SKU!$B$3:$E$81,4,0)</f>
        <v>#N/A</v>
      </c>
      <c r="Z3999" s="8" t="str">
        <f t="shared" si="62"/>
        <v>FLEX</v>
      </c>
      <c r="AA3999" s="8" t="e">
        <f>+VLOOKUP(I3999,[1]SKU!$H$2:$I$97,2,0)</f>
        <v>#N/A</v>
      </c>
    </row>
    <row r="4000" spans="24:27">
      <c r="X4000" s="8" t="str">
        <f>+IFERROR(VLOOKUP(N4000,[1]Hoja1!$B$2:$F$52,4,0)*P4000,"")</f>
        <v/>
      </c>
      <c r="Y4000" s="8" t="e">
        <f>+VLOOKUP(M4000,[1]SKU!$B$3:$E$81,4,0)</f>
        <v>#N/A</v>
      </c>
      <c r="Z4000" s="8" t="str">
        <f t="shared" si="62"/>
        <v>FLEX</v>
      </c>
      <c r="AA4000" s="8" t="e">
        <f>+VLOOKUP(I4000,[1]SKU!$H$2:$I$97,2,0)</f>
        <v>#N/A</v>
      </c>
    </row>
    <row r="4001" spans="24:27">
      <c r="X4001" s="8" t="str">
        <f>+IFERROR(VLOOKUP(N4001,[1]Hoja1!$B$2:$F$52,4,0)*P4001,"")</f>
        <v/>
      </c>
      <c r="Y4001" s="8" t="e">
        <f>+VLOOKUP(M4001,[1]SKU!$B$3:$E$81,4,0)</f>
        <v>#N/A</v>
      </c>
      <c r="Z4001" s="8" t="str">
        <f t="shared" si="62"/>
        <v>FLEX</v>
      </c>
      <c r="AA4001" s="8" t="e">
        <f>+VLOOKUP(I4001,[1]SKU!$H$2:$I$97,2,0)</f>
        <v>#N/A</v>
      </c>
    </row>
    <row r="4002" spans="24:27">
      <c r="X4002" s="8" t="str">
        <f>+IFERROR(VLOOKUP(N4002,[1]Hoja1!$B$2:$F$52,4,0)*P4002,"")</f>
        <v/>
      </c>
      <c r="Y4002" s="8" t="e">
        <f>+VLOOKUP(M4002,[1]SKU!$B$3:$E$81,4,0)</f>
        <v>#N/A</v>
      </c>
      <c r="Z4002" s="8" t="str">
        <f t="shared" si="62"/>
        <v>FLEX</v>
      </c>
      <c r="AA4002" s="8" t="e">
        <f>+VLOOKUP(I4002,[1]SKU!$H$2:$I$97,2,0)</f>
        <v>#N/A</v>
      </c>
    </row>
    <row r="4003" spans="24:27">
      <c r="X4003" s="8" t="str">
        <f>+IFERROR(VLOOKUP(N4003,[1]Hoja1!$B$2:$F$52,4,0)*P4003,"")</f>
        <v/>
      </c>
      <c r="Y4003" s="8" t="e">
        <f>+VLOOKUP(M4003,[1]SKU!$B$3:$E$81,4,0)</f>
        <v>#N/A</v>
      </c>
      <c r="Z4003" s="8" t="str">
        <f t="shared" si="62"/>
        <v>FLEX</v>
      </c>
      <c r="AA4003" s="8" t="e">
        <f>+VLOOKUP(I4003,[1]SKU!$H$2:$I$97,2,0)</f>
        <v>#N/A</v>
      </c>
    </row>
    <row r="4004" spans="24:27">
      <c r="X4004" s="8" t="str">
        <f>+IFERROR(VLOOKUP(N4004,[1]Hoja1!$B$2:$F$52,4,0)*P4004,"")</f>
        <v/>
      </c>
      <c r="Y4004" s="8" t="e">
        <f>+VLOOKUP(M4004,[1]SKU!$B$3:$E$81,4,0)</f>
        <v>#N/A</v>
      </c>
      <c r="Z4004" s="8" t="str">
        <f t="shared" si="62"/>
        <v>FLEX</v>
      </c>
      <c r="AA4004" s="8" t="e">
        <f>+VLOOKUP(I4004,[1]SKU!$H$2:$I$97,2,0)</f>
        <v>#N/A</v>
      </c>
    </row>
    <row r="4005" spans="24:27">
      <c r="X4005" s="8" t="str">
        <f>+IFERROR(VLOOKUP(N4005,[1]Hoja1!$B$2:$F$52,4,0)*P4005,"")</f>
        <v/>
      </c>
      <c r="Y4005" s="8" t="e">
        <f>+VLOOKUP(M4005,[1]SKU!$B$3:$E$81,4,0)</f>
        <v>#N/A</v>
      </c>
      <c r="Z4005" s="8" t="str">
        <f t="shared" si="62"/>
        <v>FLEX</v>
      </c>
      <c r="AA4005" s="8" t="e">
        <f>+VLOOKUP(I4005,[1]SKU!$H$2:$I$97,2,0)</f>
        <v>#N/A</v>
      </c>
    </row>
    <row r="4006" spans="24:27">
      <c r="X4006" s="8" t="str">
        <f>+IFERROR(VLOOKUP(N4006,[1]Hoja1!$B$2:$F$52,4,0)*P4006,"")</f>
        <v/>
      </c>
      <c r="Y4006" s="8" t="e">
        <f>+VLOOKUP(M4006,[1]SKU!$B$3:$E$81,4,0)</f>
        <v>#N/A</v>
      </c>
      <c r="Z4006" s="8" t="str">
        <f t="shared" si="62"/>
        <v>FLEX</v>
      </c>
      <c r="AA4006" s="8" t="e">
        <f>+VLOOKUP(I4006,[1]SKU!$H$2:$I$97,2,0)</f>
        <v>#N/A</v>
      </c>
    </row>
    <row r="4007" spans="24:27">
      <c r="X4007" s="8" t="str">
        <f>+IFERROR(VLOOKUP(N4007,[1]Hoja1!$B$2:$F$52,4,0)*P4007,"")</f>
        <v/>
      </c>
      <c r="Y4007" s="8" t="e">
        <f>+VLOOKUP(M4007,[1]SKU!$B$3:$E$81,4,0)</f>
        <v>#N/A</v>
      </c>
      <c r="Z4007" s="8" t="str">
        <f t="shared" si="62"/>
        <v>FLEX</v>
      </c>
      <c r="AA4007" s="8" t="e">
        <f>+VLOOKUP(I4007,[1]SKU!$H$2:$I$97,2,0)</f>
        <v>#N/A</v>
      </c>
    </row>
    <row r="4008" spans="24:27">
      <c r="X4008" s="8" t="str">
        <f>+IFERROR(VLOOKUP(N4008,[1]Hoja1!$B$2:$F$52,4,0)*P4008,"")</f>
        <v/>
      </c>
      <c r="Y4008" s="8" t="e">
        <f>+VLOOKUP(M4008,[1]SKU!$B$3:$E$81,4,0)</f>
        <v>#N/A</v>
      </c>
      <c r="Z4008" s="8" t="str">
        <f t="shared" si="62"/>
        <v>FLEX</v>
      </c>
      <c r="AA4008" s="8" t="e">
        <f>+VLOOKUP(I4008,[1]SKU!$H$2:$I$97,2,0)</f>
        <v>#N/A</v>
      </c>
    </row>
    <row r="4009" spans="24:27">
      <c r="X4009" s="8" t="str">
        <f>+IFERROR(VLOOKUP(N4009,[1]Hoja1!$B$2:$F$52,4,0)*P4009,"")</f>
        <v/>
      </c>
      <c r="Y4009" s="8" t="e">
        <f>+VLOOKUP(M4009,[1]SKU!$B$3:$E$81,4,0)</f>
        <v>#N/A</v>
      </c>
      <c r="Z4009" s="8" t="str">
        <f t="shared" si="62"/>
        <v>FLEX</v>
      </c>
      <c r="AA4009" s="8" t="e">
        <f>+VLOOKUP(I4009,[1]SKU!$H$2:$I$97,2,0)</f>
        <v>#N/A</v>
      </c>
    </row>
    <row r="4010" spans="24:27">
      <c r="X4010" s="8" t="str">
        <f>+IFERROR(VLOOKUP(N4010,[1]Hoja1!$B$2:$F$52,4,0)*P4010,"")</f>
        <v/>
      </c>
      <c r="Y4010" s="8" t="e">
        <f>+VLOOKUP(M4010,[1]SKU!$B$3:$E$81,4,0)</f>
        <v>#N/A</v>
      </c>
      <c r="Z4010" s="8" t="str">
        <f t="shared" si="62"/>
        <v>FLEX</v>
      </c>
      <c r="AA4010" s="8" t="e">
        <f>+VLOOKUP(I4010,[1]SKU!$H$2:$I$97,2,0)</f>
        <v>#N/A</v>
      </c>
    </row>
    <row r="4011" spans="24:27">
      <c r="X4011" s="8" t="str">
        <f>+IFERROR(VLOOKUP(N4011,[1]Hoja1!$B$2:$F$52,4,0)*P4011,"")</f>
        <v/>
      </c>
      <c r="Y4011" s="8" t="e">
        <f>+VLOOKUP(M4011,[1]SKU!$B$3:$E$81,4,0)</f>
        <v>#N/A</v>
      </c>
      <c r="Z4011" s="8" t="str">
        <f t="shared" si="62"/>
        <v>FLEX</v>
      </c>
      <c r="AA4011" s="8" t="e">
        <f>+VLOOKUP(I4011,[1]SKU!$H$2:$I$97,2,0)</f>
        <v>#N/A</v>
      </c>
    </row>
    <row r="4012" spans="24:27">
      <c r="X4012" s="8" t="str">
        <f>+IFERROR(VLOOKUP(N4012,[1]Hoja1!$B$2:$F$52,4,0)*P4012,"")</f>
        <v/>
      </c>
      <c r="Y4012" s="8" t="e">
        <f>+VLOOKUP(M4012,[1]SKU!$B$3:$E$81,4,0)</f>
        <v>#N/A</v>
      </c>
      <c r="Z4012" s="8" t="str">
        <f t="shared" si="62"/>
        <v>FLEX</v>
      </c>
      <c r="AA4012" s="8" t="e">
        <f>+VLOOKUP(I4012,[1]SKU!$H$2:$I$97,2,0)</f>
        <v>#N/A</v>
      </c>
    </row>
    <row r="4013" spans="24:27">
      <c r="X4013" s="8" t="str">
        <f>+IFERROR(VLOOKUP(N4013,[1]Hoja1!$B$2:$F$52,4,0)*P4013,"")</f>
        <v/>
      </c>
      <c r="Y4013" s="8" t="e">
        <f>+VLOOKUP(M4013,[1]SKU!$B$3:$E$81,4,0)</f>
        <v>#N/A</v>
      </c>
      <c r="Z4013" s="8" t="str">
        <f t="shared" si="62"/>
        <v>FLEX</v>
      </c>
      <c r="AA4013" s="8" t="e">
        <f>+VLOOKUP(I4013,[1]SKU!$H$2:$I$97,2,0)</f>
        <v>#N/A</v>
      </c>
    </row>
    <row r="4014" spans="24:27">
      <c r="X4014" s="8" t="str">
        <f>+IFERROR(VLOOKUP(N4014,[1]Hoja1!$B$2:$F$52,4,0)*P4014,"")</f>
        <v/>
      </c>
      <c r="Y4014" s="8" t="e">
        <f>+VLOOKUP(M4014,[1]SKU!$B$3:$E$81,4,0)</f>
        <v>#N/A</v>
      </c>
      <c r="Z4014" s="8" t="str">
        <f t="shared" si="62"/>
        <v>FLEX</v>
      </c>
      <c r="AA4014" s="8" t="e">
        <f>+VLOOKUP(I4014,[1]SKU!$H$2:$I$97,2,0)</f>
        <v>#N/A</v>
      </c>
    </row>
    <row r="4015" spans="24:27">
      <c r="X4015" s="8" t="str">
        <f>+IFERROR(VLOOKUP(N4015,[1]Hoja1!$B$2:$F$52,4,0)*P4015,"")</f>
        <v/>
      </c>
      <c r="Y4015" s="8" t="e">
        <f>+VLOOKUP(M4015,[1]SKU!$B$3:$E$81,4,0)</f>
        <v>#N/A</v>
      </c>
      <c r="Z4015" s="8" t="str">
        <f t="shared" si="62"/>
        <v>FLEX</v>
      </c>
      <c r="AA4015" s="8" t="e">
        <f>+VLOOKUP(I4015,[1]SKU!$H$2:$I$97,2,0)</f>
        <v>#N/A</v>
      </c>
    </row>
    <row r="4016" spans="24:27">
      <c r="X4016" s="8" t="str">
        <f>+IFERROR(VLOOKUP(N4016,[1]Hoja1!$B$2:$F$52,4,0)*P4016,"")</f>
        <v/>
      </c>
      <c r="Y4016" s="8" t="e">
        <f>+VLOOKUP(M4016,[1]SKU!$B$3:$E$81,4,0)</f>
        <v>#N/A</v>
      </c>
      <c r="Z4016" s="8" t="str">
        <f t="shared" si="62"/>
        <v>FLEX</v>
      </c>
      <c r="AA4016" s="8" t="e">
        <f>+VLOOKUP(I4016,[1]SKU!$H$2:$I$97,2,0)</f>
        <v>#N/A</v>
      </c>
    </row>
    <row r="4017" spans="24:27">
      <c r="X4017" s="8" t="str">
        <f>+IFERROR(VLOOKUP(N4017,[1]Hoja1!$B$2:$F$52,4,0)*P4017,"")</f>
        <v/>
      </c>
      <c r="Y4017" s="8" t="e">
        <f>+VLOOKUP(M4017,[1]SKU!$B$3:$E$81,4,0)</f>
        <v>#N/A</v>
      </c>
      <c r="Z4017" s="8" t="str">
        <f t="shared" si="62"/>
        <v>FLEX</v>
      </c>
      <c r="AA4017" s="8" t="e">
        <f>+VLOOKUP(I4017,[1]SKU!$H$2:$I$97,2,0)</f>
        <v>#N/A</v>
      </c>
    </row>
    <row r="4018" spans="24:27">
      <c r="X4018" s="8" t="str">
        <f>+IFERROR(VLOOKUP(N4018,[1]Hoja1!$B$2:$F$52,4,0)*P4018,"")</f>
        <v/>
      </c>
      <c r="Y4018" s="8" t="e">
        <f>+VLOOKUP(M4018,[1]SKU!$B$3:$E$81,4,0)</f>
        <v>#N/A</v>
      </c>
      <c r="Z4018" s="8" t="str">
        <f t="shared" si="62"/>
        <v>FLEX</v>
      </c>
      <c r="AA4018" s="8" t="e">
        <f>+VLOOKUP(I4018,[1]SKU!$H$2:$I$97,2,0)</f>
        <v>#N/A</v>
      </c>
    </row>
    <row r="4019" spans="24:27">
      <c r="X4019" s="8" t="str">
        <f>+IFERROR(VLOOKUP(N4019,[1]Hoja1!$B$2:$F$52,4,0)*P4019,"")</f>
        <v/>
      </c>
      <c r="Y4019" s="8" t="e">
        <f>+VLOOKUP(M4019,[1]SKU!$B$3:$E$81,4,0)</f>
        <v>#N/A</v>
      </c>
      <c r="Z4019" s="8" t="str">
        <f t="shared" si="62"/>
        <v>FLEX</v>
      </c>
      <c r="AA4019" s="8" t="e">
        <f>+VLOOKUP(I4019,[1]SKU!$H$2:$I$97,2,0)</f>
        <v>#N/A</v>
      </c>
    </row>
    <row r="4020" spans="24:27">
      <c r="X4020" s="8" t="str">
        <f>+IFERROR(VLOOKUP(N4020,[1]Hoja1!$B$2:$F$52,4,0)*P4020,"")</f>
        <v/>
      </c>
      <c r="Y4020" s="8" t="e">
        <f>+VLOOKUP(M4020,[1]SKU!$B$3:$E$81,4,0)</f>
        <v>#N/A</v>
      </c>
      <c r="Z4020" s="8" t="str">
        <f t="shared" si="62"/>
        <v>FLEX</v>
      </c>
      <c r="AA4020" s="8" t="e">
        <f>+VLOOKUP(I4020,[1]SKU!$H$2:$I$97,2,0)</f>
        <v>#N/A</v>
      </c>
    </row>
    <row r="4021" spans="24:27">
      <c r="X4021" s="8" t="str">
        <f>+IFERROR(VLOOKUP(N4021,[1]Hoja1!$B$2:$F$52,4,0)*P4021,"")</f>
        <v/>
      </c>
      <c r="Y4021" s="8" t="e">
        <f>+VLOOKUP(M4021,[1]SKU!$B$3:$E$81,4,0)</f>
        <v>#N/A</v>
      </c>
      <c r="Z4021" s="8" t="str">
        <f t="shared" si="62"/>
        <v>FLEX</v>
      </c>
      <c r="AA4021" s="8" t="e">
        <f>+VLOOKUP(I4021,[1]SKU!$H$2:$I$97,2,0)</f>
        <v>#N/A</v>
      </c>
    </row>
    <row r="4022" spans="24:27">
      <c r="X4022" s="8" t="str">
        <f>+IFERROR(VLOOKUP(N4022,[1]Hoja1!$B$2:$F$52,4,0)*P4022,"")</f>
        <v/>
      </c>
      <c r="Y4022" s="8" t="e">
        <f>+VLOOKUP(M4022,[1]SKU!$B$3:$E$81,4,0)</f>
        <v>#N/A</v>
      </c>
      <c r="Z4022" s="8" t="str">
        <f t="shared" si="62"/>
        <v>FLEX</v>
      </c>
      <c r="AA4022" s="8" t="e">
        <f>+VLOOKUP(I4022,[1]SKU!$H$2:$I$97,2,0)</f>
        <v>#N/A</v>
      </c>
    </row>
    <row r="4023" spans="24:27">
      <c r="X4023" s="8" t="str">
        <f>+IFERROR(VLOOKUP(N4023,[1]Hoja1!$B$2:$F$52,4,0)*P4023,"")</f>
        <v/>
      </c>
      <c r="Y4023" s="8" t="e">
        <f>+VLOOKUP(M4023,[1]SKU!$B$3:$E$81,4,0)</f>
        <v>#N/A</v>
      </c>
      <c r="Z4023" s="8" t="str">
        <f t="shared" si="62"/>
        <v>FLEX</v>
      </c>
      <c r="AA4023" s="8" t="e">
        <f>+VLOOKUP(I4023,[1]SKU!$H$2:$I$97,2,0)</f>
        <v>#N/A</v>
      </c>
    </row>
    <row r="4024" spans="24:27">
      <c r="X4024" s="8" t="str">
        <f>+IFERROR(VLOOKUP(N4024,[1]Hoja1!$B$2:$F$52,4,0)*P4024,"")</f>
        <v/>
      </c>
      <c r="Y4024" s="8" t="e">
        <f>+VLOOKUP(M4024,[1]SKU!$B$3:$E$81,4,0)</f>
        <v>#N/A</v>
      </c>
      <c r="Z4024" s="8" t="str">
        <f t="shared" si="62"/>
        <v>FLEX</v>
      </c>
      <c r="AA4024" s="8" t="e">
        <f>+VLOOKUP(I4024,[1]SKU!$H$2:$I$97,2,0)</f>
        <v>#N/A</v>
      </c>
    </row>
    <row r="4025" spans="24:27">
      <c r="X4025" s="8" t="str">
        <f>+IFERROR(VLOOKUP(N4025,[1]Hoja1!$B$2:$F$52,4,0)*P4025,"")</f>
        <v/>
      </c>
      <c r="Y4025" s="8" t="e">
        <f>+VLOOKUP(M4025,[1]SKU!$B$3:$E$81,4,0)</f>
        <v>#N/A</v>
      </c>
      <c r="Z4025" s="8" t="str">
        <f t="shared" si="62"/>
        <v>FLEX</v>
      </c>
      <c r="AA4025" s="8" t="e">
        <f>+VLOOKUP(I4025,[1]SKU!$H$2:$I$97,2,0)</f>
        <v>#N/A</v>
      </c>
    </row>
    <row r="4026" spans="24:27">
      <c r="X4026" s="8" t="str">
        <f>+IFERROR(VLOOKUP(N4026,[1]Hoja1!$B$2:$F$52,4,0)*P4026,"")</f>
        <v/>
      </c>
      <c r="Y4026" s="8" t="e">
        <f>+VLOOKUP(M4026,[1]SKU!$B$3:$E$81,4,0)</f>
        <v>#N/A</v>
      </c>
      <c r="Z4026" s="8" t="str">
        <f t="shared" si="62"/>
        <v>FLEX</v>
      </c>
      <c r="AA4026" s="8" t="e">
        <f>+VLOOKUP(I4026,[1]SKU!$H$2:$I$97,2,0)</f>
        <v>#N/A</v>
      </c>
    </row>
    <row r="4027" spans="24:27">
      <c r="X4027" s="8" t="str">
        <f>+IFERROR(VLOOKUP(N4027,[1]Hoja1!$B$2:$F$52,4,0)*P4027,"")</f>
        <v/>
      </c>
      <c r="Y4027" s="8" t="e">
        <f>+VLOOKUP(M4027,[1]SKU!$B$3:$E$81,4,0)</f>
        <v>#N/A</v>
      </c>
      <c r="Z4027" s="8" t="str">
        <f t="shared" si="62"/>
        <v>FLEX</v>
      </c>
      <c r="AA4027" s="8" t="e">
        <f>+VLOOKUP(I4027,[1]SKU!$H$2:$I$97,2,0)</f>
        <v>#N/A</v>
      </c>
    </row>
    <row r="4028" spans="24:27">
      <c r="X4028" s="8" t="str">
        <f>+IFERROR(VLOOKUP(N4028,[1]Hoja1!$B$2:$F$52,4,0)*P4028,"")</f>
        <v/>
      </c>
      <c r="Y4028" s="8" t="e">
        <f>+VLOOKUP(M4028,[1]SKU!$B$3:$E$81,4,0)</f>
        <v>#N/A</v>
      </c>
      <c r="Z4028" s="8" t="str">
        <f t="shared" si="62"/>
        <v>FLEX</v>
      </c>
      <c r="AA4028" s="8" t="e">
        <f>+VLOOKUP(I4028,[1]SKU!$H$2:$I$97,2,0)</f>
        <v>#N/A</v>
      </c>
    </row>
    <row r="4029" spans="24:27">
      <c r="X4029" s="8" t="str">
        <f>+IFERROR(VLOOKUP(N4029,[1]Hoja1!$B$2:$F$52,4,0)*P4029,"")</f>
        <v/>
      </c>
      <c r="Y4029" s="8" t="e">
        <f>+VLOOKUP(M4029,[1]SKU!$B$3:$E$81,4,0)</f>
        <v>#N/A</v>
      </c>
      <c r="Z4029" s="8" t="str">
        <f t="shared" si="62"/>
        <v>FLEX</v>
      </c>
      <c r="AA4029" s="8" t="e">
        <f>+VLOOKUP(I4029,[1]SKU!$H$2:$I$97,2,0)</f>
        <v>#N/A</v>
      </c>
    </row>
    <row r="4030" spans="24:27">
      <c r="X4030" s="8" t="str">
        <f>+IFERROR(VLOOKUP(N4030,[1]Hoja1!$B$2:$F$52,4,0)*P4030,"")</f>
        <v/>
      </c>
      <c r="Y4030" s="8" t="e">
        <f>+VLOOKUP(M4030,[1]SKU!$B$3:$E$81,4,0)</f>
        <v>#N/A</v>
      </c>
      <c r="Z4030" s="8" t="str">
        <f t="shared" si="62"/>
        <v>FLEX</v>
      </c>
      <c r="AA4030" s="8" t="e">
        <f>+VLOOKUP(I4030,[1]SKU!$H$2:$I$97,2,0)</f>
        <v>#N/A</v>
      </c>
    </row>
    <row r="4031" spans="24:27">
      <c r="X4031" s="8" t="str">
        <f>+IFERROR(VLOOKUP(N4031,[1]Hoja1!$B$2:$F$52,4,0)*P4031,"")</f>
        <v/>
      </c>
      <c r="Y4031" s="8" t="e">
        <f>+VLOOKUP(M4031,[1]SKU!$B$3:$E$81,4,0)</f>
        <v>#N/A</v>
      </c>
      <c r="Z4031" s="8" t="str">
        <f t="shared" si="62"/>
        <v>FLEX</v>
      </c>
      <c r="AA4031" s="8" t="e">
        <f>+VLOOKUP(I4031,[1]SKU!$H$2:$I$97,2,0)</f>
        <v>#N/A</v>
      </c>
    </row>
    <row r="4032" spans="24:27">
      <c r="X4032" s="8" t="str">
        <f>+IFERROR(VLOOKUP(N4032,[1]Hoja1!$B$2:$F$52,4,0)*P4032,"")</f>
        <v/>
      </c>
      <c r="Y4032" s="8" t="e">
        <f>+VLOOKUP(M4032,[1]SKU!$B$3:$E$81,4,0)</f>
        <v>#N/A</v>
      </c>
      <c r="Z4032" s="8" t="str">
        <f t="shared" si="62"/>
        <v>FLEX</v>
      </c>
      <c r="AA4032" s="8" t="e">
        <f>+VLOOKUP(I4032,[1]SKU!$H$2:$I$97,2,0)</f>
        <v>#N/A</v>
      </c>
    </row>
    <row r="4033" spans="24:27">
      <c r="X4033" s="8" t="str">
        <f>+IFERROR(VLOOKUP(N4033,[1]Hoja1!$B$2:$F$52,4,0)*P4033,"")</f>
        <v/>
      </c>
      <c r="Y4033" s="8" t="e">
        <f>+VLOOKUP(M4033,[1]SKU!$B$3:$E$81,4,0)</f>
        <v>#N/A</v>
      </c>
      <c r="Z4033" s="8" t="str">
        <f t="shared" si="62"/>
        <v>FLEX</v>
      </c>
      <c r="AA4033" s="8" t="e">
        <f>+VLOOKUP(I4033,[1]SKU!$H$2:$I$97,2,0)</f>
        <v>#N/A</v>
      </c>
    </row>
    <row r="4034" spans="24:27">
      <c r="X4034" s="8" t="str">
        <f>+IFERROR(VLOOKUP(N4034,[1]Hoja1!$B$2:$F$52,4,0)*P4034,"")</f>
        <v/>
      </c>
      <c r="Y4034" s="8" t="e">
        <f>+VLOOKUP(M4034,[1]SKU!$B$3:$E$81,4,0)</f>
        <v>#N/A</v>
      </c>
      <c r="Z4034" s="8" t="str">
        <f t="shared" si="62"/>
        <v>FLEX</v>
      </c>
      <c r="AA4034" s="8" t="e">
        <f>+VLOOKUP(I4034,[1]SKU!$H$2:$I$97,2,0)</f>
        <v>#N/A</v>
      </c>
    </row>
    <row r="4035" spans="24:27">
      <c r="X4035" s="8" t="str">
        <f>+IFERROR(VLOOKUP(N4035,[1]Hoja1!$B$2:$F$52,4,0)*P4035,"")</f>
        <v/>
      </c>
      <c r="Y4035" s="8" t="e">
        <f>+VLOOKUP(M4035,[1]SKU!$B$3:$E$81,4,0)</f>
        <v>#N/A</v>
      </c>
      <c r="Z4035" s="8" t="str">
        <f t="shared" ref="Z4035:Z4098" si="63">+IF(J4035="VB01                          ","BEES","FLEX")</f>
        <v>FLEX</v>
      </c>
      <c r="AA4035" s="8" t="e">
        <f>+VLOOKUP(I4035,[1]SKU!$H$2:$I$97,2,0)</f>
        <v>#N/A</v>
      </c>
    </row>
    <row r="4036" spans="24:27">
      <c r="X4036" s="8" t="str">
        <f>+IFERROR(VLOOKUP(N4036,[1]Hoja1!$B$2:$F$52,4,0)*P4036,"")</f>
        <v/>
      </c>
      <c r="Y4036" s="8" t="e">
        <f>+VLOOKUP(M4036,[1]SKU!$B$3:$E$81,4,0)</f>
        <v>#N/A</v>
      </c>
      <c r="Z4036" s="8" t="str">
        <f t="shared" si="63"/>
        <v>FLEX</v>
      </c>
      <c r="AA4036" s="8" t="e">
        <f>+VLOOKUP(I4036,[1]SKU!$H$2:$I$97,2,0)</f>
        <v>#N/A</v>
      </c>
    </row>
    <row r="4037" spans="24:27">
      <c r="X4037" s="8" t="str">
        <f>+IFERROR(VLOOKUP(N4037,[1]Hoja1!$B$2:$F$52,4,0)*P4037,"")</f>
        <v/>
      </c>
      <c r="Y4037" s="8" t="e">
        <f>+VLOOKUP(M4037,[1]SKU!$B$3:$E$81,4,0)</f>
        <v>#N/A</v>
      </c>
      <c r="Z4037" s="8" t="str">
        <f t="shared" si="63"/>
        <v>FLEX</v>
      </c>
      <c r="AA4037" s="8" t="e">
        <f>+VLOOKUP(I4037,[1]SKU!$H$2:$I$97,2,0)</f>
        <v>#N/A</v>
      </c>
    </row>
    <row r="4038" spans="24:27">
      <c r="X4038" s="8" t="str">
        <f>+IFERROR(VLOOKUP(N4038,[1]Hoja1!$B$2:$F$52,4,0)*P4038,"")</f>
        <v/>
      </c>
      <c r="Y4038" s="8" t="e">
        <f>+VLOOKUP(M4038,[1]SKU!$B$3:$E$81,4,0)</f>
        <v>#N/A</v>
      </c>
      <c r="Z4038" s="8" t="str">
        <f t="shared" si="63"/>
        <v>FLEX</v>
      </c>
      <c r="AA4038" s="8" t="e">
        <f>+VLOOKUP(I4038,[1]SKU!$H$2:$I$97,2,0)</f>
        <v>#N/A</v>
      </c>
    </row>
    <row r="4039" spans="24:27">
      <c r="X4039" s="8" t="str">
        <f>+IFERROR(VLOOKUP(N4039,[1]Hoja1!$B$2:$F$52,4,0)*P4039,"")</f>
        <v/>
      </c>
      <c r="Y4039" s="8" t="e">
        <f>+VLOOKUP(M4039,[1]SKU!$B$3:$E$81,4,0)</f>
        <v>#N/A</v>
      </c>
      <c r="Z4039" s="8" t="str">
        <f t="shared" si="63"/>
        <v>FLEX</v>
      </c>
      <c r="AA4039" s="8" t="e">
        <f>+VLOOKUP(I4039,[1]SKU!$H$2:$I$97,2,0)</f>
        <v>#N/A</v>
      </c>
    </row>
    <row r="4040" spans="24:27">
      <c r="X4040" s="8" t="str">
        <f>+IFERROR(VLOOKUP(N4040,[1]Hoja1!$B$2:$F$52,4,0)*P4040,"")</f>
        <v/>
      </c>
      <c r="Y4040" s="8" t="e">
        <f>+VLOOKUP(M4040,[1]SKU!$B$3:$E$81,4,0)</f>
        <v>#N/A</v>
      </c>
      <c r="Z4040" s="8" t="str">
        <f t="shared" si="63"/>
        <v>FLEX</v>
      </c>
      <c r="AA4040" s="8" t="e">
        <f>+VLOOKUP(I4040,[1]SKU!$H$2:$I$97,2,0)</f>
        <v>#N/A</v>
      </c>
    </row>
    <row r="4041" spans="24:27">
      <c r="X4041" s="8" t="str">
        <f>+IFERROR(VLOOKUP(N4041,[1]Hoja1!$B$2:$F$52,4,0)*P4041,"")</f>
        <v/>
      </c>
      <c r="Y4041" s="8" t="e">
        <f>+VLOOKUP(M4041,[1]SKU!$B$3:$E$81,4,0)</f>
        <v>#N/A</v>
      </c>
      <c r="Z4041" s="8" t="str">
        <f t="shared" si="63"/>
        <v>FLEX</v>
      </c>
      <c r="AA4041" s="8" t="e">
        <f>+VLOOKUP(I4041,[1]SKU!$H$2:$I$97,2,0)</f>
        <v>#N/A</v>
      </c>
    </row>
    <row r="4042" spans="24:27">
      <c r="X4042" s="8" t="str">
        <f>+IFERROR(VLOOKUP(N4042,[1]Hoja1!$B$2:$F$52,4,0)*P4042,"")</f>
        <v/>
      </c>
      <c r="Y4042" s="8" t="e">
        <f>+VLOOKUP(M4042,[1]SKU!$B$3:$E$81,4,0)</f>
        <v>#N/A</v>
      </c>
      <c r="Z4042" s="8" t="str">
        <f t="shared" si="63"/>
        <v>FLEX</v>
      </c>
      <c r="AA4042" s="8" t="e">
        <f>+VLOOKUP(I4042,[1]SKU!$H$2:$I$97,2,0)</f>
        <v>#N/A</v>
      </c>
    </row>
    <row r="4043" spans="24:27">
      <c r="X4043" s="8" t="str">
        <f>+IFERROR(VLOOKUP(N4043,[1]Hoja1!$B$2:$F$52,4,0)*P4043,"")</f>
        <v/>
      </c>
      <c r="Y4043" s="8" t="e">
        <f>+VLOOKUP(M4043,[1]SKU!$B$3:$E$81,4,0)</f>
        <v>#N/A</v>
      </c>
      <c r="Z4043" s="8" t="str">
        <f t="shared" si="63"/>
        <v>FLEX</v>
      </c>
      <c r="AA4043" s="8" t="e">
        <f>+VLOOKUP(I4043,[1]SKU!$H$2:$I$97,2,0)</f>
        <v>#N/A</v>
      </c>
    </row>
    <row r="4044" spans="24:27">
      <c r="X4044" s="8" t="str">
        <f>+IFERROR(VLOOKUP(N4044,[1]Hoja1!$B$2:$F$52,4,0)*P4044,"")</f>
        <v/>
      </c>
      <c r="Y4044" s="8" t="e">
        <f>+VLOOKUP(M4044,[1]SKU!$B$3:$E$81,4,0)</f>
        <v>#N/A</v>
      </c>
      <c r="Z4044" s="8" t="str">
        <f t="shared" si="63"/>
        <v>FLEX</v>
      </c>
      <c r="AA4044" s="8" t="e">
        <f>+VLOOKUP(I4044,[1]SKU!$H$2:$I$97,2,0)</f>
        <v>#N/A</v>
      </c>
    </row>
    <row r="4045" spans="24:27">
      <c r="X4045" s="8" t="str">
        <f>+IFERROR(VLOOKUP(N4045,[1]Hoja1!$B$2:$F$52,4,0)*P4045,"")</f>
        <v/>
      </c>
      <c r="Y4045" s="8" t="e">
        <f>+VLOOKUP(M4045,[1]SKU!$B$3:$E$81,4,0)</f>
        <v>#N/A</v>
      </c>
      <c r="Z4045" s="8" t="str">
        <f t="shared" si="63"/>
        <v>FLEX</v>
      </c>
      <c r="AA4045" s="8" t="e">
        <f>+VLOOKUP(I4045,[1]SKU!$H$2:$I$97,2,0)</f>
        <v>#N/A</v>
      </c>
    </row>
    <row r="4046" spans="24:27">
      <c r="X4046" s="8" t="str">
        <f>+IFERROR(VLOOKUP(N4046,[1]Hoja1!$B$2:$F$52,4,0)*P4046,"")</f>
        <v/>
      </c>
      <c r="Y4046" s="8" t="e">
        <f>+VLOOKUP(M4046,[1]SKU!$B$3:$E$81,4,0)</f>
        <v>#N/A</v>
      </c>
      <c r="Z4046" s="8" t="str">
        <f t="shared" si="63"/>
        <v>FLEX</v>
      </c>
      <c r="AA4046" s="8" t="e">
        <f>+VLOOKUP(I4046,[1]SKU!$H$2:$I$97,2,0)</f>
        <v>#N/A</v>
      </c>
    </row>
    <row r="4047" spans="24:27">
      <c r="X4047" s="8" t="str">
        <f>+IFERROR(VLOOKUP(N4047,[1]Hoja1!$B$2:$F$52,4,0)*P4047,"")</f>
        <v/>
      </c>
      <c r="Y4047" s="8" t="e">
        <f>+VLOOKUP(M4047,[1]SKU!$B$3:$E$81,4,0)</f>
        <v>#N/A</v>
      </c>
      <c r="Z4047" s="8" t="str">
        <f t="shared" si="63"/>
        <v>FLEX</v>
      </c>
      <c r="AA4047" s="8" t="e">
        <f>+VLOOKUP(I4047,[1]SKU!$H$2:$I$97,2,0)</f>
        <v>#N/A</v>
      </c>
    </row>
    <row r="4048" spans="24:27">
      <c r="X4048" s="8" t="str">
        <f>+IFERROR(VLOOKUP(N4048,[1]Hoja1!$B$2:$F$52,4,0)*P4048,"")</f>
        <v/>
      </c>
      <c r="Y4048" s="8" t="e">
        <f>+VLOOKUP(M4048,[1]SKU!$B$3:$E$81,4,0)</f>
        <v>#N/A</v>
      </c>
      <c r="Z4048" s="8" t="str">
        <f t="shared" si="63"/>
        <v>FLEX</v>
      </c>
      <c r="AA4048" s="8" t="e">
        <f>+VLOOKUP(I4048,[1]SKU!$H$2:$I$97,2,0)</f>
        <v>#N/A</v>
      </c>
    </row>
    <row r="4049" spans="24:27">
      <c r="X4049" s="8" t="str">
        <f>+IFERROR(VLOOKUP(N4049,[1]Hoja1!$B$2:$F$52,4,0)*P4049,"")</f>
        <v/>
      </c>
      <c r="Y4049" s="8" t="e">
        <f>+VLOOKUP(M4049,[1]SKU!$B$3:$E$81,4,0)</f>
        <v>#N/A</v>
      </c>
      <c r="Z4049" s="8" t="str">
        <f t="shared" si="63"/>
        <v>FLEX</v>
      </c>
      <c r="AA4049" s="8" t="e">
        <f>+VLOOKUP(I4049,[1]SKU!$H$2:$I$97,2,0)</f>
        <v>#N/A</v>
      </c>
    </row>
    <row r="4050" spans="24:27">
      <c r="X4050" s="8" t="str">
        <f>+IFERROR(VLOOKUP(N4050,[1]Hoja1!$B$2:$F$52,4,0)*P4050,"")</f>
        <v/>
      </c>
      <c r="Y4050" s="8" t="e">
        <f>+VLOOKUP(M4050,[1]SKU!$B$3:$E$81,4,0)</f>
        <v>#N/A</v>
      </c>
      <c r="Z4050" s="8" t="str">
        <f t="shared" si="63"/>
        <v>FLEX</v>
      </c>
      <c r="AA4050" s="8" t="e">
        <f>+VLOOKUP(I4050,[1]SKU!$H$2:$I$97,2,0)</f>
        <v>#N/A</v>
      </c>
    </row>
    <row r="4051" spans="24:27">
      <c r="X4051" s="8" t="str">
        <f>+IFERROR(VLOOKUP(N4051,[1]Hoja1!$B$2:$F$52,4,0)*P4051,"")</f>
        <v/>
      </c>
      <c r="Y4051" s="8" t="e">
        <f>+VLOOKUP(M4051,[1]SKU!$B$3:$E$81,4,0)</f>
        <v>#N/A</v>
      </c>
      <c r="Z4051" s="8" t="str">
        <f t="shared" si="63"/>
        <v>FLEX</v>
      </c>
      <c r="AA4051" s="8" t="e">
        <f>+VLOOKUP(I4051,[1]SKU!$H$2:$I$97,2,0)</f>
        <v>#N/A</v>
      </c>
    </row>
    <row r="4052" spans="24:27">
      <c r="X4052" s="8" t="str">
        <f>+IFERROR(VLOOKUP(N4052,[1]Hoja1!$B$2:$F$52,4,0)*P4052,"")</f>
        <v/>
      </c>
      <c r="Y4052" s="8" t="e">
        <f>+VLOOKUP(M4052,[1]SKU!$B$3:$E$81,4,0)</f>
        <v>#N/A</v>
      </c>
      <c r="Z4052" s="8" t="str">
        <f t="shared" si="63"/>
        <v>FLEX</v>
      </c>
      <c r="AA4052" s="8" t="e">
        <f>+VLOOKUP(I4052,[1]SKU!$H$2:$I$97,2,0)</f>
        <v>#N/A</v>
      </c>
    </row>
    <row r="4053" spans="24:27">
      <c r="X4053" s="8" t="str">
        <f>+IFERROR(VLOOKUP(N4053,[1]Hoja1!$B$2:$F$52,4,0)*P4053,"")</f>
        <v/>
      </c>
      <c r="Y4053" s="8" t="e">
        <f>+VLOOKUP(M4053,[1]SKU!$B$3:$E$81,4,0)</f>
        <v>#N/A</v>
      </c>
      <c r="Z4053" s="8" t="str">
        <f t="shared" si="63"/>
        <v>FLEX</v>
      </c>
      <c r="AA4053" s="8" t="e">
        <f>+VLOOKUP(I4053,[1]SKU!$H$2:$I$97,2,0)</f>
        <v>#N/A</v>
      </c>
    </row>
    <row r="4054" spans="24:27">
      <c r="X4054" s="8" t="str">
        <f>+IFERROR(VLOOKUP(N4054,[1]Hoja1!$B$2:$F$52,4,0)*P4054,"")</f>
        <v/>
      </c>
      <c r="Y4054" s="8" t="e">
        <f>+VLOOKUP(M4054,[1]SKU!$B$3:$E$81,4,0)</f>
        <v>#N/A</v>
      </c>
      <c r="Z4054" s="8" t="str">
        <f t="shared" si="63"/>
        <v>FLEX</v>
      </c>
      <c r="AA4054" s="8" t="e">
        <f>+VLOOKUP(I4054,[1]SKU!$H$2:$I$97,2,0)</f>
        <v>#N/A</v>
      </c>
    </row>
    <row r="4055" spans="24:27">
      <c r="X4055" s="8" t="str">
        <f>+IFERROR(VLOOKUP(N4055,[1]Hoja1!$B$2:$F$52,4,0)*P4055,"")</f>
        <v/>
      </c>
      <c r="Y4055" s="8" t="e">
        <f>+VLOOKUP(M4055,[1]SKU!$B$3:$E$81,4,0)</f>
        <v>#N/A</v>
      </c>
      <c r="Z4055" s="8" t="str">
        <f t="shared" si="63"/>
        <v>FLEX</v>
      </c>
      <c r="AA4055" s="8" t="e">
        <f>+VLOOKUP(I4055,[1]SKU!$H$2:$I$97,2,0)</f>
        <v>#N/A</v>
      </c>
    </row>
    <row r="4056" spans="24:27">
      <c r="X4056" s="8" t="str">
        <f>+IFERROR(VLOOKUP(N4056,[1]Hoja1!$B$2:$F$52,4,0)*P4056,"")</f>
        <v/>
      </c>
      <c r="Y4056" s="8" t="e">
        <f>+VLOOKUP(M4056,[1]SKU!$B$3:$E$81,4,0)</f>
        <v>#N/A</v>
      </c>
      <c r="Z4056" s="8" t="str">
        <f t="shared" si="63"/>
        <v>FLEX</v>
      </c>
      <c r="AA4056" s="8" t="e">
        <f>+VLOOKUP(I4056,[1]SKU!$H$2:$I$97,2,0)</f>
        <v>#N/A</v>
      </c>
    </row>
    <row r="4057" spans="24:27">
      <c r="X4057" s="8" t="str">
        <f>+IFERROR(VLOOKUP(N4057,[1]Hoja1!$B$2:$F$52,4,0)*P4057,"")</f>
        <v/>
      </c>
      <c r="Y4057" s="8" t="e">
        <f>+VLOOKUP(M4057,[1]SKU!$B$3:$E$81,4,0)</f>
        <v>#N/A</v>
      </c>
      <c r="Z4057" s="8" t="str">
        <f t="shared" si="63"/>
        <v>FLEX</v>
      </c>
      <c r="AA4057" s="8" t="e">
        <f>+VLOOKUP(I4057,[1]SKU!$H$2:$I$97,2,0)</f>
        <v>#N/A</v>
      </c>
    </row>
    <row r="4058" spans="24:27">
      <c r="X4058" s="8" t="str">
        <f>+IFERROR(VLOOKUP(N4058,[1]Hoja1!$B$2:$F$52,4,0)*P4058,"")</f>
        <v/>
      </c>
      <c r="Y4058" s="8" t="e">
        <f>+VLOOKUP(M4058,[1]SKU!$B$3:$E$81,4,0)</f>
        <v>#N/A</v>
      </c>
      <c r="Z4058" s="8" t="str">
        <f t="shared" si="63"/>
        <v>FLEX</v>
      </c>
      <c r="AA4058" s="8" t="e">
        <f>+VLOOKUP(I4058,[1]SKU!$H$2:$I$97,2,0)</f>
        <v>#N/A</v>
      </c>
    </row>
    <row r="4059" spans="24:27">
      <c r="X4059" s="8" t="str">
        <f>+IFERROR(VLOOKUP(N4059,[1]Hoja1!$B$2:$F$52,4,0)*P4059,"")</f>
        <v/>
      </c>
      <c r="Y4059" s="8" t="e">
        <f>+VLOOKUP(M4059,[1]SKU!$B$3:$E$81,4,0)</f>
        <v>#N/A</v>
      </c>
      <c r="Z4059" s="8" t="str">
        <f t="shared" si="63"/>
        <v>FLEX</v>
      </c>
      <c r="AA4059" s="8" t="e">
        <f>+VLOOKUP(I4059,[1]SKU!$H$2:$I$97,2,0)</f>
        <v>#N/A</v>
      </c>
    </row>
    <row r="4060" spans="24:27">
      <c r="X4060" s="8" t="str">
        <f>+IFERROR(VLOOKUP(N4060,[1]Hoja1!$B$2:$F$52,4,0)*P4060,"")</f>
        <v/>
      </c>
      <c r="Y4060" s="8" t="e">
        <f>+VLOOKUP(M4060,[1]SKU!$B$3:$E$81,4,0)</f>
        <v>#N/A</v>
      </c>
      <c r="Z4060" s="8" t="str">
        <f t="shared" si="63"/>
        <v>FLEX</v>
      </c>
      <c r="AA4060" s="8" t="e">
        <f>+VLOOKUP(I4060,[1]SKU!$H$2:$I$97,2,0)</f>
        <v>#N/A</v>
      </c>
    </row>
    <row r="4061" spans="24:27">
      <c r="X4061" s="8" t="str">
        <f>+IFERROR(VLOOKUP(N4061,[1]Hoja1!$B$2:$F$52,4,0)*P4061,"")</f>
        <v/>
      </c>
      <c r="Y4061" s="8" t="e">
        <f>+VLOOKUP(M4061,[1]SKU!$B$3:$E$81,4,0)</f>
        <v>#N/A</v>
      </c>
      <c r="Z4061" s="8" t="str">
        <f t="shared" si="63"/>
        <v>FLEX</v>
      </c>
      <c r="AA4061" s="8" t="e">
        <f>+VLOOKUP(I4061,[1]SKU!$H$2:$I$97,2,0)</f>
        <v>#N/A</v>
      </c>
    </row>
    <row r="4062" spans="24:27">
      <c r="X4062" s="8" t="str">
        <f>+IFERROR(VLOOKUP(N4062,[1]Hoja1!$B$2:$F$52,4,0)*P4062,"")</f>
        <v/>
      </c>
      <c r="Y4062" s="8" t="e">
        <f>+VLOOKUP(M4062,[1]SKU!$B$3:$E$81,4,0)</f>
        <v>#N/A</v>
      </c>
      <c r="Z4062" s="8" t="str">
        <f t="shared" si="63"/>
        <v>FLEX</v>
      </c>
      <c r="AA4062" s="8" t="e">
        <f>+VLOOKUP(I4062,[1]SKU!$H$2:$I$97,2,0)</f>
        <v>#N/A</v>
      </c>
    </row>
    <row r="4063" spans="24:27">
      <c r="X4063" s="8" t="str">
        <f>+IFERROR(VLOOKUP(N4063,[1]Hoja1!$B$2:$F$52,4,0)*P4063,"")</f>
        <v/>
      </c>
      <c r="Y4063" s="8" t="e">
        <f>+VLOOKUP(M4063,[1]SKU!$B$3:$E$81,4,0)</f>
        <v>#N/A</v>
      </c>
      <c r="Z4063" s="8" t="str">
        <f t="shared" si="63"/>
        <v>FLEX</v>
      </c>
      <c r="AA4063" s="8" t="e">
        <f>+VLOOKUP(I4063,[1]SKU!$H$2:$I$97,2,0)</f>
        <v>#N/A</v>
      </c>
    </row>
    <row r="4064" spans="24:27">
      <c r="X4064" s="8" t="str">
        <f>+IFERROR(VLOOKUP(N4064,[1]Hoja1!$B$2:$F$52,4,0)*P4064,"")</f>
        <v/>
      </c>
      <c r="Y4064" s="8" t="e">
        <f>+VLOOKUP(M4064,[1]SKU!$B$3:$E$81,4,0)</f>
        <v>#N/A</v>
      </c>
      <c r="Z4064" s="8" t="str">
        <f t="shared" si="63"/>
        <v>FLEX</v>
      </c>
      <c r="AA4064" s="8" t="e">
        <f>+VLOOKUP(I4064,[1]SKU!$H$2:$I$97,2,0)</f>
        <v>#N/A</v>
      </c>
    </row>
    <row r="4065" spans="24:27">
      <c r="X4065" s="8" t="str">
        <f>+IFERROR(VLOOKUP(N4065,[1]Hoja1!$B$2:$F$52,4,0)*P4065,"")</f>
        <v/>
      </c>
      <c r="Y4065" s="8" t="e">
        <f>+VLOOKUP(M4065,[1]SKU!$B$3:$E$81,4,0)</f>
        <v>#N/A</v>
      </c>
      <c r="Z4065" s="8" t="str">
        <f t="shared" si="63"/>
        <v>FLEX</v>
      </c>
      <c r="AA4065" s="8" t="e">
        <f>+VLOOKUP(I4065,[1]SKU!$H$2:$I$97,2,0)</f>
        <v>#N/A</v>
      </c>
    </row>
    <row r="4066" spans="24:27">
      <c r="X4066" s="8" t="str">
        <f>+IFERROR(VLOOKUP(N4066,[1]Hoja1!$B$2:$F$52,4,0)*P4066,"")</f>
        <v/>
      </c>
      <c r="Y4066" s="8" t="e">
        <f>+VLOOKUP(M4066,[1]SKU!$B$3:$E$81,4,0)</f>
        <v>#N/A</v>
      </c>
      <c r="Z4066" s="8" t="str">
        <f t="shared" si="63"/>
        <v>FLEX</v>
      </c>
      <c r="AA4066" s="8" t="e">
        <f>+VLOOKUP(I4066,[1]SKU!$H$2:$I$97,2,0)</f>
        <v>#N/A</v>
      </c>
    </row>
    <row r="4067" spans="24:27">
      <c r="X4067" s="8" t="str">
        <f>+IFERROR(VLOOKUP(N4067,[1]Hoja1!$B$2:$F$52,4,0)*P4067,"")</f>
        <v/>
      </c>
      <c r="Y4067" s="8" t="e">
        <f>+VLOOKUP(M4067,[1]SKU!$B$3:$E$81,4,0)</f>
        <v>#N/A</v>
      </c>
      <c r="Z4067" s="8" t="str">
        <f t="shared" si="63"/>
        <v>FLEX</v>
      </c>
      <c r="AA4067" s="8" t="e">
        <f>+VLOOKUP(I4067,[1]SKU!$H$2:$I$97,2,0)</f>
        <v>#N/A</v>
      </c>
    </row>
    <row r="4068" spans="24:27">
      <c r="X4068" s="8" t="str">
        <f>+IFERROR(VLOOKUP(N4068,[1]Hoja1!$B$2:$F$52,4,0)*P4068,"")</f>
        <v/>
      </c>
      <c r="Y4068" s="8" t="e">
        <f>+VLOOKUP(M4068,[1]SKU!$B$3:$E$81,4,0)</f>
        <v>#N/A</v>
      </c>
      <c r="Z4068" s="8" t="str">
        <f t="shared" si="63"/>
        <v>FLEX</v>
      </c>
      <c r="AA4068" s="8" t="e">
        <f>+VLOOKUP(I4068,[1]SKU!$H$2:$I$97,2,0)</f>
        <v>#N/A</v>
      </c>
    </row>
    <row r="4069" spans="24:27">
      <c r="X4069" s="8" t="str">
        <f>+IFERROR(VLOOKUP(N4069,[1]Hoja1!$B$2:$F$52,4,0)*P4069,"")</f>
        <v/>
      </c>
      <c r="Y4069" s="8" t="e">
        <f>+VLOOKUP(M4069,[1]SKU!$B$3:$E$81,4,0)</f>
        <v>#N/A</v>
      </c>
      <c r="Z4069" s="8" t="str">
        <f t="shared" si="63"/>
        <v>FLEX</v>
      </c>
      <c r="AA4069" s="8" t="e">
        <f>+VLOOKUP(I4069,[1]SKU!$H$2:$I$97,2,0)</f>
        <v>#N/A</v>
      </c>
    </row>
    <row r="4070" spans="24:27">
      <c r="X4070" s="8" t="str">
        <f>+IFERROR(VLOOKUP(N4070,[1]Hoja1!$B$2:$F$52,4,0)*P4070,"")</f>
        <v/>
      </c>
      <c r="Y4070" s="8" t="e">
        <f>+VLOOKUP(M4070,[1]SKU!$B$3:$E$81,4,0)</f>
        <v>#N/A</v>
      </c>
      <c r="Z4070" s="8" t="str">
        <f t="shared" si="63"/>
        <v>FLEX</v>
      </c>
      <c r="AA4070" s="8" t="e">
        <f>+VLOOKUP(I4070,[1]SKU!$H$2:$I$97,2,0)</f>
        <v>#N/A</v>
      </c>
    </row>
    <row r="4071" spans="24:27">
      <c r="X4071" s="8" t="str">
        <f>+IFERROR(VLOOKUP(N4071,[1]Hoja1!$B$2:$F$52,4,0)*P4071,"")</f>
        <v/>
      </c>
      <c r="Y4071" s="8" t="e">
        <f>+VLOOKUP(M4071,[1]SKU!$B$3:$E$81,4,0)</f>
        <v>#N/A</v>
      </c>
      <c r="Z4071" s="8" t="str">
        <f t="shared" si="63"/>
        <v>FLEX</v>
      </c>
      <c r="AA4071" s="8" t="e">
        <f>+VLOOKUP(I4071,[1]SKU!$H$2:$I$97,2,0)</f>
        <v>#N/A</v>
      </c>
    </row>
    <row r="4072" spans="24:27">
      <c r="X4072" s="8" t="str">
        <f>+IFERROR(VLOOKUP(N4072,[1]Hoja1!$B$2:$F$52,4,0)*P4072,"")</f>
        <v/>
      </c>
      <c r="Y4072" s="8" t="e">
        <f>+VLOOKUP(M4072,[1]SKU!$B$3:$E$81,4,0)</f>
        <v>#N/A</v>
      </c>
      <c r="Z4072" s="8" t="str">
        <f t="shared" si="63"/>
        <v>FLEX</v>
      </c>
      <c r="AA4072" s="8" t="e">
        <f>+VLOOKUP(I4072,[1]SKU!$H$2:$I$97,2,0)</f>
        <v>#N/A</v>
      </c>
    </row>
    <row r="4073" spans="24:27">
      <c r="X4073" s="8" t="str">
        <f>+IFERROR(VLOOKUP(N4073,[1]Hoja1!$B$2:$F$52,4,0)*P4073,"")</f>
        <v/>
      </c>
      <c r="Y4073" s="8" t="e">
        <f>+VLOOKUP(M4073,[1]SKU!$B$3:$E$81,4,0)</f>
        <v>#N/A</v>
      </c>
      <c r="Z4073" s="8" t="str">
        <f t="shared" si="63"/>
        <v>FLEX</v>
      </c>
      <c r="AA4073" s="8" t="e">
        <f>+VLOOKUP(I4073,[1]SKU!$H$2:$I$97,2,0)</f>
        <v>#N/A</v>
      </c>
    </row>
    <row r="4074" spans="24:27">
      <c r="X4074" s="8" t="str">
        <f>+IFERROR(VLOOKUP(N4074,[1]Hoja1!$B$2:$F$52,4,0)*P4074,"")</f>
        <v/>
      </c>
      <c r="Y4074" s="8" t="e">
        <f>+VLOOKUP(M4074,[1]SKU!$B$3:$E$81,4,0)</f>
        <v>#N/A</v>
      </c>
      <c r="Z4074" s="8" t="str">
        <f t="shared" si="63"/>
        <v>FLEX</v>
      </c>
      <c r="AA4074" s="8" t="e">
        <f>+VLOOKUP(I4074,[1]SKU!$H$2:$I$97,2,0)</f>
        <v>#N/A</v>
      </c>
    </row>
    <row r="4075" spans="24:27">
      <c r="X4075" s="8" t="str">
        <f>+IFERROR(VLOOKUP(N4075,[1]Hoja1!$B$2:$F$52,4,0)*P4075,"")</f>
        <v/>
      </c>
      <c r="Y4075" s="8" t="e">
        <f>+VLOOKUP(M4075,[1]SKU!$B$3:$E$81,4,0)</f>
        <v>#N/A</v>
      </c>
      <c r="Z4075" s="8" t="str">
        <f t="shared" si="63"/>
        <v>FLEX</v>
      </c>
      <c r="AA4075" s="8" t="e">
        <f>+VLOOKUP(I4075,[1]SKU!$H$2:$I$97,2,0)</f>
        <v>#N/A</v>
      </c>
    </row>
    <row r="4076" spans="24:27">
      <c r="X4076" s="8" t="str">
        <f>+IFERROR(VLOOKUP(N4076,[1]Hoja1!$B$2:$F$52,4,0)*P4076,"")</f>
        <v/>
      </c>
      <c r="Y4076" s="8" t="e">
        <f>+VLOOKUP(M4076,[1]SKU!$B$3:$E$81,4,0)</f>
        <v>#N/A</v>
      </c>
      <c r="Z4076" s="8" t="str">
        <f t="shared" si="63"/>
        <v>FLEX</v>
      </c>
      <c r="AA4076" s="8" t="e">
        <f>+VLOOKUP(I4076,[1]SKU!$H$2:$I$97,2,0)</f>
        <v>#N/A</v>
      </c>
    </row>
    <row r="4077" spans="24:27">
      <c r="X4077" s="8" t="str">
        <f>+IFERROR(VLOOKUP(N4077,[1]Hoja1!$B$2:$F$52,4,0)*P4077,"")</f>
        <v/>
      </c>
      <c r="Y4077" s="8" t="e">
        <f>+VLOOKUP(M4077,[1]SKU!$B$3:$E$81,4,0)</f>
        <v>#N/A</v>
      </c>
      <c r="Z4077" s="8" t="str">
        <f t="shared" si="63"/>
        <v>FLEX</v>
      </c>
      <c r="AA4077" s="8" t="e">
        <f>+VLOOKUP(I4077,[1]SKU!$H$2:$I$97,2,0)</f>
        <v>#N/A</v>
      </c>
    </row>
    <row r="4078" spans="24:27">
      <c r="X4078" s="8" t="str">
        <f>+IFERROR(VLOOKUP(N4078,[1]Hoja1!$B$2:$F$52,4,0)*P4078,"")</f>
        <v/>
      </c>
      <c r="Y4078" s="8" t="e">
        <f>+VLOOKUP(M4078,[1]SKU!$B$3:$E$81,4,0)</f>
        <v>#N/A</v>
      </c>
      <c r="Z4078" s="8" t="str">
        <f t="shared" si="63"/>
        <v>FLEX</v>
      </c>
      <c r="AA4078" s="8" t="e">
        <f>+VLOOKUP(I4078,[1]SKU!$H$2:$I$97,2,0)</f>
        <v>#N/A</v>
      </c>
    </row>
    <row r="4079" spans="24:27">
      <c r="X4079" s="8" t="str">
        <f>+IFERROR(VLOOKUP(N4079,[1]Hoja1!$B$2:$F$52,4,0)*P4079,"")</f>
        <v/>
      </c>
      <c r="Y4079" s="8" t="e">
        <f>+VLOOKUP(M4079,[1]SKU!$B$3:$E$81,4,0)</f>
        <v>#N/A</v>
      </c>
      <c r="Z4079" s="8" t="str">
        <f t="shared" si="63"/>
        <v>FLEX</v>
      </c>
      <c r="AA4079" s="8" t="e">
        <f>+VLOOKUP(I4079,[1]SKU!$H$2:$I$97,2,0)</f>
        <v>#N/A</v>
      </c>
    </row>
    <row r="4080" spans="24:27">
      <c r="X4080" s="8" t="str">
        <f>+IFERROR(VLOOKUP(N4080,[1]Hoja1!$B$2:$F$52,4,0)*P4080,"")</f>
        <v/>
      </c>
      <c r="Y4080" s="8" t="e">
        <f>+VLOOKUP(M4080,[1]SKU!$B$3:$E$81,4,0)</f>
        <v>#N/A</v>
      </c>
      <c r="Z4080" s="8" t="str">
        <f t="shared" si="63"/>
        <v>FLEX</v>
      </c>
      <c r="AA4080" s="8" t="e">
        <f>+VLOOKUP(I4080,[1]SKU!$H$2:$I$97,2,0)</f>
        <v>#N/A</v>
      </c>
    </row>
    <row r="4081" spans="24:27">
      <c r="X4081" s="8" t="str">
        <f>+IFERROR(VLOOKUP(N4081,[1]Hoja1!$B$2:$F$52,4,0)*P4081,"")</f>
        <v/>
      </c>
      <c r="Y4081" s="8" t="e">
        <f>+VLOOKUP(M4081,[1]SKU!$B$3:$E$81,4,0)</f>
        <v>#N/A</v>
      </c>
      <c r="Z4081" s="8" t="str">
        <f t="shared" si="63"/>
        <v>FLEX</v>
      </c>
      <c r="AA4081" s="8" t="e">
        <f>+VLOOKUP(I4081,[1]SKU!$H$2:$I$97,2,0)</f>
        <v>#N/A</v>
      </c>
    </row>
    <row r="4082" spans="24:27">
      <c r="X4082" s="8" t="str">
        <f>+IFERROR(VLOOKUP(N4082,[1]Hoja1!$B$2:$F$52,4,0)*P4082,"")</f>
        <v/>
      </c>
      <c r="Y4082" s="8" t="e">
        <f>+VLOOKUP(M4082,[1]SKU!$B$3:$E$81,4,0)</f>
        <v>#N/A</v>
      </c>
      <c r="Z4082" s="8" t="str">
        <f t="shared" si="63"/>
        <v>FLEX</v>
      </c>
      <c r="AA4082" s="8" t="e">
        <f>+VLOOKUP(I4082,[1]SKU!$H$2:$I$97,2,0)</f>
        <v>#N/A</v>
      </c>
    </row>
    <row r="4083" spans="24:27">
      <c r="X4083" s="8" t="str">
        <f>+IFERROR(VLOOKUP(N4083,[1]Hoja1!$B$2:$F$52,4,0)*P4083,"")</f>
        <v/>
      </c>
      <c r="Y4083" s="8" t="e">
        <f>+VLOOKUP(M4083,[1]SKU!$B$3:$E$81,4,0)</f>
        <v>#N/A</v>
      </c>
      <c r="Z4083" s="8" t="str">
        <f t="shared" si="63"/>
        <v>FLEX</v>
      </c>
      <c r="AA4083" s="8" t="e">
        <f>+VLOOKUP(I4083,[1]SKU!$H$2:$I$97,2,0)</f>
        <v>#N/A</v>
      </c>
    </row>
    <row r="4084" spans="24:27">
      <c r="X4084" s="8" t="str">
        <f>+IFERROR(VLOOKUP(N4084,[1]Hoja1!$B$2:$F$52,4,0)*P4084,"")</f>
        <v/>
      </c>
      <c r="Y4084" s="8" t="e">
        <f>+VLOOKUP(M4084,[1]SKU!$B$3:$E$81,4,0)</f>
        <v>#N/A</v>
      </c>
      <c r="Z4084" s="8" t="str">
        <f t="shared" si="63"/>
        <v>FLEX</v>
      </c>
      <c r="AA4084" s="8" t="e">
        <f>+VLOOKUP(I4084,[1]SKU!$H$2:$I$97,2,0)</f>
        <v>#N/A</v>
      </c>
    </row>
    <row r="4085" spans="24:27">
      <c r="X4085" s="8" t="str">
        <f>+IFERROR(VLOOKUP(N4085,[1]Hoja1!$B$2:$F$52,4,0)*P4085,"")</f>
        <v/>
      </c>
      <c r="Y4085" s="8" t="e">
        <f>+VLOOKUP(M4085,[1]SKU!$B$3:$E$81,4,0)</f>
        <v>#N/A</v>
      </c>
      <c r="Z4085" s="8" t="str">
        <f t="shared" si="63"/>
        <v>FLEX</v>
      </c>
      <c r="AA4085" s="8" t="e">
        <f>+VLOOKUP(I4085,[1]SKU!$H$2:$I$97,2,0)</f>
        <v>#N/A</v>
      </c>
    </row>
    <row r="4086" spans="24:27">
      <c r="X4086" s="8" t="str">
        <f>+IFERROR(VLOOKUP(N4086,[1]Hoja1!$B$2:$F$52,4,0)*P4086,"")</f>
        <v/>
      </c>
      <c r="Y4086" s="8" t="e">
        <f>+VLOOKUP(M4086,[1]SKU!$B$3:$E$81,4,0)</f>
        <v>#N/A</v>
      </c>
      <c r="Z4086" s="8" t="str">
        <f t="shared" si="63"/>
        <v>FLEX</v>
      </c>
      <c r="AA4086" s="8" t="e">
        <f>+VLOOKUP(I4086,[1]SKU!$H$2:$I$97,2,0)</f>
        <v>#N/A</v>
      </c>
    </row>
    <row r="4087" spans="24:27">
      <c r="X4087" s="8" t="str">
        <f>+IFERROR(VLOOKUP(N4087,[1]Hoja1!$B$2:$F$52,4,0)*P4087,"")</f>
        <v/>
      </c>
      <c r="Y4087" s="8" t="e">
        <f>+VLOOKUP(M4087,[1]SKU!$B$3:$E$81,4,0)</f>
        <v>#N/A</v>
      </c>
      <c r="Z4087" s="8" t="str">
        <f t="shared" si="63"/>
        <v>FLEX</v>
      </c>
      <c r="AA4087" s="8" t="e">
        <f>+VLOOKUP(I4087,[1]SKU!$H$2:$I$97,2,0)</f>
        <v>#N/A</v>
      </c>
    </row>
    <row r="4088" spans="24:27">
      <c r="X4088" s="8" t="str">
        <f>+IFERROR(VLOOKUP(N4088,[1]Hoja1!$B$2:$F$52,4,0)*P4088,"")</f>
        <v/>
      </c>
      <c r="Y4088" s="8" t="e">
        <f>+VLOOKUP(M4088,[1]SKU!$B$3:$E$81,4,0)</f>
        <v>#N/A</v>
      </c>
      <c r="Z4088" s="8" t="str">
        <f t="shared" si="63"/>
        <v>FLEX</v>
      </c>
      <c r="AA4088" s="8" t="e">
        <f>+VLOOKUP(I4088,[1]SKU!$H$2:$I$97,2,0)</f>
        <v>#N/A</v>
      </c>
    </row>
    <row r="4089" spans="24:27">
      <c r="X4089" s="8" t="str">
        <f>+IFERROR(VLOOKUP(N4089,[1]Hoja1!$B$2:$F$52,4,0)*P4089,"")</f>
        <v/>
      </c>
      <c r="Y4089" s="8" t="e">
        <f>+VLOOKUP(M4089,[1]SKU!$B$3:$E$81,4,0)</f>
        <v>#N/A</v>
      </c>
      <c r="Z4089" s="8" t="str">
        <f t="shared" si="63"/>
        <v>FLEX</v>
      </c>
      <c r="AA4089" s="8" t="e">
        <f>+VLOOKUP(I4089,[1]SKU!$H$2:$I$97,2,0)</f>
        <v>#N/A</v>
      </c>
    </row>
    <row r="4090" spans="24:27">
      <c r="X4090" s="8" t="str">
        <f>+IFERROR(VLOOKUP(N4090,[1]Hoja1!$B$2:$F$52,4,0)*P4090,"")</f>
        <v/>
      </c>
      <c r="Y4090" s="8" t="e">
        <f>+VLOOKUP(M4090,[1]SKU!$B$3:$E$81,4,0)</f>
        <v>#N/A</v>
      </c>
      <c r="Z4090" s="8" t="str">
        <f t="shared" si="63"/>
        <v>FLEX</v>
      </c>
      <c r="AA4090" s="8" t="e">
        <f>+VLOOKUP(I4090,[1]SKU!$H$2:$I$97,2,0)</f>
        <v>#N/A</v>
      </c>
    </row>
    <row r="4091" spans="24:27">
      <c r="X4091" s="8" t="str">
        <f>+IFERROR(VLOOKUP(N4091,[1]Hoja1!$B$2:$F$52,4,0)*P4091,"")</f>
        <v/>
      </c>
      <c r="Y4091" s="8" t="e">
        <f>+VLOOKUP(M4091,[1]SKU!$B$3:$E$81,4,0)</f>
        <v>#N/A</v>
      </c>
      <c r="Z4091" s="8" t="str">
        <f t="shared" si="63"/>
        <v>FLEX</v>
      </c>
      <c r="AA4091" s="8" t="e">
        <f>+VLOOKUP(I4091,[1]SKU!$H$2:$I$97,2,0)</f>
        <v>#N/A</v>
      </c>
    </row>
    <row r="4092" spans="24:27">
      <c r="X4092" s="8" t="str">
        <f>+IFERROR(VLOOKUP(N4092,[1]Hoja1!$B$2:$F$52,4,0)*P4092,"")</f>
        <v/>
      </c>
      <c r="Y4092" s="8" t="e">
        <f>+VLOOKUP(M4092,[1]SKU!$B$3:$E$81,4,0)</f>
        <v>#N/A</v>
      </c>
      <c r="Z4092" s="8" t="str">
        <f t="shared" si="63"/>
        <v>FLEX</v>
      </c>
      <c r="AA4092" s="8" t="e">
        <f>+VLOOKUP(I4092,[1]SKU!$H$2:$I$97,2,0)</f>
        <v>#N/A</v>
      </c>
    </row>
    <row r="4093" spans="24:27">
      <c r="X4093" s="8" t="str">
        <f>+IFERROR(VLOOKUP(N4093,[1]Hoja1!$B$2:$F$52,4,0)*P4093,"")</f>
        <v/>
      </c>
      <c r="Y4093" s="8" t="e">
        <f>+VLOOKUP(M4093,[1]SKU!$B$3:$E$81,4,0)</f>
        <v>#N/A</v>
      </c>
      <c r="Z4093" s="8" t="str">
        <f t="shared" si="63"/>
        <v>FLEX</v>
      </c>
      <c r="AA4093" s="8" t="e">
        <f>+VLOOKUP(I4093,[1]SKU!$H$2:$I$97,2,0)</f>
        <v>#N/A</v>
      </c>
    </row>
    <row r="4094" spans="24:27">
      <c r="X4094" s="8" t="str">
        <f>+IFERROR(VLOOKUP(N4094,[1]Hoja1!$B$2:$F$52,4,0)*P4094,"")</f>
        <v/>
      </c>
      <c r="Y4094" s="8" t="e">
        <f>+VLOOKUP(M4094,[1]SKU!$B$3:$E$81,4,0)</f>
        <v>#N/A</v>
      </c>
      <c r="Z4094" s="8" t="str">
        <f t="shared" si="63"/>
        <v>FLEX</v>
      </c>
      <c r="AA4094" s="8" t="e">
        <f>+VLOOKUP(I4094,[1]SKU!$H$2:$I$97,2,0)</f>
        <v>#N/A</v>
      </c>
    </row>
    <row r="4095" spans="24:27">
      <c r="X4095" s="8" t="str">
        <f>+IFERROR(VLOOKUP(N4095,[1]Hoja1!$B$2:$F$52,4,0)*P4095,"")</f>
        <v/>
      </c>
      <c r="Y4095" s="8" t="e">
        <f>+VLOOKUP(M4095,[1]SKU!$B$3:$E$81,4,0)</f>
        <v>#N/A</v>
      </c>
      <c r="Z4095" s="8" t="str">
        <f t="shared" si="63"/>
        <v>FLEX</v>
      </c>
      <c r="AA4095" s="8" t="e">
        <f>+VLOOKUP(I4095,[1]SKU!$H$2:$I$97,2,0)</f>
        <v>#N/A</v>
      </c>
    </row>
    <row r="4096" spans="24:27">
      <c r="X4096" s="8" t="str">
        <f>+IFERROR(VLOOKUP(N4096,[1]Hoja1!$B$2:$F$52,4,0)*P4096,"")</f>
        <v/>
      </c>
      <c r="Y4096" s="8" t="e">
        <f>+VLOOKUP(M4096,[1]SKU!$B$3:$E$81,4,0)</f>
        <v>#N/A</v>
      </c>
      <c r="Z4096" s="8" t="str">
        <f t="shared" si="63"/>
        <v>FLEX</v>
      </c>
      <c r="AA4096" s="8" t="e">
        <f>+VLOOKUP(I4096,[1]SKU!$H$2:$I$97,2,0)</f>
        <v>#N/A</v>
      </c>
    </row>
    <row r="4097" spans="24:27">
      <c r="X4097" s="8" t="str">
        <f>+IFERROR(VLOOKUP(N4097,[1]Hoja1!$B$2:$F$52,4,0)*P4097,"")</f>
        <v/>
      </c>
      <c r="Y4097" s="8" t="e">
        <f>+VLOOKUP(M4097,[1]SKU!$B$3:$E$81,4,0)</f>
        <v>#N/A</v>
      </c>
      <c r="Z4097" s="8" t="str">
        <f t="shared" si="63"/>
        <v>FLEX</v>
      </c>
      <c r="AA4097" s="8" t="e">
        <f>+VLOOKUP(I4097,[1]SKU!$H$2:$I$97,2,0)</f>
        <v>#N/A</v>
      </c>
    </row>
    <row r="4098" spans="24:27">
      <c r="X4098" s="8" t="str">
        <f>+IFERROR(VLOOKUP(N4098,[1]Hoja1!$B$2:$F$52,4,0)*P4098,"")</f>
        <v/>
      </c>
      <c r="Y4098" s="8" t="e">
        <f>+VLOOKUP(M4098,[1]SKU!$B$3:$E$81,4,0)</f>
        <v>#N/A</v>
      </c>
      <c r="Z4098" s="8" t="str">
        <f t="shared" si="63"/>
        <v>FLEX</v>
      </c>
      <c r="AA4098" s="8" t="e">
        <f>+VLOOKUP(I4098,[1]SKU!$H$2:$I$97,2,0)</f>
        <v>#N/A</v>
      </c>
    </row>
    <row r="4099" spans="24:27">
      <c r="X4099" s="8" t="str">
        <f>+IFERROR(VLOOKUP(N4099,[1]Hoja1!$B$2:$F$52,4,0)*P4099,"")</f>
        <v/>
      </c>
      <c r="Y4099" s="8" t="e">
        <f>+VLOOKUP(M4099,[1]SKU!$B$3:$E$81,4,0)</f>
        <v>#N/A</v>
      </c>
      <c r="Z4099" s="8" t="str">
        <f t="shared" ref="Z4099:Z4162" si="64">+IF(J4099="VB01                          ","BEES","FLEX")</f>
        <v>FLEX</v>
      </c>
      <c r="AA4099" s="8" t="e">
        <f>+VLOOKUP(I4099,[1]SKU!$H$2:$I$97,2,0)</f>
        <v>#N/A</v>
      </c>
    </row>
    <row r="4100" spans="24:27">
      <c r="X4100" s="8" t="str">
        <f>+IFERROR(VLOOKUP(N4100,[1]Hoja1!$B$2:$F$52,4,0)*P4100,"")</f>
        <v/>
      </c>
      <c r="Y4100" s="8" t="e">
        <f>+VLOOKUP(M4100,[1]SKU!$B$3:$E$81,4,0)</f>
        <v>#N/A</v>
      </c>
      <c r="Z4100" s="8" t="str">
        <f t="shared" si="64"/>
        <v>FLEX</v>
      </c>
      <c r="AA4100" s="8" t="e">
        <f>+VLOOKUP(I4100,[1]SKU!$H$2:$I$97,2,0)</f>
        <v>#N/A</v>
      </c>
    </row>
    <row r="4101" spans="24:27">
      <c r="X4101" s="8" t="str">
        <f>+IFERROR(VLOOKUP(N4101,[1]Hoja1!$B$2:$F$52,4,0)*P4101,"")</f>
        <v/>
      </c>
      <c r="Y4101" s="8" t="e">
        <f>+VLOOKUP(M4101,[1]SKU!$B$3:$E$81,4,0)</f>
        <v>#N/A</v>
      </c>
      <c r="Z4101" s="8" t="str">
        <f t="shared" si="64"/>
        <v>FLEX</v>
      </c>
      <c r="AA4101" s="8" t="e">
        <f>+VLOOKUP(I4101,[1]SKU!$H$2:$I$97,2,0)</f>
        <v>#N/A</v>
      </c>
    </row>
    <row r="4102" spans="24:27">
      <c r="X4102" s="8" t="str">
        <f>+IFERROR(VLOOKUP(N4102,[1]Hoja1!$B$2:$F$52,4,0)*P4102,"")</f>
        <v/>
      </c>
      <c r="Y4102" s="8" t="e">
        <f>+VLOOKUP(M4102,[1]SKU!$B$3:$E$81,4,0)</f>
        <v>#N/A</v>
      </c>
      <c r="Z4102" s="8" t="str">
        <f t="shared" si="64"/>
        <v>FLEX</v>
      </c>
      <c r="AA4102" s="8" t="e">
        <f>+VLOOKUP(I4102,[1]SKU!$H$2:$I$97,2,0)</f>
        <v>#N/A</v>
      </c>
    </row>
    <row r="4103" spans="24:27">
      <c r="X4103" s="8" t="str">
        <f>+IFERROR(VLOOKUP(N4103,[1]Hoja1!$B$2:$F$52,4,0)*P4103,"")</f>
        <v/>
      </c>
      <c r="Y4103" s="8" t="e">
        <f>+VLOOKUP(M4103,[1]SKU!$B$3:$E$81,4,0)</f>
        <v>#N/A</v>
      </c>
      <c r="Z4103" s="8" t="str">
        <f t="shared" si="64"/>
        <v>FLEX</v>
      </c>
      <c r="AA4103" s="8" t="e">
        <f>+VLOOKUP(I4103,[1]SKU!$H$2:$I$97,2,0)</f>
        <v>#N/A</v>
      </c>
    </row>
    <row r="4104" spans="24:27">
      <c r="X4104" s="8" t="str">
        <f>+IFERROR(VLOOKUP(N4104,[1]Hoja1!$B$2:$F$52,4,0)*P4104,"")</f>
        <v/>
      </c>
      <c r="Y4104" s="8" t="e">
        <f>+VLOOKUP(M4104,[1]SKU!$B$3:$E$81,4,0)</f>
        <v>#N/A</v>
      </c>
      <c r="Z4104" s="8" t="str">
        <f t="shared" si="64"/>
        <v>FLEX</v>
      </c>
      <c r="AA4104" s="8" t="e">
        <f>+VLOOKUP(I4104,[1]SKU!$H$2:$I$97,2,0)</f>
        <v>#N/A</v>
      </c>
    </row>
    <row r="4105" spans="24:27">
      <c r="X4105" s="8" t="str">
        <f>+IFERROR(VLOOKUP(N4105,[1]Hoja1!$B$2:$F$52,4,0)*P4105,"")</f>
        <v/>
      </c>
      <c r="Y4105" s="8" t="e">
        <f>+VLOOKUP(M4105,[1]SKU!$B$3:$E$81,4,0)</f>
        <v>#N/A</v>
      </c>
      <c r="Z4105" s="8" t="str">
        <f t="shared" si="64"/>
        <v>FLEX</v>
      </c>
      <c r="AA4105" s="8" t="e">
        <f>+VLOOKUP(I4105,[1]SKU!$H$2:$I$97,2,0)</f>
        <v>#N/A</v>
      </c>
    </row>
    <row r="4106" spans="24:27">
      <c r="X4106" s="8" t="str">
        <f>+IFERROR(VLOOKUP(N4106,[1]Hoja1!$B$2:$F$52,4,0)*P4106,"")</f>
        <v/>
      </c>
      <c r="Y4106" s="8" t="e">
        <f>+VLOOKUP(M4106,[1]SKU!$B$3:$E$81,4,0)</f>
        <v>#N/A</v>
      </c>
      <c r="Z4106" s="8" t="str">
        <f t="shared" si="64"/>
        <v>FLEX</v>
      </c>
      <c r="AA4106" s="8" t="e">
        <f>+VLOOKUP(I4106,[1]SKU!$H$2:$I$97,2,0)</f>
        <v>#N/A</v>
      </c>
    </row>
    <row r="4107" spans="24:27">
      <c r="X4107" s="8" t="str">
        <f>+IFERROR(VLOOKUP(N4107,[1]Hoja1!$B$2:$F$52,4,0)*P4107,"")</f>
        <v/>
      </c>
      <c r="Y4107" s="8" t="e">
        <f>+VLOOKUP(M4107,[1]SKU!$B$3:$E$81,4,0)</f>
        <v>#N/A</v>
      </c>
      <c r="Z4107" s="8" t="str">
        <f t="shared" si="64"/>
        <v>FLEX</v>
      </c>
      <c r="AA4107" s="8" t="e">
        <f>+VLOOKUP(I4107,[1]SKU!$H$2:$I$97,2,0)</f>
        <v>#N/A</v>
      </c>
    </row>
    <row r="4108" spans="24:27">
      <c r="X4108" s="8" t="str">
        <f>+IFERROR(VLOOKUP(N4108,[1]Hoja1!$B$2:$F$52,4,0)*P4108,"")</f>
        <v/>
      </c>
      <c r="Y4108" s="8" t="e">
        <f>+VLOOKUP(M4108,[1]SKU!$B$3:$E$81,4,0)</f>
        <v>#N/A</v>
      </c>
      <c r="Z4108" s="8" t="str">
        <f t="shared" si="64"/>
        <v>FLEX</v>
      </c>
      <c r="AA4108" s="8" t="e">
        <f>+VLOOKUP(I4108,[1]SKU!$H$2:$I$97,2,0)</f>
        <v>#N/A</v>
      </c>
    </row>
    <row r="4109" spans="24:27">
      <c r="X4109" s="8" t="str">
        <f>+IFERROR(VLOOKUP(N4109,[1]Hoja1!$B$2:$F$52,4,0)*P4109,"")</f>
        <v/>
      </c>
      <c r="Y4109" s="8" t="e">
        <f>+VLOOKUP(M4109,[1]SKU!$B$3:$E$81,4,0)</f>
        <v>#N/A</v>
      </c>
      <c r="Z4109" s="8" t="str">
        <f t="shared" si="64"/>
        <v>FLEX</v>
      </c>
      <c r="AA4109" s="8" t="e">
        <f>+VLOOKUP(I4109,[1]SKU!$H$2:$I$97,2,0)</f>
        <v>#N/A</v>
      </c>
    </row>
    <row r="4110" spans="24:27">
      <c r="X4110" s="8" t="str">
        <f>+IFERROR(VLOOKUP(N4110,[1]Hoja1!$B$2:$F$52,4,0)*P4110,"")</f>
        <v/>
      </c>
      <c r="Y4110" s="8" t="e">
        <f>+VLOOKUP(M4110,[1]SKU!$B$3:$E$81,4,0)</f>
        <v>#N/A</v>
      </c>
      <c r="Z4110" s="8" t="str">
        <f t="shared" si="64"/>
        <v>FLEX</v>
      </c>
      <c r="AA4110" s="8" t="e">
        <f>+VLOOKUP(I4110,[1]SKU!$H$2:$I$97,2,0)</f>
        <v>#N/A</v>
      </c>
    </row>
    <row r="4111" spans="24:27">
      <c r="X4111" s="8" t="str">
        <f>+IFERROR(VLOOKUP(N4111,[1]Hoja1!$B$2:$F$52,4,0)*P4111,"")</f>
        <v/>
      </c>
      <c r="Y4111" s="8" t="e">
        <f>+VLOOKUP(M4111,[1]SKU!$B$3:$E$81,4,0)</f>
        <v>#N/A</v>
      </c>
      <c r="Z4111" s="8" t="str">
        <f t="shared" si="64"/>
        <v>FLEX</v>
      </c>
      <c r="AA4111" s="8" t="e">
        <f>+VLOOKUP(I4111,[1]SKU!$H$2:$I$97,2,0)</f>
        <v>#N/A</v>
      </c>
    </row>
    <row r="4112" spans="24:27">
      <c r="X4112" s="8" t="str">
        <f>+IFERROR(VLOOKUP(N4112,[1]Hoja1!$B$2:$F$52,4,0)*P4112,"")</f>
        <v/>
      </c>
      <c r="Y4112" s="8" t="e">
        <f>+VLOOKUP(M4112,[1]SKU!$B$3:$E$81,4,0)</f>
        <v>#N/A</v>
      </c>
      <c r="Z4112" s="8" t="str">
        <f t="shared" si="64"/>
        <v>FLEX</v>
      </c>
      <c r="AA4112" s="8" t="e">
        <f>+VLOOKUP(I4112,[1]SKU!$H$2:$I$97,2,0)</f>
        <v>#N/A</v>
      </c>
    </row>
    <row r="4113" spans="24:27">
      <c r="X4113" s="8" t="str">
        <f>+IFERROR(VLOOKUP(N4113,[1]Hoja1!$B$2:$F$52,4,0)*P4113,"")</f>
        <v/>
      </c>
      <c r="Y4113" s="8" t="e">
        <f>+VLOOKUP(M4113,[1]SKU!$B$3:$E$81,4,0)</f>
        <v>#N/A</v>
      </c>
      <c r="Z4113" s="8" t="str">
        <f t="shared" si="64"/>
        <v>FLEX</v>
      </c>
      <c r="AA4113" s="8" t="e">
        <f>+VLOOKUP(I4113,[1]SKU!$H$2:$I$97,2,0)</f>
        <v>#N/A</v>
      </c>
    </row>
    <row r="4114" spans="24:27">
      <c r="X4114" s="8" t="str">
        <f>+IFERROR(VLOOKUP(N4114,[1]Hoja1!$B$2:$F$52,4,0)*P4114,"")</f>
        <v/>
      </c>
      <c r="Y4114" s="8" t="e">
        <f>+VLOOKUP(M4114,[1]SKU!$B$3:$E$81,4,0)</f>
        <v>#N/A</v>
      </c>
      <c r="Z4114" s="8" t="str">
        <f t="shared" si="64"/>
        <v>FLEX</v>
      </c>
      <c r="AA4114" s="8" t="e">
        <f>+VLOOKUP(I4114,[1]SKU!$H$2:$I$97,2,0)</f>
        <v>#N/A</v>
      </c>
    </row>
    <row r="4115" spans="24:27">
      <c r="X4115" s="8" t="str">
        <f>+IFERROR(VLOOKUP(N4115,[1]Hoja1!$B$2:$F$52,4,0)*P4115,"")</f>
        <v/>
      </c>
      <c r="Y4115" s="8" t="e">
        <f>+VLOOKUP(M4115,[1]SKU!$B$3:$E$81,4,0)</f>
        <v>#N/A</v>
      </c>
      <c r="Z4115" s="8" t="str">
        <f t="shared" si="64"/>
        <v>FLEX</v>
      </c>
      <c r="AA4115" s="8" t="e">
        <f>+VLOOKUP(I4115,[1]SKU!$H$2:$I$97,2,0)</f>
        <v>#N/A</v>
      </c>
    </row>
    <row r="4116" spans="24:27">
      <c r="X4116" s="8" t="str">
        <f>+IFERROR(VLOOKUP(N4116,[1]Hoja1!$B$2:$F$52,4,0)*P4116,"")</f>
        <v/>
      </c>
      <c r="Y4116" s="8" t="e">
        <f>+VLOOKUP(M4116,[1]SKU!$B$3:$E$81,4,0)</f>
        <v>#N/A</v>
      </c>
      <c r="Z4116" s="8" t="str">
        <f t="shared" si="64"/>
        <v>FLEX</v>
      </c>
      <c r="AA4116" s="8" t="e">
        <f>+VLOOKUP(I4116,[1]SKU!$H$2:$I$97,2,0)</f>
        <v>#N/A</v>
      </c>
    </row>
    <row r="4117" spans="24:27">
      <c r="X4117" s="8" t="str">
        <f>+IFERROR(VLOOKUP(N4117,[1]Hoja1!$B$2:$F$52,4,0)*P4117,"")</f>
        <v/>
      </c>
      <c r="Y4117" s="8" t="e">
        <f>+VLOOKUP(M4117,[1]SKU!$B$3:$E$81,4,0)</f>
        <v>#N/A</v>
      </c>
      <c r="Z4117" s="8" t="str">
        <f t="shared" si="64"/>
        <v>FLEX</v>
      </c>
      <c r="AA4117" s="8" t="e">
        <f>+VLOOKUP(I4117,[1]SKU!$H$2:$I$97,2,0)</f>
        <v>#N/A</v>
      </c>
    </row>
    <row r="4118" spans="24:27">
      <c r="X4118" s="8" t="str">
        <f>+IFERROR(VLOOKUP(N4118,[1]Hoja1!$B$2:$F$52,4,0)*P4118,"")</f>
        <v/>
      </c>
      <c r="Y4118" s="8" t="e">
        <f>+VLOOKUP(M4118,[1]SKU!$B$3:$E$81,4,0)</f>
        <v>#N/A</v>
      </c>
      <c r="Z4118" s="8" t="str">
        <f t="shared" si="64"/>
        <v>FLEX</v>
      </c>
      <c r="AA4118" s="8" t="e">
        <f>+VLOOKUP(I4118,[1]SKU!$H$2:$I$97,2,0)</f>
        <v>#N/A</v>
      </c>
    </row>
    <row r="4119" spans="24:27">
      <c r="X4119" s="8" t="str">
        <f>+IFERROR(VLOOKUP(N4119,[1]Hoja1!$B$2:$F$52,4,0)*P4119,"")</f>
        <v/>
      </c>
      <c r="Y4119" s="8" t="e">
        <f>+VLOOKUP(M4119,[1]SKU!$B$3:$E$81,4,0)</f>
        <v>#N/A</v>
      </c>
      <c r="Z4119" s="8" t="str">
        <f t="shared" si="64"/>
        <v>FLEX</v>
      </c>
      <c r="AA4119" s="8" t="e">
        <f>+VLOOKUP(I4119,[1]SKU!$H$2:$I$97,2,0)</f>
        <v>#N/A</v>
      </c>
    </row>
    <row r="4120" spans="24:27">
      <c r="X4120" s="8" t="str">
        <f>+IFERROR(VLOOKUP(N4120,[1]Hoja1!$B$2:$F$52,4,0)*P4120,"")</f>
        <v/>
      </c>
      <c r="Y4120" s="8" t="e">
        <f>+VLOOKUP(M4120,[1]SKU!$B$3:$E$81,4,0)</f>
        <v>#N/A</v>
      </c>
      <c r="Z4120" s="8" t="str">
        <f t="shared" si="64"/>
        <v>FLEX</v>
      </c>
      <c r="AA4120" s="8" t="e">
        <f>+VLOOKUP(I4120,[1]SKU!$H$2:$I$97,2,0)</f>
        <v>#N/A</v>
      </c>
    </row>
    <row r="4121" spans="24:27">
      <c r="X4121" s="8" t="str">
        <f>+IFERROR(VLOOKUP(N4121,[1]Hoja1!$B$2:$F$52,4,0)*P4121,"")</f>
        <v/>
      </c>
      <c r="Y4121" s="8" t="e">
        <f>+VLOOKUP(M4121,[1]SKU!$B$3:$E$81,4,0)</f>
        <v>#N/A</v>
      </c>
      <c r="Z4121" s="8" t="str">
        <f t="shared" si="64"/>
        <v>FLEX</v>
      </c>
      <c r="AA4121" s="8" t="e">
        <f>+VLOOKUP(I4121,[1]SKU!$H$2:$I$97,2,0)</f>
        <v>#N/A</v>
      </c>
    </row>
    <row r="4122" spans="24:27">
      <c r="X4122" s="8" t="str">
        <f>+IFERROR(VLOOKUP(N4122,[1]Hoja1!$B$2:$F$52,4,0)*P4122,"")</f>
        <v/>
      </c>
      <c r="Y4122" s="8" t="e">
        <f>+VLOOKUP(M4122,[1]SKU!$B$3:$E$81,4,0)</f>
        <v>#N/A</v>
      </c>
      <c r="Z4122" s="8" t="str">
        <f t="shared" si="64"/>
        <v>FLEX</v>
      </c>
      <c r="AA4122" s="8" t="e">
        <f>+VLOOKUP(I4122,[1]SKU!$H$2:$I$97,2,0)</f>
        <v>#N/A</v>
      </c>
    </row>
    <row r="4123" spans="24:27">
      <c r="X4123" s="8" t="str">
        <f>+IFERROR(VLOOKUP(N4123,[1]Hoja1!$B$2:$F$52,4,0)*P4123,"")</f>
        <v/>
      </c>
      <c r="Y4123" s="8" t="e">
        <f>+VLOOKUP(M4123,[1]SKU!$B$3:$E$81,4,0)</f>
        <v>#N/A</v>
      </c>
      <c r="Z4123" s="8" t="str">
        <f t="shared" si="64"/>
        <v>FLEX</v>
      </c>
      <c r="AA4123" s="8" t="e">
        <f>+VLOOKUP(I4123,[1]SKU!$H$2:$I$97,2,0)</f>
        <v>#N/A</v>
      </c>
    </row>
    <row r="4124" spans="24:27">
      <c r="X4124" s="8" t="str">
        <f>+IFERROR(VLOOKUP(N4124,[1]Hoja1!$B$2:$F$52,4,0)*P4124,"")</f>
        <v/>
      </c>
      <c r="Y4124" s="8" t="e">
        <f>+VLOOKUP(M4124,[1]SKU!$B$3:$E$81,4,0)</f>
        <v>#N/A</v>
      </c>
      <c r="Z4124" s="8" t="str">
        <f t="shared" si="64"/>
        <v>FLEX</v>
      </c>
      <c r="AA4124" s="8" t="e">
        <f>+VLOOKUP(I4124,[1]SKU!$H$2:$I$97,2,0)</f>
        <v>#N/A</v>
      </c>
    </row>
    <row r="4125" spans="24:27">
      <c r="X4125" s="8" t="str">
        <f>+IFERROR(VLOOKUP(N4125,[1]Hoja1!$B$2:$F$52,4,0)*P4125,"")</f>
        <v/>
      </c>
      <c r="Y4125" s="8" t="e">
        <f>+VLOOKUP(M4125,[1]SKU!$B$3:$E$81,4,0)</f>
        <v>#N/A</v>
      </c>
      <c r="Z4125" s="8" t="str">
        <f t="shared" si="64"/>
        <v>FLEX</v>
      </c>
      <c r="AA4125" s="8" t="e">
        <f>+VLOOKUP(I4125,[1]SKU!$H$2:$I$97,2,0)</f>
        <v>#N/A</v>
      </c>
    </row>
    <row r="4126" spans="24:27">
      <c r="X4126" s="8" t="str">
        <f>+IFERROR(VLOOKUP(N4126,[1]Hoja1!$B$2:$F$52,4,0)*P4126,"")</f>
        <v/>
      </c>
      <c r="Y4126" s="8" t="e">
        <f>+VLOOKUP(M4126,[1]SKU!$B$3:$E$81,4,0)</f>
        <v>#N/A</v>
      </c>
      <c r="Z4126" s="8" t="str">
        <f t="shared" si="64"/>
        <v>FLEX</v>
      </c>
      <c r="AA4126" s="8" t="e">
        <f>+VLOOKUP(I4126,[1]SKU!$H$2:$I$97,2,0)</f>
        <v>#N/A</v>
      </c>
    </row>
    <row r="4127" spans="24:27">
      <c r="X4127" s="8" t="str">
        <f>+IFERROR(VLOOKUP(N4127,[1]Hoja1!$B$2:$F$52,4,0)*P4127,"")</f>
        <v/>
      </c>
      <c r="Y4127" s="8" t="e">
        <f>+VLOOKUP(M4127,[1]SKU!$B$3:$E$81,4,0)</f>
        <v>#N/A</v>
      </c>
      <c r="Z4127" s="8" t="str">
        <f t="shared" si="64"/>
        <v>FLEX</v>
      </c>
      <c r="AA4127" s="8" t="e">
        <f>+VLOOKUP(I4127,[1]SKU!$H$2:$I$97,2,0)</f>
        <v>#N/A</v>
      </c>
    </row>
    <row r="4128" spans="24:27">
      <c r="X4128" s="8" t="str">
        <f>+IFERROR(VLOOKUP(N4128,[1]Hoja1!$B$2:$F$52,4,0)*P4128,"")</f>
        <v/>
      </c>
      <c r="Y4128" s="8" t="e">
        <f>+VLOOKUP(M4128,[1]SKU!$B$3:$E$81,4,0)</f>
        <v>#N/A</v>
      </c>
      <c r="Z4128" s="8" t="str">
        <f t="shared" si="64"/>
        <v>FLEX</v>
      </c>
      <c r="AA4128" s="8" t="e">
        <f>+VLOOKUP(I4128,[1]SKU!$H$2:$I$97,2,0)</f>
        <v>#N/A</v>
      </c>
    </row>
    <row r="4129" spans="24:27">
      <c r="X4129" s="8" t="str">
        <f>+IFERROR(VLOOKUP(N4129,[1]Hoja1!$B$2:$F$52,4,0)*P4129,"")</f>
        <v/>
      </c>
      <c r="Y4129" s="8" t="e">
        <f>+VLOOKUP(M4129,[1]SKU!$B$3:$E$81,4,0)</f>
        <v>#N/A</v>
      </c>
      <c r="Z4129" s="8" t="str">
        <f t="shared" si="64"/>
        <v>FLEX</v>
      </c>
      <c r="AA4129" s="8" t="e">
        <f>+VLOOKUP(I4129,[1]SKU!$H$2:$I$97,2,0)</f>
        <v>#N/A</v>
      </c>
    </row>
    <row r="4130" spans="24:27">
      <c r="X4130" s="8" t="str">
        <f>+IFERROR(VLOOKUP(N4130,[1]Hoja1!$B$2:$F$52,4,0)*P4130,"")</f>
        <v/>
      </c>
      <c r="Y4130" s="8" t="e">
        <f>+VLOOKUP(M4130,[1]SKU!$B$3:$E$81,4,0)</f>
        <v>#N/A</v>
      </c>
      <c r="Z4130" s="8" t="str">
        <f t="shared" si="64"/>
        <v>FLEX</v>
      </c>
      <c r="AA4130" s="8" t="e">
        <f>+VLOOKUP(I4130,[1]SKU!$H$2:$I$97,2,0)</f>
        <v>#N/A</v>
      </c>
    </row>
    <row r="4131" spans="24:27">
      <c r="X4131" s="8" t="str">
        <f>+IFERROR(VLOOKUP(N4131,[1]Hoja1!$B$2:$F$52,4,0)*P4131,"")</f>
        <v/>
      </c>
      <c r="Y4131" s="8" t="e">
        <f>+VLOOKUP(M4131,[1]SKU!$B$3:$E$81,4,0)</f>
        <v>#N/A</v>
      </c>
      <c r="Z4131" s="8" t="str">
        <f t="shared" si="64"/>
        <v>FLEX</v>
      </c>
      <c r="AA4131" s="8" t="e">
        <f>+VLOOKUP(I4131,[1]SKU!$H$2:$I$97,2,0)</f>
        <v>#N/A</v>
      </c>
    </row>
    <row r="4132" spans="24:27">
      <c r="X4132" s="8" t="str">
        <f>+IFERROR(VLOOKUP(N4132,[1]Hoja1!$B$2:$F$52,4,0)*P4132,"")</f>
        <v/>
      </c>
      <c r="Y4132" s="8" t="e">
        <f>+VLOOKUP(M4132,[1]SKU!$B$3:$E$81,4,0)</f>
        <v>#N/A</v>
      </c>
      <c r="Z4132" s="8" t="str">
        <f t="shared" si="64"/>
        <v>FLEX</v>
      </c>
      <c r="AA4132" s="8" t="e">
        <f>+VLOOKUP(I4132,[1]SKU!$H$2:$I$97,2,0)</f>
        <v>#N/A</v>
      </c>
    </row>
    <row r="4133" spans="24:27">
      <c r="X4133" s="8" t="str">
        <f>+IFERROR(VLOOKUP(N4133,[1]Hoja1!$B$2:$F$52,4,0)*P4133,"")</f>
        <v/>
      </c>
      <c r="Y4133" s="8" t="e">
        <f>+VLOOKUP(M4133,[1]SKU!$B$3:$E$81,4,0)</f>
        <v>#N/A</v>
      </c>
      <c r="Z4133" s="8" t="str">
        <f t="shared" si="64"/>
        <v>FLEX</v>
      </c>
      <c r="AA4133" s="8" t="e">
        <f>+VLOOKUP(I4133,[1]SKU!$H$2:$I$97,2,0)</f>
        <v>#N/A</v>
      </c>
    </row>
    <row r="4134" spans="24:27">
      <c r="X4134" s="8" t="str">
        <f>+IFERROR(VLOOKUP(N4134,[1]Hoja1!$B$2:$F$52,4,0)*P4134,"")</f>
        <v/>
      </c>
      <c r="Y4134" s="8" t="e">
        <f>+VLOOKUP(M4134,[1]SKU!$B$3:$E$81,4,0)</f>
        <v>#N/A</v>
      </c>
      <c r="Z4134" s="8" t="str">
        <f t="shared" si="64"/>
        <v>FLEX</v>
      </c>
      <c r="AA4134" s="8" t="e">
        <f>+VLOOKUP(I4134,[1]SKU!$H$2:$I$97,2,0)</f>
        <v>#N/A</v>
      </c>
    </row>
    <row r="4135" spans="24:27">
      <c r="X4135" s="8" t="str">
        <f>+IFERROR(VLOOKUP(N4135,[1]Hoja1!$B$2:$F$52,4,0)*P4135,"")</f>
        <v/>
      </c>
      <c r="Y4135" s="8" t="e">
        <f>+VLOOKUP(M4135,[1]SKU!$B$3:$E$81,4,0)</f>
        <v>#N/A</v>
      </c>
      <c r="Z4135" s="8" t="str">
        <f t="shared" si="64"/>
        <v>FLEX</v>
      </c>
      <c r="AA4135" s="8" t="e">
        <f>+VLOOKUP(I4135,[1]SKU!$H$2:$I$97,2,0)</f>
        <v>#N/A</v>
      </c>
    </row>
    <row r="4136" spans="24:27">
      <c r="X4136" s="8" t="str">
        <f>+IFERROR(VLOOKUP(N4136,[1]Hoja1!$B$2:$F$52,4,0)*P4136,"")</f>
        <v/>
      </c>
      <c r="Y4136" s="8" t="e">
        <f>+VLOOKUP(M4136,[1]SKU!$B$3:$E$81,4,0)</f>
        <v>#N/A</v>
      </c>
      <c r="Z4136" s="8" t="str">
        <f t="shared" si="64"/>
        <v>FLEX</v>
      </c>
      <c r="AA4136" s="8" t="e">
        <f>+VLOOKUP(I4136,[1]SKU!$H$2:$I$97,2,0)</f>
        <v>#N/A</v>
      </c>
    </row>
    <row r="4137" spans="24:27">
      <c r="X4137" s="8" t="str">
        <f>+IFERROR(VLOOKUP(N4137,[1]Hoja1!$B$2:$F$52,4,0)*P4137,"")</f>
        <v/>
      </c>
      <c r="Y4137" s="8" t="e">
        <f>+VLOOKUP(M4137,[1]SKU!$B$3:$E$81,4,0)</f>
        <v>#N/A</v>
      </c>
      <c r="Z4137" s="8" t="str">
        <f t="shared" si="64"/>
        <v>FLEX</v>
      </c>
      <c r="AA4137" s="8" t="e">
        <f>+VLOOKUP(I4137,[1]SKU!$H$2:$I$97,2,0)</f>
        <v>#N/A</v>
      </c>
    </row>
    <row r="4138" spans="24:27">
      <c r="X4138" s="8" t="str">
        <f>+IFERROR(VLOOKUP(N4138,[1]Hoja1!$B$2:$F$52,4,0)*P4138,"")</f>
        <v/>
      </c>
      <c r="Y4138" s="8" t="e">
        <f>+VLOOKUP(M4138,[1]SKU!$B$3:$E$81,4,0)</f>
        <v>#N/A</v>
      </c>
      <c r="Z4138" s="8" t="str">
        <f t="shared" si="64"/>
        <v>FLEX</v>
      </c>
      <c r="AA4138" s="8" t="e">
        <f>+VLOOKUP(I4138,[1]SKU!$H$2:$I$97,2,0)</f>
        <v>#N/A</v>
      </c>
    </row>
    <row r="4139" spans="24:27">
      <c r="X4139" s="8" t="str">
        <f>+IFERROR(VLOOKUP(N4139,[1]Hoja1!$B$2:$F$52,4,0)*P4139,"")</f>
        <v/>
      </c>
      <c r="Y4139" s="8" t="e">
        <f>+VLOOKUP(M4139,[1]SKU!$B$3:$E$81,4,0)</f>
        <v>#N/A</v>
      </c>
      <c r="Z4139" s="8" t="str">
        <f t="shared" si="64"/>
        <v>FLEX</v>
      </c>
      <c r="AA4139" s="8" t="e">
        <f>+VLOOKUP(I4139,[1]SKU!$H$2:$I$97,2,0)</f>
        <v>#N/A</v>
      </c>
    </row>
    <row r="4140" spans="24:27">
      <c r="X4140" s="8" t="str">
        <f>+IFERROR(VLOOKUP(N4140,[1]Hoja1!$B$2:$F$52,4,0)*P4140,"")</f>
        <v/>
      </c>
      <c r="Y4140" s="8" t="e">
        <f>+VLOOKUP(M4140,[1]SKU!$B$3:$E$81,4,0)</f>
        <v>#N/A</v>
      </c>
      <c r="Z4140" s="8" t="str">
        <f t="shared" si="64"/>
        <v>FLEX</v>
      </c>
      <c r="AA4140" s="8" t="e">
        <f>+VLOOKUP(I4140,[1]SKU!$H$2:$I$97,2,0)</f>
        <v>#N/A</v>
      </c>
    </row>
    <row r="4141" spans="24:27">
      <c r="X4141" s="8" t="str">
        <f>+IFERROR(VLOOKUP(N4141,[1]Hoja1!$B$2:$F$52,4,0)*P4141,"")</f>
        <v/>
      </c>
      <c r="Y4141" s="8" t="e">
        <f>+VLOOKUP(M4141,[1]SKU!$B$3:$E$81,4,0)</f>
        <v>#N/A</v>
      </c>
      <c r="Z4141" s="8" t="str">
        <f t="shared" si="64"/>
        <v>FLEX</v>
      </c>
      <c r="AA4141" s="8" t="e">
        <f>+VLOOKUP(I4141,[1]SKU!$H$2:$I$97,2,0)</f>
        <v>#N/A</v>
      </c>
    </row>
    <row r="4142" spans="24:27">
      <c r="X4142" s="8" t="str">
        <f>+IFERROR(VLOOKUP(N4142,[1]Hoja1!$B$2:$F$52,4,0)*P4142,"")</f>
        <v/>
      </c>
      <c r="Y4142" s="8" t="e">
        <f>+VLOOKUP(M4142,[1]SKU!$B$3:$E$81,4,0)</f>
        <v>#N/A</v>
      </c>
      <c r="Z4142" s="8" t="str">
        <f t="shared" si="64"/>
        <v>FLEX</v>
      </c>
      <c r="AA4142" s="8" t="e">
        <f>+VLOOKUP(I4142,[1]SKU!$H$2:$I$97,2,0)</f>
        <v>#N/A</v>
      </c>
    </row>
    <row r="4143" spans="24:27">
      <c r="X4143" s="8" t="str">
        <f>+IFERROR(VLOOKUP(N4143,[1]Hoja1!$B$2:$F$52,4,0)*P4143,"")</f>
        <v/>
      </c>
      <c r="Y4143" s="8" t="e">
        <f>+VLOOKUP(M4143,[1]SKU!$B$3:$E$81,4,0)</f>
        <v>#N/A</v>
      </c>
      <c r="Z4143" s="8" t="str">
        <f t="shared" si="64"/>
        <v>FLEX</v>
      </c>
      <c r="AA4143" s="8" t="e">
        <f>+VLOOKUP(I4143,[1]SKU!$H$2:$I$97,2,0)</f>
        <v>#N/A</v>
      </c>
    </row>
    <row r="4144" spans="24:27">
      <c r="X4144" s="8" t="str">
        <f>+IFERROR(VLOOKUP(N4144,[1]Hoja1!$B$2:$F$52,4,0)*P4144,"")</f>
        <v/>
      </c>
      <c r="Y4144" s="8" t="e">
        <f>+VLOOKUP(M4144,[1]SKU!$B$3:$E$81,4,0)</f>
        <v>#N/A</v>
      </c>
      <c r="Z4144" s="8" t="str">
        <f t="shared" si="64"/>
        <v>FLEX</v>
      </c>
      <c r="AA4144" s="8" t="e">
        <f>+VLOOKUP(I4144,[1]SKU!$H$2:$I$97,2,0)</f>
        <v>#N/A</v>
      </c>
    </row>
    <row r="4145" spans="24:27">
      <c r="X4145" s="8" t="str">
        <f>+IFERROR(VLOOKUP(N4145,[1]Hoja1!$B$2:$F$52,4,0)*P4145,"")</f>
        <v/>
      </c>
      <c r="Y4145" s="8" t="e">
        <f>+VLOOKUP(M4145,[1]SKU!$B$3:$E$81,4,0)</f>
        <v>#N/A</v>
      </c>
      <c r="Z4145" s="8" t="str">
        <f t="shared" si="64"/>
        <v>FLEX</v>
      </c>
      <c r="AA4145" s="8" t="e">
        <f>+VLOOKUP(I4145,[1]SKU!$H$2:$I$97,2,0)</f>
        <v>#N/A</v>
      </c>
    </row>
    <row r="4146" spans="24:27">
      <c r="X4146" s="8" t="str">
        <f>+IFERROR(VLOOKUP(N4146,[1]Hoja1!$B$2:$F$52,4,0)*P4146,"")</f>
        <v/>
      </c>
      <c r="Y4146" s="8" t="e">
        <f>+VLOOKUP(M4146,[1]SKU!$B$3:$E$81,4,0)</f>
        <v>#N/A</v>
      </c>
      <c r="Z4146" s="8" t="str">
        <f t="shared" si="64"/>
        <v>FLEX</v>
      </c>
      <c r="AA4146" s="8" t="e">
        <f>+VLOOKUP(I4146,[1]SKU!$H$2:$I$97,2,0)</f>
        <v>#N/A</v>
      </c>
    </row>
    <row r="4147" spans="24:27">
      <c r="X4147" s="8" t="str">
        <f>+IFERROR(VLOOKUP(N4147,[1]Hoja1!$B$2:$F$52,4,0)*P4147,"")</f>
        <v/>
      </c>
      <c r="Y4147" s="8" t="e">
        <f>+VLOOKUP(M4147,[1]SKU!$B$3:$E$81,4,0)</f>
        <v>#N/A</v>
      </c>
      <c r="Z4147" s="8" t="str">
        <f t="shared" si="64"/>
        <v>FLEX</v>
      </c>
      <c r="AA4147" s="8" t="e">
        <f>+VLOOKUP(I4147,[1]SKU!$H$2:$I$97,2,0)</f>
        <v>#N/A</v>
      </c>
    </row>
    <row r="4148" spans="24:27">
      <c r="X4148" s="8" t="str">
        <f>+IFERROR(VLOOKUP(N4148,[1]Hoja1!$B$2:$F$52,4,0)*P4148,"")</f>
        <v/>
      </c>
      <c r="Y4148" s="8" t="e">
        <f>+VLOOKUP(M4148,[1]SKU!$B$3:$E$81,4,0)</f>
        <v>#N/A</v>
      </c>
      <c r="Z4148" s="8" t="str">
        <f t="shared" si="64"/>
        <v>FLEX</v>
      </c>
      <c r="AA4148" s="8" t="e">
        <f>+VLOOKUP(I4148,[1]SKU!$H$2:$I$97,2,0)</f>
        <v>#N/A</v>
      </c>
    </row>
    <row r="4149" spans="24:27">
      <c r="X4149" s="8" t="str">
        <f>+IFERROR(VLOOKUP(N4149,[1]Hoja1!$B$2:$F$52,4,0)*P4149,"")</f>
        <v/>
      </c>
      <c r="Y4149" s="8" t="e">
        <f>+VLOOKUP(M4149,[1]SKU!$B$3:$E$81,4,0)</f>
        <v>#N/A</v>
      </c>
      <c r="Z4149" s="8" t="str">
        <f t="shared" si="64"/>
        <v>FLEX</v>
      </c>
      <c r="AA4149" s="8" t="e">
        <f>+VLOOKUP(I4149,[1]SKU!$H$2:$I$97,2,0)</f>
        <v>#N/A</v>
      </c>
    </row>
    <row r="4150" spans="24:27">
      <c r="X4150" s="8" t="str">
        <f>+IFERROR(VLOOKUP(N4150,[1]Hoja1!$B$2:$F$52,4,0)*P4150,"")</f>
        <v/>
      </c>
      <c r="Y4150" s="8" t="e">
        <f>+VLOOKUP(M4150,[1]SKU!$B$3:$E$81,4,0)</f>
        <v>#N/A</v>
      </c>
      <c r="Z4150" s="8" t="str">
        <f t="shared" si="64"/>
        <v>FLEX</v>
      </c>
      <c r="AA4150" s="8" t="e">
        <f>+VLOOKUP(I4150,[1]SKU!$H$2:$I$97,2,0)</f>
        <v>#N/A</v>
      </c>
    </row>
    <row r="4151" spans="24:27">
      <c r="X4151" s="8" t="str">
        <f>+IFERROR(VLOOKUP(N4151,[1]Hoja1!$B$2:$F$52,4,0)*P4151,"")</f>
        <v/>
      </c>
      <c r="Y4151" s="8" t="e">
        <f>+VLOOKUP(M4151,[1]SKU!$B$3:$E$81,4,0)</f>
        <v>#N/A</v>
      </c>
      <c r="Z4151" s="8" t="str">
        <f t="shared" si="64"/>
        <v>FLEX</v>
      </c>
      <c r="AA4151" s="8" t="e">
        <f>+VLOOKUP(I4151,[1]SKU!$H$2:$I$97,2,0)</f>
        <v>#N/A</v>
      </c>
    </row>
    <row r="4152" spans="24:27">
      <c r="X4152" s="8" t="str">
        <f>+IFERROR(VLOOKUP(N4152,[1]Hoja1!$B$2:$F$52,4,0)*P4152,"")</f>
        <v/>
      </c>
      <c r="Y4152" s="8" t="e">
        <f>+VLOOKUP(M4152,[1]SKU!$B$3:$E$81,4,0)</f>
        <v>#N/A</v>
      </c>
      <c r="Z4152" s="8" t="str">
        <f t="shared" si="64"/>
        <v>FLEX</v>
      </c>
      <c r="AA4152" s="8" t="e">
        <f>+VLOOKUP(I4152,[1]SKU!$H$2:$I$97,2,0)</f>
        <v>#N/A</v>
      </c>
    </row>
    <row r="4153" spans="24:27">
      <c r="X4153" s="8" t="str">
        <f>+IFERROR(VLOOKUP(N4153,[1]Hoja1!$B$2:$F$52,4,0)*P4153,"")</f>
        <v/>
      </c>
      <c r="Y4153" s="8" t="e">
        <f>+VLOOKUP(M4153,[1]SKU!$B$3:$E$81,4,0)</f>
        <v>#N/A</v>
      </c>
      <c r="Z4153" s="8" t="str">
        <f t="shared" si="64"/>
        <v>FLEX</v>
      </c>
      <c r="AA4153" s="8" t="e">
        <f>+VLOOKUP(I4153,[1]SKU!$H$2:$I$97,2,0)</f>
        <v>#N/A</v>
      </c>
    </row>
    <row r="4154" spans="24:27">
      <c r="X4154" s="8" t="str">
        <f>+IFERROR(VLOOKUP(N4154,[1]Hoja1!$B$2:$F$52,4,0)*P4154,"")</f>
        <v/>
      </c>
      <c r="Y4154" s="8" t="e">
        <f>+VLOOKUP(M4154,[1]SKU!$B$3:$E$81,4,0)</f>
        <v>#N/A</v>
      </c>
      <c r="Z4154" s="8" t="str">
        <f t="shared" si="64"/>
        <v>FLEX</v>
      </c>
      <c r="AA4154" s="8" t="e">
        <f>+VLOOKUP(I4154,[1]SKU!$H$2:$I$97,2,0)</f>
        <v>#N/A</v>
      </c>
    </row>
    <row r="4155" spans="24:27">
      <c r="X4155" s="8" t="str">
        <f>+IFERROR(VLOOKUP(N4155,[1]Hoja1!$B$2:$F$52,4,0)*P4155,"")</f>
        <v/>
      </c>
      <c r="Y4155" s="8" t="e">
        <f>+VLOOKUP(M4155,[1]SKU!$B$3:$E$81,4,0)</f>
        <v>#N/A</v>
      </c>
      <c r="Z4155" s="8" t="str">
        <f t="shared" si="64"/>
        <v>FLEX</v>
      </c>
      <c r="AA4155" s="8" t="e">
        <f>+VLOOKUP(I4155,[1]SKU!$H$2:$I$97,2,0)</f>
        <v>#N/A</v>
      </c>
    </row>
    <row r="4156" spans="24:27">
      <c r="X4156" s="8" t="str">
        <f>+IFERROR(VLOOKUP(N4156,[1]Hoja1!$B$2:$F$52,4,0)*P4156,"")</f>
        <v/>
      </c>
      <c r="Y4156" s="8" t="e">
        <f>+VLOOKUP(M4156,[1]SKU!$B$3:$E$81,4,0)</f>
        <v>#N/A</v>
      </c>
      <c r="Z4156" s="8" t="str">
        <f t="shared" si="64"/>
        <v>FLEX</v>
      </c>
      <c r="AA4156" s="8" t="e">
        <f>+VLOOKUP(I4156,[1]SKU!$H$2:$I$97,2,0)</f>
        <v>#N/A</v>
      </c>
    </row>
    <row r="4157" spans="24:27">
      <c r="X4157" s="8" t="str">
        <f>+IFERROR(VLOOKUP(N4157,[1]Hoja1!$B$2:$F$52,4,0)*P4157,"")</f>
        <v/>
      </c>
      <c r="Y4157" s="8" t="e">
        <f>+VLOOKUP(M4157,[1]SKU!$B$3:$E$81,4,0)</f>
        <v>#N/A</v>
      </c>
      <c r="Z4157" s="8" t="str">
        <f t="shared" si="64"/>
        <v>FLEX</v>
      </c>
      <c r="AA4157" s="8" t="e">
        <f>+VLOOKUP(I4157,[1]SKU!$H$2:$I$97,2,0)</f>
        <v>#N/A</v>
      </c>
    </row>
    <row r="4158" spans="24:27">
      <c r="X4158" s="8" t="str">
        <f>+IFERROR(VLOOKUP(N4158,[1]Hoja1!$B$2:$F$52,4,0)*P4158,"")</f>
        <v/>
      </c>
      <c r="Y4158" s="8" t="e">
        <f>+VLOOKUP(M4158,[1]SKU!$B$3:$E$81,4,0)</f>
        <v>#N/A</v>
      </c>
      <c r="Z4158" s="8" t="str">
        <f t="shared" si="64"/>
        <v>FLEX</v>
      </c>
      <c r="AA4158" s="8" t="e">
        <f>+VLOOKUP(I4158,[1]SKU!$H$2:$I$97,2,0)</f>
        <v>#N/A</v>
      </c>
    </row>
    <row r="4159" spans="24:27">
      <c r="X4159" s="8" t="str">
        <f>+IFERROR(VLOOKUP(N4159,[1]Hoja1!$B$2:$F$52,4,0)*P4159,"")</f>
        <v/>
      </c>
      <c r="Y4159" s="8" t="e">
        <f>+VLOOKUP(M4159,[1]SKU!$B$3:$E$81,4,0)</f>
        <v>#N/A</v>
      </c>
      <c r="Z4159" s="8" t="str">
        <f t="shared" si="64"/>
        <v>FLEX</v>
      </c>
      <c r="AA4159" s="8" t="e">
        <f>+VLOOKUP(I4159,[1]SKU!$H$2:$I$97,2,0)</f>
        <v>#N/A</v>
      </c>
    </row>
    <row r="4160" spans="24:27">
      <c r="X4160" s="8" t="str">
        <f>+IFERROR(VLOOKUP(N4160,[1]Hoja1!$B$2:$F$52,4,0)*P4160,"")</f>
        <v/>
      </c>
      <c r="Y4160" s="8" t="e">
        <f>+VLOOKUP(M4160,[1]SKU!$B$3:$E$81,4,0)</f>
        <v>#N/A</v>
      </c>
      <c r="Z4160" s="8" t="str">
        <f t="shared" si="64"/>
        <v>FLEX</v>
      </c>
      <c r="AA4160" s="8" t="e">
        <f>+VLOOKUP(I4160,[1]SKU!$H$2:$I$97,2,0)</f>
        <v>#N/A</v>
      </c>
    </row>
    <row r="4161" spans="24:27">
      <c r="X4161" s="8" t="str">
        <f>+IFERROR(VLOOKUP(N4161,[1]Hoja1!$B$2:$F$52,4,0)*P4161,"")</f>
        <v/>
      </c>
      <c r="Y4161" s="8" t="e">
        <f>+VLOOKUP(M4161,[1]SKU!$B$3:$E$81,4,0)</f>
        <v>#N/A</v>
      </c>
      <c r="Z4161" s="8" t="str">
        <f t="shared" si="64"/>
        <v>FLEX</v>
      </c>
      <c r="AA4161" s="8" t="e">
        <f>+VLOOKUP(I4161,[1]SKU!$H$2:$I$97,2,0)</f>
        <v>#N/A</v>
      </c>
    </row>
    <row r="4162" spans="24:27">
      <c r="X4162" s="8" t="str">
        <f>+IFERROR(VLOOKUP(N4162,[1]Hoja1!$B$2:$F$52,4,0)*P4162,"")</f>
        <v/>
      </c>
      <c r="Y4162" s="8" t="e">
        <f>+VLOOKUP(M4162,[1]SKU!$B$3:$E$81,4,0)</f>
        <v>#N/A</v>
      </c>
      <c r="Z4162" s="8" t="str">
        <f t="shared" si="64"/>
        <v>FLEX</v>
      </c>
      <c r="AA4162" s="8" t="e">
        <f>+VLOOKUP(I4162,[1]SKU!$H$2:$I$97,2,0)</f>
        <v>#N/A</v>
      </c>
    </row>
    <row r="4163" spans="24:27">
      <c r="X4163" s="8" t="str">
        <f>+IFERROR(VLOOKUP(N4163,[1]Hoja1!$B$2:$F$52,4,0)*P4163,"")</f>
        <v/>
      </c>
      <c r="Y4163" s="8" t="e">
        <f>+VLOOKUP(M4163,[1]SKU!$B$3:$E$81,4,0)</f>
        <v>#N/A</v>
      </c>
      <c r="Z4163" s="8" t="str">
        <f t="shared" ref="Z4163:Z4226" si="65">+IF(J4163="VB01                          ","BEES","FLEX")</f>
        <v>FLEX</v>
      </c>
      <c r="AA4163" s="8" t="e">
        <f>+VLOOKUP(I4163,[1]SKU!$H$2:$I$97,2,0)</f>
        <v>#N/A</v>
      </c>
    </row>
    <row r="4164" spans="24:27">
      <c r="X4164" s="8" t="str">
        <f>+IFERROR(VLOOKUP(N4164,[1]Hoja1!$B$2:$F$52,4,0)*P4164,"")</f>
        <v/>
      </c>
      <c r="Y4164" s="8" t="e">
        <f>+VLOOKUP(M4164,[1]SKU!$B$3:$E$81,4,0)</f>
        <v>#N/A</v>
      </c>
      <c r="Z4164" s="8" t="str">
        <f t="shared" si="65"/>
        <v>FLEX</v>
      </c>
      <c r="AA4164" s="8" t="e">
        <f>+VLOOKUP(I4164,[1]SKU!$H$2:$I$97,2,0)</f>
        <v>#N/A</v>
      </c>
    </row>
    <row r="4165" spans="24:27">
      <c r="X4165" s="8" t="str">
        <f>+IFERROR(VLOOKUP(N4165,[1]Hoja1!$B$2:$F$52,4,0)*P4165,"")</f>
        <v/>
      </c>
      <c r="Y4165" s="8" t="e">
        <f>+VLOOKUP(M4165,[1]SKU!$B$3:$E$81,4,0)</f>
        <v>#N/A</v>
      </c>
      <c r="Z4165" s="8" t="str">
        <f t="shared" si="65"/>
        <v>FLEX</v>
      </c>
      <c r="AA4165" s="8" t="e">
        <f>+VLOOKUP(I4165,[1]SKU!$H$2:$I$97,2,0)</f>
        <v>#N/A</v>
      </c>
    </row>
    <row r="4166" spans="24:27">
      <c r="X4166" s="8" t="str">
        <f>+IFERROR(VLOOKUP(N4166,[1]Hoja1!$B$2:$F$52,4,0)*P4166,"")</f>
        <v/>
      </c>
      <c r="Y4166" s="8" t="e">
        <f>+VLOOKUP(M4166,[1]SKU!$B$3:$E$81,4,0)</f>
        <v>#N/A</v>
      </c>
      <c r="Z4166" s="8" t="str">
        <f t="shared" si="65"/>
        <v>FLEX</v>
      </c>
      <c r="AA4166" s="8" t="e">
        <f>+VLOOKUP(I4166,[1]SKU!$H$2:$I$97,2,0)</f>
        <v>#N/A</v>
      </c>
    </row>
    <row r="4167" spans="24:27">
      <c r="X4167" s="8" t="str">
        <f>+IFERROR(VLOOKUP(N4167,[1]Hoja1!$B$2:$F$52,4,0)*P4167,"")</f>
        <v/>
      </c>
      <c r="Y4167" s="8" t="e">
        <f>+VLOOKUP(M4167,[1]SKU!$B$3:$E$81,4,0)</f>
        <v>#N/A</v>
      </c>
      <c r="Z4167" s="8" t="str">
        <f t="shared" si="65"/>
        <v>FLEX</v>
      </c>
      <c r="AA4167" s="8" t="e">
        <f>+VLOOKUP(I4167,[1]SKU!$H$2:$I$97,2,0)</f>
        <v>#N/A</v>
      </c>
    </row>
    <row r="4168" spans="24:27">
      <c r="X4168" s="8" t="str">
        <f>+IFERROR(VLOOKUP(N4168,[1]Hoja1!$B$2:$F$52,4,0)*P4168,"")</f>
        <v/>
      </c>
      <c r="Y4168" s="8" t="e">
        <f>+VLOOKUP(M4168,[1]SKU!$B$3:$E$81,4,0)</f>
        <v>#N/A</v>
      </c>
      <c r="Z4168" s="8" t="str">
        <f t="shared" si="65"/>
        <v>FLEX</v>
      </c>
      <c r="AA4168" s="8" t="e">
        <f>+VLOOKUP(I4168,[1]SKU!$H$2:$I$97,2,0)</f>
        <v>#N/A</v>
      </c>
    </row>
    <row r="4169" spans="24:27">
      <c r="X4169" s="8" t="str">
        <f>+IFERROR(VLOOKUP(N4169,[1]Hoja1!$B$2:$F$52,4,0)*P4169,"")</f>
        <v/>
      </c>
      <c r="Y4169" s="8" t="e">
        <f>+VLOOKUP(M4169,[1]SKU!$B$3:$E$81,4,0)</f>
        <v>#N/A</v>
      </c>
      <c r="Z4169" s="8" t="str">
        <f t="shared" si="65"/>
        <v>FLEX</v>
      </c>
      <c r="AA4169" s="8" t="e">
        <f>+VLOOKUP(I4169,[1]SKU!$H$2:$I$97,2,0)</f>
        <v>#N/A</v>
      </c>
    </row>
    <row r="4170" spans="24:27">
      <c r="X4170" s="8" t="str">
        <f>+IFERROR(VLOOKUP(N4170,[1]Hoja1!$B$2:$F$52,4,0)*P4170,"")</f>
        <v/>
      </c>
      <c r="Y4170" s="8" t="e">
        <f>+VLOOKUP(M4170,[1]SKU!$B$3:$E$81,4,0)</f>
        <v>#N/A</v>
      </c>
      <c r="Z4170" s="8" t="str">
        <f t="shared" si="65"/>
        <v>FLEX</v>
      </c>
      <c r="AA4170" s="8" t="e">
        <f>+VLOOKUP(I4170,[1]SKU!$H$2:$I$97,2,0)</f>
        <v>#N/A</v>
      </c>
    </row>
    <row r="4171" spans="24:27">
      <c r="X4171" s="8" t="str">
        <f>+IFERROR(VLOOKUP(N4171,[1]Hoja1!$B$2:$F$52,4,0)*P4171,"")</f>
        <v/>
      </c>
      <c r="Y4171" s="8" t="e">
        <f>+VLOOKUP(M4171,[1]SKU!$B$3:$E$81,4,0)</f>
        <v>#N/A</v>
      </c>
      <c r="Z4171" s="8" t="str">
        <f t="shared" si="65"/>
        <v>FLEX</v>
      </c>
      <c r="AA4171" s="8" t="e">
        <f>+VLOOKUP(I4171,[1]SKU!$H$2:$I$97,2,0)</f>
        <v>#N/A</v>
      </c>
    </row>
    <row r="4172" spans="24:27">
      <c r="X4172" s="8" t="str">
        <f>+IFERROR(VLOOKUP(N4172,[1]Hoja1!$B$2:$F$52,4,0)*P4172,"")</f>
        <v/>
      </c>
      <c r="Y4172" s="8" t="e">
        <f>+VLOOKUP(M4172,[1]SKU!$B$3:$E$81,4,0)</f>
        <v>#N/A</v>
      </c>
      <c r="Z4172" s="8" t="str">
        <f t="shared" si="65"/>
        <v>FLEX</v>
      </c>
      <c r="AA4172" s="8" t="e">
        <f>+VLOOKUP(I4172,[1]SKU!$H$2:$I$97,2,0)</f>
        <v>#N/A</v>
      </c>
    </row>
    <row r="4173" spans="24:27">
      <c r="X4173" s="8" t="str">
        <f>+IFERROR(VLOOKUP(N4173,[1]Hoja1!$B$2:$F$52,4,0)*P4173,"")</f>
        <v/>
      </c>
      <c r="Y4173" s="8" t="e">
        <f>+VLOOKUP(M4173,[1]SKU!$B$3:$E$81,4,0)</f>
        <v>#N/A</v>
      </c>
      <c r="Z4173" s="8" t="str">
        <f t="shared" si="65"/>
        <v>FLEX</v>
      </c>
      <c r="AA4173" s="8" t="e">
        <f>+VLOOKUP(I4173,[1]SKU!$H$2:$I$97,2,0)</f>
        <v>#N/A</v>
      </c>
    </row>
    <row r="4174" spans="24:27">
      <c r="X4174" s="8" t="str">
        <f>+IFERROR(VLOOKUP(N4174,[1]Hoja1!$B$2:$F$52,4,0)*P4174,"")</f>
        <v/>
      </c>
      <c r="Y4174" s="8" t="e">
        <f>+VLOOKUP(M4174,[1]SKU!$B$3:$E$81,4,0)</f>
        <v>#N/A</v>
      </c>
      <c r="Z4174" s="8" t="str">
        <f t="shared" si="65"/>
        <v>FLEX</v>
      </c>
      <c r="AA4174" s="8" t="e">
        <f>+VLOOKUP(I4174,[1]SKU!$H$2:$I$97,2,0)</f>
        <v>#N/A</v>
      </c>
    </row>
    <row r="4175" spans="24:27">
      <c r="X4175" s="8" t="str">
        <f>+IFERROR(VLOOKUP(N4175,[1]Hoja1!$B$2:$F$52,4,0)*P4175,"")</f>
        <v/>
      </c>
      <c r="Y4175" s="8" t="e">
        <f>+VLOOKUP(M4175,[1]SKU!$B$3:$E$81,4,0)</f>
        <v>#N/A</v>
      </c>
      <c r="Z4175" s="8" t="str">
        <f t="shared" si="65"/>
        <v>FLEX</v>
      </c>
      <c r="AA4175" s="8" t="e">
        <f>+VLOOKUP(I4175,[1]SKU!$H$2:$I$97,2,0)</f>
        <v>#N/A</v>
      </c>
    </row>
    <row r="4176" spans="24:27">
      <c r="X4176" s="8" t="str">
        <f>+IFERROR(VLOOKUP(N4176,[1]Hoja1!$B$2:$F$52,4,0)*P4176,"")</f>
        <v/>
      </c>
      <c r="Y4176" s="8" t="e">
        <f>+VLOOKUP(M4176,[1]SKU!$B$3:$E$81,4,0)</f>
        <v>#N/A</v>
      </c>
      <c r="Z4176" s="8" t="str">
        <f t="shared" si="65"/>
        <v>FLEX</v>
      </c>
      <c r="AA4176" s="8" t="e">
        <f>+VLOOKUP(I4176,[1]SKU!$H$2:$I$97,2,0)</f>
        <v>#N/A</v>
      </c>
    </row>
    <row r="4177" spans="24:27">
      <c r="X4177" s="8" t="str">
        <f>+IFERROR(VLOOKUP(N4177,[1]Hoja1!$B$2:$F$52,4,0)*P4177,"")</f>
        <v/>
      </c>
      <c r="Y4177" s="8" t="e">
        <f>+VLOOKUP(M4177,[1]SKU!$B$3:$E$81,4,0)</f>
        <v>#N/A</v>
      </c>
      <c r="Z4177" s="8" t="str">
        <f t="shared" si="65"/>
        <v>FLEX</v>
      </c>
      <c r="AA4177" s="8" t="e">
        <f>+VLOOKUP(I4177,[1]SKU!$H$2:$I$97,2,0)</f>
        <v>#N/A</v>
      </c>
    </row>
    <row r="4178" spans="24:27">
      <c r="X4178" s="8" t="str">
        <f>+IFERROR(VLOOKUP(N4178,[1]Hoja1!$B$2:$F$52,4,0)*P4178,"")</f>
        <v/>
      </c>
      <c r="Y4178" s="8" t="e">
        <f>+VLOOKUP(M4178,[1]SKU!$B$3:$E$81,4,0)</f>
        <v>#N/A</v>
      </c>
      <c r="Z4178" s="8" t="str">
        <f t="shared" si="65"/>
        <v>FLEX</v>
      </c>
      <c r="AA4178" s="8" t="e">
        <f>+VLOOKUP(I4178,[1]SKU!$H$2:$I$97,2,0)</f>
        <v>#N/A</v>
      </c>
    </row>
    <row r="4179" spans="24:27">
      <c r="X4179" s="8" t="str">
        <f>+IFERROR(VLOOKUP(N4179,[1]Hoja1!$B$2:$F$52,4,0)*P4179,"")</f>
        <v/>
      </c>
      <c r="Y4179" s="8" t="e">
        <f>+VLOOKUP(M4179,[1]SKU!$B$3:$E$81,4,0)</f>
        <v>#N/A</v>
      </c>
      <c r="Z4179" s="8" t="str">
        <f t="shared" si="65"/>
        <v>FLEX</v>
      </c>
      <c r="AA4179" s="8" t="e">
        <f>+VLOOKUP(I4179,[1]SKU!$H$2:$I$97,2,0)</f>
        <v>#N/A</v>
      </c>
    </row>
    <row r="4180" spans="24:27">
      <c r="X4180" s="8" t="str">
        <f>+IFERROR(VLOOKUP(N4180,[1]Hoja1!$B$2:$F$52,4,0)*P4180,"")</f>
        <v/>
      </c>
      <c r="Y4180" s="8" t="e">
        <f>+VLOOKUP(M4180,[1]SKU!$B$3:$E$81,4,0)</f>
        <v>#N/A</v>
      </c>
      <c r="Z4180" s="8" t="str">
        <f t="shared" si="65"/>
        <v>FLEX</v>
      </c>
      <c r="AA4180" s="8" t="e">
        <f>+VLOOKUP(I4180,[1]SKU!$H$2:$I$97,2,0)</f>
        <v>#N/A</v>
      </c>
    </row>
    <row r="4181" spans="24:27">
      <c r="X4181" s="8" t="str">
        <f>+IFERROR(VLOOKUP(N4181,[1]Hoja1!$B$2:$F$52,4,0)*P4181,"")</f>
        <v/>
      </c>
      <c r="Y4181" s="8" t="e">
        <f>+VLOOKUP(M4181,[1]SKU!$B$3:$E$81,4,0)</f>
        <v>#N/A</v>
      </c>
      <c r="Z4181" s="8" t="str">
        <f t="shared" si="65"/>
        <v>FLEX</v>
      </c>
      <c r="AA4181" s="8" t="e">
        <f>+VLOOKUP(I4181,[1]SKU!$H$2:$I$97,2,0)</f>
        <v>#N/A</v>
      </c>
    </row>
    <row r="4182" spans="24:27">
      <c r="X4182" s="8" t="str">
        <f>+IFERROR(VLOOKUP(N4182,[1]Hoja1!$B$2:$F$52,4,0)*P4182,"")</f>
        <v/>
      </c>
      <c r="Y4182" s="8" t="e">
        <f>+VLOOKUP(M4182,[1]SKU!$B$3:$E$81,4,0)</f>
        <v>#N/A</v>
      </c>
      <c r="Z4182" s="8" t="str">
        <f t="shared" si="65"/>
        <v>FLEX</v>
      </c>
      <c r="AA4182" s="8" t="e">
        <f>+VLOOKUP(I4182,[1]SKU!$H$2:$I$97,2,0)</f>
        <v>#N/A</v>
      </c>
    </row>
    <row r="4183" spans="24:27">
      <c r="X4183" s="8" t="str">
        <f>+IFERROR(VLOOKUP(N4183,[1]Hoja1!$B$2:$F$52,4,0)*P4183,"")</f>
        <v/>
      </c>
      <c r="Y4183" s="8" t="e">
        <f>+VLOOKUP(M4183,[1]SKU!$B$3:$E$81,4,0)</f>
        <v>#N/A</v>
      </c>
      <c r="Z4183" s="8" t="str">
        <f t="shared" si="65"/>
        <v>FLEX</v>
      </c>
      <c r="AA4183" s="8" t="e">
        <f>+VLOOKUP(I4183,[1]SKU!$H$2:$I$97,2,0)</f>
        <v>#N/A</v>
      </c>
    </row>
    <row r="4184" spans="24:27">
      <c r="X4184" s="8" t="str">
        <f>+IFERROR(VLOOKUP(N4184,[1]Hoja1!$B$2:$F$52,4,0)*P4184,"")</f>
        <v/>
      </c>
      <c r="Y4184" s="8" t="e">
        <f>+VLOOKUP(M4184,[1]SKU!$B$3:$E$81,4,0)</f>
        <v>#N/A</v>
      </c>
      <c r="Z4184" s="8" t="str">
        <f t="shared" si="65"/>
        <v>FLEX</v>
      </c>
      <c r="AA4184" s="8" t="e">
        <f>+VLOOKUP(I4184,[1]SKU!$H$2:$I$97,2,0)</f>
        <v>#N/A</v>
      </c>
    </row>
    <row r="4185" spans="24:27">
      <c r="X4185" s="8" t="str">
        <f>+IFERROR(VLOOKUP(N4185,[1]Hoja1!$B$2:$F$52,4,0)*P4185,"")</f>
        <v/>
      </c>
      <c r="Y4185" s="8" t="e">
        <f>+VLOOKUP(M4185,[1]SKU!$B$3:$E$81,4,0)</f>
        <v>#N/A</v>
      </c>
      <c r="Z4185" s="8" t="str">
        <f t="shared" si="65"/>
        <v>FLEX</v>
      </c>
      <c r="AA4185" s="8" t="e">
        <f>+VLOOKUP(I4185,[1]SKU!$H$2:$I$97,2,0)</f>
        <v>#N/A</v>
      </c>
    </row>
    <row r="4186" spans="24:27">
      <c r="X4186" s="8" t="str">
        <f>+IFERROR(VLOOKUP(N4186,[1]Hoja1!$B$2:$F$52,4,0)*P4186,"")</f>
        <v/>
      </c>
      <c r="Y4186" s="8" t="e">
        <f>+VLOOKUP(M4186,[1]SKU!$B$3:$E$81,4,0)</f>
        <v>#N/A</v>
      </c>
      <c r="Z4186" s="8" t="str">
        <f t="shared" si="65"/>
        <v>FLEX</v>
      </c>
      <c r="AA4186" s="8" t="e">
        <f>+VLOOKUP(I4186,[1]SKU!$H$2:$I$97,2,0)</f>
        <v>#N/A</v>
      </c>
    </row>
    <row r="4187" spans="24:27">
      <c r="X4187" s="8" t="str">
        <f>+IFERROR(VLOOKUP(N4187,[1]Hoja1!$B$2:$F$52,4,0)*P4187,"")</f>
        <v/>
      </c>
      <c r="Y4187" s="8" t="e">
        <f>+VLOOKUP(M4187,[1]SKU!$B$3:$E$81,4,0)</f>
        <v>#N/A</v>
      </c>
      <c r="Z4187" s="8" t="str">
        <f t="shared" si="65"/>
        <v>FLEX</v>
      </c>
      <c r="AA4187" s="8" t="e">
        <f>+VLOOKUP(I4187,[1]SKU!$H$2:$I$97,2,0)</f>
        <v>#N/A</v>
      </c>
    </row>
    <row r="4188" spans="24:27">
      <c r="X4188" s="8" t="str">
        <f>+IFERROR(VLOOKUP(N4188,[1]Hoja1!$B$2:$F$52,4,0)*P4188,"")</f>
        <v/>
      </c>
      <c r="Y4188" s="8" t="e">
        <f>+VLOOKUP(M4188,[1]SKU!$B$3:$E$81,4,0)</f>
        <v>#N/A</v>
      </c>
      <c r="Z4188" s="8" t="str">
        <f t="shared" si="65"/>
        <v>FLEX</v>
      </c>
      <c r="AA4188" s="8" t="e">
        <f>+VLOOKUP(I4188,[1]SKU!$H$2:$I$97,2,0)</f>
        <v>#N/A</v>
      </c>
    </row>
    <row r="4189" spans="24:27">
      <c r="X4189" s="8" t="str">
        <f>+IFERROR(VLOOKUP(N4189,[1]Hoja1!$B$2:$F$52,4,0)*P4189,"")</f>
        <v/>
      </c>
      <c r="Y4189" s="8" t="e">
        <f>+VLOOKUP(M4189,[1]SKU!$B$3:$E$81,4,0)</f>
        <v>#N/A</v>
      </c>
      <c r="Z4189" s="8" t="str">
        <f t="shared" si="65"/>
        <v>FLEX</v>
      </c>
      <c r="AA4189" s="8" t="e">
        <f>+VLOOKUP(I4189,[1]SKU!$H$2:$I$97,2,0)</f>
        <v>#N/A</v>
      </c>
    </row>
    <row r="4190" spans="24:27">
      <c r="X4190" s="8" t="str">
        <f>+IFERROR(VLOOKUP(N4190,[1]Hoja1!$B$2:$F$52,4,0)*P4190,"")</f>
        <v/>
      </c>
      <c r="Y4190" s="8" t="e">
        <f>+VLOOKUP(M4190,[1]SKU!$B$3:$E$81,4,0)</f>
        <v>#N/A</v>
      </c>
      <c r="Z4190" s="8" t="str">
        <f t="shared" si="65"/>
        <v>FLEX</v>
      </c>
      <c r="AA4190" s="8" t="e">
        <f>+VLOOKUP(I4190,[1]SKU!$H$2:$I$97,2,0)</f>
        <v>#N/A</v>
      </c>
    </row>
    <row r="4191" spans="24:27">
      <c r="X4191" s="8" t="str">
        <f>+IFERROR(VLOOKUP(N4191,[1]Hoja1!$B$2:$F$52,4,0)*P4191,"")</f>
        <v/>
      </c>
      <c r="Y4191" s="8" t="e">
        <f>+VLOOKUP(M4191,[1]SKU!$B$3:$E$81,4,0)</f>
        <v>#N/A</v>
      </c>
      <c r="Z4191" s="8" t="str">
        <f t="shared" si="65"/>
        <v>FLEX</v>
      </c>
      <c r="AA4191" s="8" t="e">
        <f>+VLOOKUP(I4191,[1]SKU!$H$2:$I$97,2,0)</f>
        <v>#N/A</v>
      </c>
    </row>
    <row r="4192" spans="24:27">
      <c r="X4192" s="8" t="str">
        <f>+IFERROR(VLOOKUP(N4192,[1]Hoja1!$B$2:$F$52,4,0)*P4192,"")</f>
        <v/>
      </c>
      <c r="Y4192" s="8" t="e">
        <f>+VLOOKUP(M4192,[1]SKU!$B$3:$E$81,4,0)</f>
        <v>#N/A</v>
      </c>
      <c r="Z4192" s="8" t="str">
        <f t="shared" si="65"/>
        <v>FLEX</v>
      </c>
      <c r="AA4192" s="8" t="e">
        <f>+VLOOKUP(I4192,[1]SKU!$H$2:$I$97,2,0)</f>
        <v>#N/A</v>
      </c>
    </row>
    <row r="4193" spans="24:27">
      <c r="X4193" s="8" t="str">
        <f>+IFERROR(VLOOKUP(N4193,[1]Hoja1!$B$2:$F$52,4,0)*P4193,"")</f>
        <v/>
      </c>
      <c r="Y4193" s="8" t="e">
        <f>+VLOOKUP(M4193,[1]SKU!$B$3:$E$81,4,0)</f>
        <v>#N/A</v>
      </c>
      <c r="Z4193" s="8" t="str">
        <f t="shared" si="65"/>
        <v>FLEX</v>
      </c>
      <c r="AA4193" s="8" t="e">
        <f>+VLOOKUP(I4193,[1]SKU!$H$2:$I$97,2,0)</f>
        <v>#N/A</v>
      </c>
    </row>
    <row r="4194" spans="24:27">
      <c r="X4194" s="8" t="str">
        <f>+IFERROR(VLOOKUP(N4194,[1]Hoja1!$B$2:$F$52,4,0)*P4194,"")</f>
        <v/>
      </c>
      <c r="Y4194" s="8" t="e">
        <f>+VLOOKUP(M4194,[1]SKU!$B$3:$E$81,4,0)</f>
        <v>#N/A</v>
      </c>
      <c r="Z4194" s="8" t="str">
        <f t="shared" si="65"/>
        <v>FLEX</v>
      </c>
      <c r="AA4194" s="8" t="e">
        <f>+VLOOKUP(I4194,[1]SKU!$H$2:$I$97,2,0)</f>
        <v>#N/A</v>
      </c>
    </row>
    <row r="4195" spans="24:27">
      <c r="X4195" s="8" t="str">
        <f>+IFERROR(VLOOKUP(N4195,[1]Hoja1!$B$2:$F$52,4,0)*P4195,"")</f>
        <v/>
      </c>
      <c r="Y4195" s="8" t="e">
        <f>+VLOOKUP(M4195,[1]SKU!$B$3:$E$81,4,0)</f>
        <v>#N/A</v>
      </c>
      <c r="Z4195" s="8" t="str">
        <f t="shared" si="65"/>
        <v>FLEX</v>
      </c>
      <c r="AA4195" s="8" t="e">
        <f>+VLOOKUP(I4195,[1]SKU!$H$2:$I$97,2,0)</f>
        <v>#N/A</v>
      </c>
    </row>
    <row r="4196" spans="24:27">
      <c r="X4196" s="8" t="str">
        <f>+IFERROR(VLOOKUP(N4196,[1]Hoja1!$B$2:$F$52,4,0)*P4196,"")</f>
        <v/>
      </c>
      <c r="Y4196" s="8" t="e">
        <f>+VLOOKUP(M4196,[1]SKU!$B$3:$E$81,4,0)</f>
        <v>#N/A</v>
      </c>
      <c r="Z4196" s="8" t="str">
        <f t="shared" si="65"/>
        <v>FLEX</v>
      </c>
      <c r="AA4196" s="8" t="e">
        <f>+VLOOKUP(I4196,[1]SKU!$H$2:$I$97,2,0)</f>
        <v>#N/A</v>
      </c>
    </row>
    <row r="4197" spans="24:27">
      <c r="X4197" s="8" t="str">
        <f>+IFERROR(VLOOKUP(N4197,[1]Hoja1!$B$2:$F$52,4,0)*P4197,"")</f>
        <v/>
      </c>
      <c r="Y4197" s="8" t="e">
        <f>+VLOOKUP(M4197,[1]SKU!$B$3:$E$81,4,0)</f>
        <v>#N/A</v>
      </c>
      <c r="Z4197" s="8" t="str">
        <f t="shared" si="65"/>
        <v>FLEX</v>
      </c>
      <c r="AA4197" s="8" t="e">
        <f>+VLOOKUP(I4197,[1]SKU!$H$2:$I$97,2,0)</f>
        <v>#N/A</v>
      </c>
    </row>
    <row r="4198" spans="24:27">
      <c r="X4198" s="8" t="str">
        <f>+IFERROR(VLOOKUP(N4198,[1]Hoja1!$B$2:$F$52,4,0)*P4198,"")</f>
        <v/>
      </c>
      <c r="Y4198" s="8" t="e">
        <f>+VLOOKUP(M4198,[1]SKU!$B$3:$E$81,4,0)</f>
        <v>#N/A</v>
      </c>
      <c r="Z4198" s="8" t="str">
        <f t="shared" si="65"/>
        <v>FLEX</v>
      </c>
      <c r="AA4198" s="8" t="e">
        <f>+VLOOKUP(I4198,[1]SKU!$H$2:$I$97,2,0)</f>
        <v>#N/A</v>
      </c>
    </row>
    <row r="4199" spans="24:27">
      <c r="X4199" s="8" t="str">
        <f>+IFERROR(VLOOKUP(N4199,[1]Hoja1!$B$2:$F$52,4,0)*P4199,"")</f>
        <v/>
      </c>
      <c r="Y4199" s="8" t="e">
        <f>+VLOOKUP(M4199,[1]SKU!$B$3:$E$81,4,0)</f>
        <v>#N/A</v>
      </c>
      <c r="Z4199" s="8" t="str">
        <f t="shared" si="65"/>
        <v>FLEX</v>
      </c>
      <c r="AA4199" s="8" t="e">
        <f>+VLOOKUP(I4199,[1]SKU!$H$2:$I$97,2,0)</f>
        <v>#N/A</v>
      </c>
    </row>
    <row r="4200" spans="24:27">
      <c r="X4200" s="8" t="str">
        <f>+IFERROR(VLOOKUP(N4200,[1]Hoja1!$B$2:$F$52,4,0)*P4200,"")</f>
        <v/>
      </c>
      <c r="Y4200" s="8" t="e">
        <f>+VLOOKUP(M4200,[1]SKU!$B$3:$E$81,4,0)</f>
        <v>#N/A</v>
      </c>
      <c r="Z4200" s="8" t="str">
        <f t="shared" si="65"/>
        <v>FLEX</v>
      </c>
      <c r="AA4200" s="8" t="e">
        <f>+VLOOKUP(I4200,[1]SKU!$H$2:$I$97,2,0)</f>
        <v>#N/A</v>
      </c>
    </row>
    <row r="4201" spans="24:27">
      <c r="X4201" s="8" t="str">
        <f>+IFERROR(VLOOKUP(N4201,[1]Hoja1!$B$2:$F$52,4,0)*P4201,"")</f>
        <v/>
      </c>
      <c r="Y4201" s="8" t="e">
        <f>+VLOOKUP(M4201,[1]SKU!$B$3:$E$81,4,0)</f>
        <v>#N/A</v>
      </c>
      <c r="Z4201" s="8" t="str">
        <f t="shared" si="65"/>
        <v>FLEX</v>
      </c>
      <c r="AA4201" s="8" t="e">
        <f>+VLOOKUP(I4201,[1]SKU!$H$2:$I$97,2,0)</f>
        <v>#N/A</v>
      </c>
    </row>
    <row r="4202" spans="24:27">
      <c r="X4202" s="8" t="str">
        <f>+IFERROR(VLOOKUP(N4202,[1]Hoja1!$B$2:$F$52,4,0)*P4202,"")</f>
        <v/>
      </c>
      <c r="Y4202" s="8" t="e">
        <f>+VLOOKUP(M4202,[1]SKU!$B$3:$E$81,4,0)</f>
        <v>#N/A</v>
      </c>
      <c r="Z4202" s="8" t="str">
        <f t="shared" si="65"/>
        <v>FLEX</v>
      </c>
      <c r="AA4202" s="8" t="e">
        <f>+VLOOKUP(I4202,[1]SKU!$H$2:$I$97,2,0)</f>
        <v>#N/A</v>
      </c>
    </row>
    <row r="4203" spans="24:27">
      <c r="X4203" s="8" t="str">
        <f>+IFERROR(VLOOKUP(N4203,[1]Hoja1!$B$2:$F$52,4,0)*P4203,"")</f>
        <v/>
      </c>
      <c r="Y4203" s="8" t="e">
        <f>+VLOOKUP(M4203,[1]SKU!$B$3:$E$81,4,0)</f>
        <v>#N/A</v>
      </c>
      <c r="Z4203" s="8" t="str">
        <f t="shared" si="65"/>
        <v>FLEX</v>
      </c>
      <c r="AA4203" s="8" t="e">
        <f>+VLOOKUP(I4203,[1]SKU!$H$2:$I$97,2,0)</f>
        <v>#N/A</v>
      </c>
    </row>
    <row r="4204" spans="24:27">
      <c r="X4204" s="8" t="str">
        <f>+IFERROR(VLOOKUP(N4204,[1]Hoja1!$B$2:$F$52,4,0)*P4204,"")</f>
        <v/>
      </c>
      <c r="Y4204" s="8" t="e">
        <f>+VLOOKUP(M4204,[1]SKU!$B$3:$E$81,4,0)</f>
        <v>#N/A</v>
      </c>
      <c r="Z4204" s="8" t="str">
        <f t="shared" si="65"/>
        <v>FLEX</v>
      </c>
      <c r="AA4204" s="8" t="e">
        <f>+VLOOKUP(I4204,[1]SKU!$H$2:$I$97,2,0)</f>
        <v>#N/A</v>
      </c>
    </row>
    <row r="4205" spans="24:27">
      <c r="X4205" s="8" t="str">
        <f>+IFERROR(VLOOKUP(N4205,[1]Hoja1!$B$2:$F$52,4,0)*P4205,"")</f>
        <v/>
      </c>
      <c r="Y4205" s="8" t="e">
        <f>+VLOOKUP(M4205,[1]SKU!$B$3:$E$81,4,0)</f>
        <v>#N/A</v>
      </c>
      <c r="Z4205" s="8" t="str">
        <f t="shared" si="65"/>
        <v>FLEX</v>
      </c>
      <c r="AA4205" s="8" t="e">
        <f>+VLOOKUP(I4205,[1]SKU!$H$2:$I$97,2,0)</f>
        <v>#N/A</v>
      </c>
    </row>
    <row r="4206" spans="24:27">
      <c r="X4206" s="8" t="str">
        <f>+IFERROR(VLOOKUP(N4206,[1]Hoja1!$B$2:$F$52,4,0)*P4206,"")</f>
        <v/>
      </c>
      <c r="Y4206" s="8" t="e">
        <f>+VLOOKUP(M4206,[1]SKU!$B$3:$E$81,4,0)</f>
        <v>#N/A</v>
      </c>
      <c r="Z4206" s="8" t="str">
        <f t="shared" si="65"/>
        <v>FLEX</v>
      </c>
      <c r="AA4206" s="8" t="e">
        <f>+VLOOKUP(I4206,[1]SKU!$H$2:$I$97,2,0)</f>
        <v>#N/A</v>
      </c>
    </row>
    <row r="4207" spans="24:27">
      <c r="X4207" s="8" t="str">
        <f>+IFERROR(VLOOKUP(N4207,[1]Hoja1!$B$2:$F$52,4,0)*P4207,"")</f>
        <v/>
      </c>
      <c r="Y4207" s="8" t="e">
        <f>+VLOOKUP(M4207,[1]SKU!$B$3:$E$81,4,0)</f>
        <v>#N/A</v>
      </c>
      <c r="Z4207" s="8" t="str">
        <f t="shared" si="65"/>
        <v>FLEX</v>
      </c>
      <c r="AA4207" s="8" t="e">
        <f>+VLOOKUP(I4207,[1]SKU!$H$2:$I$97,2,0)</f>
        <v>#N/A</v>
      </c>
    </row>
    <row r="4208" spans="24:27">
      <c r="X4208" s="8" t="str">
        <f>+IFERROR(VLOOKUP(N4208,[1]Hoja1!$B$2:$F$52,4,0)*P4208,"")</f>
        <v/>
      </c>
      <c r="Y4208" s="8" t="e">
        <f>+VLOOKUP(M4208,[1]SKU!$B$3:$E$81,4,0)</f>
        <v>#N/A</v>
      </c>
      <c r="Z4208" s="8" t="str">
        <f t="shared" si="65"/>
        <v>FLEX</v>
      </c>
      <c r="AA4208" s="8" t="e">
        <f>+VLOOKUP(I4208,[1]SKU!$H$2:$I$97,2,0)</f>
        <v>#N/A</v>
      </c>
    </row>
    <row r="4209" spans="24:27">
      <c r="X4209" s="8" t="str">
        <f>+IFERROR(VLOOKUP(N4209,[1]Hoja1!$B$2:$F$52,4,0)*P4209,"")</f>
        <v/>
      </c>
      <c r="Y4209" s="8" t="e">
        <f>+VLOOKUP(M4209,[1]SKU!$B$3:$E$81,4,0)</f>
        <v>#N/A</v>
      </c>
      <c r="Z4209" s="8" t="str">
        <f t="shared" si="65"/>
        <v>FLEX</v>
      </c>
      <c r="AA4209" s="8" t="e">
        <f>+VLOOKUP(I4209,[1]SKU!$H$2:$I$97,2,0)</f>
        <v>#N/A</v>
      </c>
    </row>
    <row r="4210" spans="24:27">
      <c r="X4210" s="8" t="str">
        <f>+IFERROR(VLOOKUP(N4210,[1]Hoja1!$B$2:$F$52,4,0)*P4210,"")</f>
        <v/>
      </c>
      <c r="Y4210" s="8" t="e">
        <f>+VLOOKUP(M4210,[1]SKU!$B$3:$E$81,4,0)</f>
        <v>#N/A</v>
      </c>
      <c r="Z4210" s="8" t="str">
        <f t="shared" si="65"/>
        <v>FLEX</v>
      </c>
      <c r="AA4210" s="8" t="e">
        <f>+VLOOKUP(I4210,[1]SKU!$H$2:$I$97,2,0)</f>
        <v>#N/A</v>
      </c>
    </row>
    <row r="4211" spans="24:27">
      <c r="X4211" s="8" t="str">
        <f>+IFERROR(VLOOKUP(N4211,[1]Hoja1!$B$2:$F$52,4,0)*P4211,"")</f>
        <v/>
      </c>
      <c r="Y4211" s="8" t="e">
        <f>+VLOOKUP(M4211,[1]SKU!$B$3:$E$81,4,0)</f>
        <v>#N/A</v>
      </c>
      <c r="Z4211" s="8" t="str">
        <f t="shared" si="65"/>
        <v>FLEX</v>
      </c>
      <c r="AA4211" s="8" t="e">
        <f>+VLOOKUP(I4211,[1]SKU!$H$2:$I$97,2,0)</f>
        <v>#N/A</v>
      </c>
    </row>
    <row r="4212" spans="24:27">
      <c r="X4212" s="8" t="str">
        <f>+IFERROR(VLOOKUP(N4212,[1]Hoja1!$B$2:$F$52,4,0)*P4212,"")</f>
        <v/>
      </c>
      <c r="Y4212" s="8" t="e">
        <f>+VLOOKUP(M4212,[1]SKU!$B$3:$E$81,4,0)</f>
        <v>#N/A</v>
      </c>
      <c r="Z4212" s="8" t="str">
        <f t="shared" si="65"/>
        <v>FLEX</v>
      </c>
      <c r="AA4212" s="8" t="e">
        <f>+VLOOKUP(I4212,[1]SKU!$H$2:$I$97,2,0)</f>
        <v>#N/A</v>
      </c>
    </row>
    <row r="4213" spans="24:27">
      <c r="X4213" s="8" t="str">
        <f>+IFERROR(VLOOKUP(N4213,[1]Hoja1!$B$2:$F$52,4,0)*P4213,"")</f>
        <v/>
      </c>
      <c r="Y4213" s="8" t="e">
        <f>+VLOOKUP(M4213,[1]SKU!$B$3:$E$81,4,0)</f>
        <v>#N/A</v>
      </c>
      <c r="Z4213" s="8" t="str">
        <f t="shared" si="65"/>
        <v>FLEX</v>
      </c>
      <c r="AA4213" s="8" t="e">
        <f>+VLOOKUP(I4213,[1]SKU!$H$2:$I$97,2,0)</f>
        <v>#N/A</v>
      </c>
    </row>
    <row r="4214" spans="24:27">
      <c r="X4214" s="8" t="str">
        <f>+IFERROR(VLOOKUP(N4214,[1]Hoja1!$B$2:$F$52,4,0)*P4214,"")</f>
        <v/>
      </c>
      <c r="Y4214" s="8" t="e">
        <f>+VLOOKUP(M4214,[1]SKU!$B$3:$E$81,4,0)</f>
        <v>#N/A</v>
      </c>
      <c r="Z4214" s="8" t="str">
        <f t="shared" si="65"/>
        <v>FLEX</v>
      </c>
      <c r="AA4214" s="8" t="e">
        <f>+VLOOKUP(I4214,[1]SKU!$H$2:$I$97,2,0)</f>
        <v>#N/A</v>
      </c>
    </row>
    <row r="4215" spans="24:27">
      <c r="X4215" s="8" t="str">
        <f>+IFERROR(VLOOKUP(N4215,[1]Hoja1!$B$2:$F$52,4,0)*P4215,"")</f>
        <v/>
      </c>
      <c r="Y4215" s="8" t="e">
        <f>+VLOOKUP(M4215,[1]SKU!$B$3:$E$81,4,0)</f>
        <v>#N/A</v>
      </c>
      <c r="Z4215" s="8" t="str">
        <f t="shared" si="65"/>
        <v>FLEX</v>
      </c>
      <c r="AA4215" s="8" t="e">
        <f>+VLOOKUP(I4215,[1]SKU!$H$2:$I$97,2,0)</f>
        <v>#N/A</v>
      </c>
    </row>
    <row r="4216" spans="24:27">
      <c r="X4216" s="8" t="str">
        <f>+IFERROR(VLOOKUP(N4216,[1]Hoja1!$B$2:$F$52,4,0)*P4216,"")</f>
        <v/>
      </c>
      <c r="Y4216" s="8" t="e">
        <f>+VLOOKUP(M4216,[1]SKU!$B$3:$E$81,4,0)</f>
        <v>#N/A</v>
      </c>
      <c r="Z4216" s="8" t="str">
        <f t="shared" si="65"/>
        <v>FLEX</v>
      </c>
      <c r="AA4216" s="8" t="e">
        <f>+VLOOKUP(I4216,[1]SKU!$H$2:$I$97,2,0)</f>
        <v>#N/A</v>
      </c>
    </row>
    <row r="4217" spans="24:27">
      <c r="X4217" s="8" t="str">
        <f>+IFERROR(VLOOKUP(N4217,[1]Hoja1!$B$2:$F$52,4,0)*P4217,"")</f>
        <v/>
      </c>
      <c r="Y4217" s="8" t="e">
        <f>+VLOOKUP(M4217,[1]SKU!$B$3:$E$81,4,0)</f>
        <v>#N/A</v>
      </c>
      <c r="Z4217" s="8" t="str">
        <f t="shared" si="65"/>
        <v>FLEX</v>
      </c>
      <c r="AA4217" s="8" t="e">
        <f>+VLOOKUP(I4217,[1]SKU!$H$2:$I$97,2,0)</f>
        <v>#N/A</v>
      </c>
    </row>
    <row r="4218" spans="24:27">
      <c r="X4218" s="8" t="str">
        <f>+IFERROR(VLOOKUP(N4218,[1]Hoja1!$B$2:$F$52,4,0)*P4218,"")</f>
        <v/>
      </c>
      <c r="Y4218" s="8" t="e">
        <f>+VLOOKUP(M4218,[1]SKU!$B$3:$E$81,4,0)</f>
        <v>#N/A</v>
      </c>
      <c r="Z4218" s="8" t="str">
        <f t="shared" si="65"/>
        <v>FLEX</v>
      </c>
      <c r="AA4218" s="8" t="e">
        <f>+VLOOKUP(I4218,[1]SKU!$H$2:$I$97,2,0)</f>
        <v>#N/A</v>
      </c>
    </row>
    <row r="4219" spans="24:27">
      <c r="X4219" s="8" t="str">
        <f>+IFERROR(VLOOKUP(N4219,[1]Hoja1!$B$2:$F$52,4,0)*P4219,"")</f>
        <v/>
      </c>
      <c r="Y4219" s="8" t="e">
        <f>+VLOOKUP(M4219,[1]SKU!$B$3:$E$81,4,0)</f>
        <v>#N/A</v>
      </c>
      <c r="Z4219" s="8" t="str">
        <f t="shared" si="65"/>
        <v>FLEX</v>
      </c>
      <c r="AA4219" s="8" t="e">
        <f>+VLOOKUP(I4219,[1]SKU!$H$2:$I$97,2,0)</f>
        <v>#N/A</v>
      </c>
    </row>
    <row r="4220" spans="24:27">
      <c r="X4220" s="8" t="str">
        <f>+IFERROR(VLOOKUP(N4220,[1]Hoja1!$B$2:$F$52,4,0)*P4220,"")</f>
        <v/>
      </c>
      <c r="Y4220" s="8" t="e">
        <f>+VLOOKUP(M4220,[1]SKU!$B$3:$E$81,4,0)</f>
        <v>#N/A</v>
      </c>
      <c r="Z4220" s="8" t="str">
        <f t="shared" si="65"/>
        <v>FLEX</v>
      </c>
      <c r="AA4220" s="8" t="e">
        <f>+VLOOKUP(I4220,[1]SKU!$H$2:$I$97,2,0)</f>
        <v>#N/A</v>
      </c>
    </row>
    <row r="4221" spans="24:27">
      <c r="X4221" s="8" t="str">
        <f>+IFERROR(VLOOKUP(N4221,[1]Hoja1!$B$2:$F$52,4,0)*P4221,"")</f>
        <v/>
      </c>
      <c r="Y4221" s="8" t="e">
        <f>+VLOOKUP(M4221,[1]SKU!$B$3:$E$81,4,0)</f>
        <v>#N/A</v>
      </c>
      <c r="Z4221" s="8" t="str">
        <f t="shared" si="65"/>
        <v>FLEX</v>
      </c>
      <c r="AA4221" s="8" t="e">
        <f>+VLOOKUP(I4221,[1]SKU!$H$2:$I$97,2,0)</f>
        <v>#N/A</v>
      </c>
    </row>
    <row r="4222" spans="24:27">
      <c r="X4222" s="8" t="str">
        <f>+IFERROR(VLOOKUP(N4222,[1]Hoja1!$B$2:$F$52,4,0)*P4222,"")</f>
        <v/>
      </c>
      <c r="Y4222" s="8" t="e">
        <f>+VLOOKUP(M4222,[1]SKU!$B$3:$E$81,4,0)</f>
        <v>#N/A</v>
      </c>
      <c r="Z4222" s="8" t="str">
        <f t="shared" si="65"/>
        <v>FLEX</v>
      </c>
      <c r="AA4222" s="8" t="e">
        <f>+VLOOKUP(I4222,[1]SKU!$H$2:$I$97,2,0)</f>
        <v>#N/A</v>
      </c>
    </row>
    <row r="4223" spans="24:27">
      <c r="X4223" s="8" t="str">
        <f>+IFERROR(VLOOKUP(N4223,[1]Hoja1!$B$2:$F$52,4,0)*P4223,"")</f>
        <v/>
      </c>
      <c r="Y4223" s="8" t="e">
        <f>+VLOOKUP(M4223,[1]SKU!$B$3:$E$81,4,0)</f>
        <v>#N/A</v>
      </c>
      <c r="Z4223" s="8" t="str">
        <f t="shared" si="65"/>
        <v>FLEX</v>
      </c>
      <c r="AA4223" s="8" t="e">
        <f>+VLOOKUP(I4223,[1]SKU!$H$2:$I$97,2,0)</f>
        <v>#N/A</v>
      </c>
    </row>
    <row r="4224" spans="24:27">
      <c r="X4224" s="8" t="str">
        <f>+IFERROR(VLOOKUP(N4224,[1]Hoja1!$B$2:$F$52,4,0)*P4224,"")</f>
        <v/>
      </c>
      <c r="Y4224" s="8" t="e">
        <f>+VLOOKUP(M4224,[1]SKU!$B$3:$E$81,4,0)</f>
        <v>#N/A</v>
      </c>
      <c r="Z4224" s="8" t="str">
        <f t="shared" si="65"/>
        <v>FLEX</v>
      </c>
      <c r="AA4224" s="8" t="e">
        <f>+VLOOKUP(I4224,[1]SKU!$H$2:$I$97,2,0)</f>
        <v>#N/A</v>
      </c>
    </row>
    <row r="4225" spans="24:27">
      <c r="X4225" s="8" t="str">
        <f>+IFERROR(VLOOKUP(N4225,[1]Hoja1!$B$2:$F$52,4,0)*P4225,"")</f>
        <v/>
      </c>
      <c r="Y4225" s="8" t="e">
        <f>+VLOOKUP(M4225,[1]SKU!$B$3:$E$81,4,0)</f>
        <v>#N/A</v>
      </c>
      <c r="Z4225" s="8" t="str">
        <f t="shared" si="65"/>
        <v>FLEX</v>
      </c>
      <c r="AA4225" s="8" t="e">
        <f>+VLOOKUP(I4225,[1]SKU!$H$2:$I$97,2,0)</f>
        <v>#N/A</v>
      </c>
    </row>
    <row r="4226" spans="24:27">
      <c r="X4226" s="8" t="str">
        <f>+IFERROR(VLOOKUP(N4226,[1]Hoja1!$B$2:$F$52,4,0)*P4226,"")</f>
        <v/>
      </c>
      <c r="Y4226" s="8" t="e">
        <f>+VLOOKUP(M4226,[1]SKU!$B$3:$E$81,4,0)</f>
        <v>#N/A</v>
      </c>
      <c r="Z4226" s="8" t="str">
        <f t="shared" si="65"/>
        <v>FLEX</v>
      </c>
      <c r="AA4226" s="8" t="e">
        <f>+VLOOKUP(I4226,[1]SKU!$H$2:$I$97,2,0)</f>
        <v>#N/A</v>
      </c>
    </row>
    <row r="4227" spans="24:27">
      <c r="X4227" s="8" t="str">
        <f>+IFERROR(VLOOKUP(N4227,[1]Hoja1!$B$2:$F$52,4,0)*P4227,"")</f>
        <v/>
      </c>
      <c r="Y4227" s="8" t="e">
        <f>+VLOOKUP(M4227,[1]SKU!$B$3:$E$81,4,0)</f>
        <v>#N/A</v>
      </c>
      <c r="Z4227" s="8" t="str">
        <f t="shared" ref="Z4227:Z4290" si="66">+IF(J4227="VB01                          ","BEES","FLEX")</f>
        <v>FLEX</v>
      </c>
      <c r="AA4227" s="8" t="e">
        <f>+VLOOKUP(I4227,[1]SKU!$H$2:$I$97,2,0)</f>
        <v>#N/A</v>
      </c>
    </row>
    <row r="4228" spans="24:27">
      <c r="X4228" s="8" t="str">
        <f>+IFERROR(VLOOKUP(N4228,[1]Hoja1!$B$2:$F$52,4,0)*P4228,"")</f>
        <v/>
      </c>
      <c r="Y4228" s="8" t="e">
        <f>+VLOOKUP(M4228,[1]SKU!$B$3:$E$81,4,0)</f>
        <v>#N/A</v>
      </c>
      <c r="Z4228" s="8" t="str">
        <f t="shared" si="66"/>
        <v>FLEX</v>
      </c>
      <c r="AA4228" s="8" t="e">
        <f>+VLOOKUP(I4228,[1]SKU!$H$2:$I$97,2,0)</f>
        <v>#N/A</v>
      </c>
    </row>
    <row r="4229" spans="24:27">
      <c r="X4229" s="8" t="str">
        <f>+IFERROR(VLOOKUP(N4229,[1]Hoja1!$B$2:$F$52,4,0)*P4229,"")</f>
        <v/>
      </c>
      <c r="Y4229" s="8" t="e">
        <f>+VLOOKUP(M4229,[1]SKU!$B$3:$E$81,4,0)</f>
        <v>#N/A</v>
      </c>
      <c r="Z4229" s="8" t="str">
        <f t="shared" si="66"/>
        <v>FLEX</v>
      </c>
      <c r="AA4229" s="8" t="e">
        <f>+VLOOKUP(I4229,[1]SKU!$H$2:$I$97,2,0)</f>
        <v>#N/A</v>
      </c>
    </row>
    <row r="4230" spans="24:27">
      <c r="X4230" s="8" t="str">
        <f>+IFERROR(VLOOKUP(N4230,[1]Hoja1!$B$2:$F$52,4,0)*P4230,"")</f>
        <v/>
      </c>
      <c r="Y4230" s="8" t="e">
        <f>+VLOOKUP(M4230,[1]SKU!$B$3:$E$81,4,0)</f>
        <v>#N/A</v>
      </c>
      <c r="Z4230" s="8" t="str">
        <f t="shared" si="66"/>
        <v>FLEX</v>
      </c>
      <c r="AA4230" s="8" t="e">
        <f>+VLOOKUP(I4230,[1]SKU!$H$2:$I$97,2,0)</f>
        <v>#N/A</v>
      </c>
    </row>
    <row r="4231" spans="24:27">
      <c r="X4231" s="8" t="str">
        <f>+IFERROR(VLOOKUP(N4231,[1]Hoja1!$B$2:$F$52,4,0)*P4231,"")</f>
        <v/>
      </c>
      <c r="Y4231" s="8" t="e">
        <f>+VLOOKUP(M4231,[1]SKU!$B$3:$E$81,4,0)</f>
        <v>#N/A</v>
      </c>
      <c r="Z4231" s="8" t="str">
        <f t="shared" si="66"/>
        <v>FLEX</v>
      </c>
      <c r="AA4231" s="8" t="e">
        <f>+VLOOKUP(I4231,[1]SKU!$H$2:$I$97,2,0)</f>
        <v>#N/A</v>
      </c>
    </row>
    <row r="4232" spans="24:27">
      <c r="X4232" s="8" t="str">
        <f>+IFERROR(VLOOKUP(N4232,[1]Hoja1!$B$2:$F$52,4,0)*P4232,"")</f>
        <v/>
      </c>
      <c r="Y4232" s="8" t="e">
        <f>+VLOOKUP(M4232,[1]SKU!$B$3:$E$81,4,0)</f>
        <v>#N/A</v>
      </c>
      <c r="Z4232" s="8" t="str">
        <f t="shared" si="66"/>
        <v>FLEX</v>
      </c>
      <c r="AA4232" s="8" t="e">
        <f>+VLOOKUP(I4232,[1]SKU!$H$2:$I$97,2,0)</f>
        <v>#N/A</v>
      </c>
    </row>
    <row r="4233" spans="24:27">
      <c r="X4233" s="8" t="str">
        <f>+IFERROR(VLOOKUP(N4233,[1]Hoja1!$B$2:$F$52,4,0)*P4233,"")</f>
        <v/>
      </c>
      <c r="Y4233" s="8" t="e">
        <f>+VLOOKUP(M4233,[1]SKU!$B$3:$E$81,4,0)</f>
        <v>#N/A</v>
      </c>
      <c r="Z4233" s="8" t="str">
        <f t="shared" si="66"/>
        <v>FLEX</v>
      </c>
      <c r="AA4233" s="8" t="e">
        <f>+VLOOKUP(I4233,[1]SKU!$H$2:$I$97,2,0)</f>
        <v>#N/A</v>
      </c>
    </row>
    <row r="4234" spans="24:27">
      <c r="X4234" s="8" t="str">
        <f>+IFERROR(VLOOKUP(N4234,[1]Hoja1!$B$2:$F$52,4,0)*P4234,"")</f>
        <v/>
      </c>
      <c r="Y4234" s="8" t="e">
        <f>+VLOOKUP(M4234,[1]SKU!$B$3:$E$81,4,0)</f>
        <v>#N/A</v>
      </c>
      <c r="Z4234" s="8" t="str">
        <f t="shared" si="66"/>
        <v>FLEX</v>
      </c>
      <c r="AA4234" s="8" t="e">
        <f>+VLOOKUP(I4234,[1]SKU!$H$2:$I$97,2,0)</f>
        <v>#N/A</v>
      </c>
    </row>
    <row r="4235" spans="24:27">
      <c r="X4235" s="8" t="str">
        <f>+IFERROR(VLOOKUP(N4235,[1]Hoja1!$B$2:$F$52,4,0)*P4235,"")</f>
        <v/>
      </c>
      <c r="Y4235" s="8" t="e">
        <f>+VLOOKUP(M4235,[1]SKU!$B$3:$E$81,4,0)</f>
        <v>#N/A</v>
      </c>
      <c r="Z4235" s="8" t="str">
        <f t="shared" si="66"/>
        <v>FLEX</v>
      </c>
      <c r="AA4235" s="8" t="e">
        <f>+VLOOKUP(I4235,[1]SKU!$H$2:$I$97,2,0)</f>
        <v>#N/A</v>
      </c>
    </row>
    <row r="4236" spans="24:27">
      <c r="X4236" s="8" t="str">
        <f>+IFERROR(VLOOKUP(N4236,[1]Hoja1!$B$2:$F$52,4,0)*P4236,"")</f>
        <v/>
      </c>
      <c r="Y4236" s="8" t="e">
        <f>+VLOOKUP(M4236,[1]SKU!$B$3:$E$81,4,0)</f>
        <v>#N/A</v>
      </c>
      <c r="Z4236" s="8" t="str">
        <f t="shared" si="66"/>
        <v>FLEX</v>
      </c>
      <c r="AA4236" s="8" t="e">
        <f>+VLOOKUP(I4236,[1]SKU!$H$2:$I$97,2,0)</f>
        <v>#N/A</v>
      </c>
    </row>
    <row r="4237" spans="24:27">
      <c r="X4237" s="8" t="str">
        <f>+IFERROR(VLOOKUP(N4237,[1]Hoja1!$B$2:$F$52,4,0)*P4237,"")</f>
        <v/>
      </c>
      <c r="Y4237" s="8" t="e">
        <f>+VLOOKUP(M4237,[1]SKU!$B$3:$E$81,4,0)</f>
        <v>#N/A</v>
      </c>
      <c r="Z4237" s="8" t="str">
        <f t="shared" si="66"/>
        <v>FLEX</v>
      </c>
      <c r="AA4237" s="8" t="e">
        <f>+VLOOKUP(I4237,[1]SKU!$H$2:$I$97,2,0)</f>
        <v>#N/A</v>
      </c>
    </row>
    <row r="4238" spans="24:27">
      <c r="X4238" s="8" t="str">
        <f>+IFERROR(VLOOKUP(N4238,[1]Hoja1!$B$2:$F$52,4,0)*P4238,"")</f>
        <v/>
      </c>
      <c r="Y4238" s="8" t="e">
        <f>+VLOOKUP(M4238,[1]SKU!$B$3:$E$81,4,0)</f>
        <v>#N/A</v>
      </c>
      <c r="Z4238" s="8" t="str">
        <f t="shared" si="66"/>
        <v>FLEX</v>
      </c>
      <c r="AA4238" s="8" t="e">
        <f>+VLOOKUP(I4238,[1]SKU!$H$2:$I$97,2,0)</f>
        <v>#N/A</v>
      </c>
    </row>
    <row r="4239" spans="24:27">
      <c r="X4239" s="8" t="str">
        <f>+IFERROR(VLOOKUP(N4239,[1]Hoja1!$B$2:$F$52,4,0)*P4239,"")</f>
        <v/>
      </c>
      <c r="Y4239" s="8" t="e">
        <f>+VLOOKUP(M4239,[1]SKU!$B$3:$E$81,4,0)</f>
        <v>#N/A</v>
      </c>
      <c r="Z4239" s="8" t="str">
        <f t="shared" si="66"/>
        <v>FLEX</v>
      </c>
      <c r="AA4239" s="8" t="e">
        <f>+VLOOKUP(I4239,[1]SKU!$H$2:$I$97,2,0)</f>
        <v>#N/A</v>
      </c>
    </row>
    <row r="4240" spans="24:27">
      <c r="X4240" s="8" t="str">
        <f>+IFERROR(VLOOKUP(N4240,[1]Hoja1!$B$2:$F$52,4,0)*P4240,"")</f>
        <v/>
      </c>
      <c r="Y4240" s="8" t="e">
        <f>+VLOOKUP(M4240,[1]SKU!$B$3:$E$81,4,0)</f>
        <v>#N/A</v>
      </c>
      <c r="Z4240" s="8" t="str">
        <f t="shared" si="66"/>
        <v>FLEX</v>
      </c>
      <c r="AA4240" s="8" t="e">
        <f>+VLOOKUP(I4240,[1]SKU!$H$2:$I$97,2,0)</f>
        <v>#N/A</v>
      </c>
    </row>
    <row r="4241" spans="24:27">
      <c r="X4241" s="8" t="str">
        <f>+IFERROR(VLOOKUP(N4241,[1]Hoja1!$B$2:$F$52,4,0)*P4241,"")</f>
        <v/>
      </c>
      <c r="Y4241" s="8" t="e">
        <f>+VLOOKUP(M4241,[1]SKU!$B$3:$E$81,4,0)</f>
        <v>#N/A</v>
      </c>
      <c r="Z4241" s="8" t="str">
        <f t="shared" si="66"/>
        <v>FLEX</v>
      </c>
      <c r="AA4241" s="8" t="e">
        <f>+VLOOKUP(I4241,[1]SKU!$H$2:$I$97,2,0)</f>
        <v>#N/A</v>
      </c>
    </row>
    <row r="4242" spans="24:27">
      <c r="X4242" s="8" t="str">
        <f>+IFERROR(VLOOKUP(N4242,[1]Hoja1!$B$2:$F$52,4,0)*P4242,"")</f>
        <v/>
      </c>
      <c r="Y4242" s="8" t="e">
        <f>+VLOOKUP(M4242,[1]SKU!$B$3:$E$81,4,0)</f>
        <v>#N/A</v>
      </c>
      <c r="Z4242" s="8" t="str">
        <f t="shared" si="66"/>
        <v>FLEX</v>
      </c>
      <c r="AA4242" s="8" t="e">
        <f>+VLOOKUP(I4242,[1]SKU!$H$2:$I$97,2,0)</f>
        <v>#N/A</v>
      </c>
    </row>
    <row r="4243" spans="24:27">
      <c r="X4243" s="8" t="str">
        <f>+IFERROR(VLOOKUP(N4243,[1]Hoja1!$B$2:$F$52,4,0)*P4243,"")</f>
        <v/>
      </c>
      <c r="Y4243" s="8" t="e">
        <f>+VLOOKUP(M4243,[1]SKU!$B$3:$E$81,4,0)</f>
        <v>#N/A</v>
      </c>
      <c r="Z4243" s="8" t="str">
        <f t="shared" si="66"/>
        <v>FLEX</v>
      </c>
      <c r="AA4243" s="8" t="e">
        <f>+VLOOKUP(I4243,[1]SKU!$H$2:$I$97,2,0)</f>
        <v>#N/A</v>
      </c>
    </row>
    <row r="4244" spans="24:27">
      <c r="X4244" s="8" t="str">
        <f>+IFERROR(VLOOKUP(N4244,[1]Hoja1!$B$2:$F$52,4,0)*P4244,"")</f>
        <v/>
      </c>
      <c r="Y4244" s="8" t="e">
        <f>+VLOOKUP(M4244,[1]SKU!$B$3:$E$81,4,0)</f>
        <v>#N/A</v>
      </c>
      <c r="Z4244" s="8" t="str">
        <f t="shared" si="66"/>
        <v>FLEX</v>
      </c>
      <c r="AA4244" s="8" t="e">
        <f>+VLOOKUP(I4244,[1]SKU!$H$2:$I$97,2,0)</f>
        <v>#N/A</v>
      </c>
    </row>
    <row r="4245" spans="24:27">
      <c r="X4245" s="8" t="str">
        <f>+IFERROR(VLOOKUP(N4245,[1]Hoja1!$B$2:$F$52,4,0)*P4245,"")</f>
        <v/>
      </c>
      <c r="Y4245" s="8" t="e">
        <f>+VLOOKUP(M4245,[1]SKU!$B$3:$E$81,4,0)</f>
        <v>#N/A</v>
      </c>
      <c r="Z4245" s="8" t="str">
        <f t="shared" si="66"/>
        <v>FLEX</v>
      </c>
      <c r="AA4245" s="8" t="e">
        <f>+VLOOKUP(I4245,[1]SKU!$H$2:$I$97,2,0)</f>
        <v>#N/A</v>
      </c>
    </row>
    <row r="4246" spans="24:27">
      <c r="X4246" s="8" t="str">
        <f>+IFERROR(VLOOKUP(N4246,[1]Hoja1!$B$2:$F$52,4,0)*P4246,"")</f>
        <v/>
      </c>
      <c r="Y4246" s="8" t="e">
        <f>+VLOOKUP(M4246,[1]SKU!$B$3:$E$81,4,0)</f>
        <v>#N/A</v>
      </c>
      <c r="Z4246" s="8" t="str">
        <f t="shared" si="66"/>
        <v>FLEX</v>
      </c>
      <c r="AA4246" s="8" t="e">
        <f>+VLOOKUP(I4246,[1]SKU!$H$2:$I$97,2,0)</f>
        <v>#N/A</v>
      </c>
    </row>
    <row r="4247" spans="24:27">
      <c r="X4247" s="8" t="str">
        <f>+IFERROR(VLOOKUP(N4247,[1]Hoja1!$B$2:$F$52,4,0)*P4247,"")</f>
        <v/>
      </c>
      <c r="Y4247" s="8" t="e">
        <f>+VLOOKUP(M4247,[1]SKU!$B$3:$E$81,4,0)</f>
        <v>#N/A</v>
      </c>
      <c r="Z4247" s="8" t="str">
        <f t="shared" si="66"/>
        <v>FLEX</v>
      </c>
      <c r="AA4247" s="8" t="e">
        <f>+VLOOKUP(I4247,[1]SKU!$H$2:$I$97,2,0)</f>
        <v>#N/A</v>
      </c>
    </row>
    <row r="4248" spans="24:27">
      <c r="X4248" s="8" t="str">
        <f>+IFERROR(VLOOKUP(N4248,[1]Hoja1!$B$2:$F$52,4,0)*P4248,"")</f>
        <v/>
      </c>
      <c r="Y4248" s="8" t="e">
        <f>+VLOOKUP(M4248,[1]SKU!$B$3:$E$81,4,0)</f>
        <v>#N/A</v>
      </c>
      <c r="Z4248" s="8" t="str">
        <f t="shared" si="66"/>
        <v>FLEX</v>
      </c>
      <c r="AA4248" s="8" t="e">
        <f>+VLOOKUP(I4248,[1]SKU!$H$2:$I$97,2,0)</f>
        <v>#N/A</v>
      </c>
    </row>
    <row r="4249" spans="24:27">
      <c r="X4249" s="8" t="str">
        <f>+IFERROR(VLOOKUP(N4249,[1]Hoja1!$B$2:$F$52,4,0)*P4249,"")</f>
        <v/>
      </c>
      <c r="Y4249" s="8" t="e">
        <f>+VLOOKUP(M4249,[1]SKU!$B$3:$E$81,4,0)</f>
        <v>#N/A</v>
      </c>
      <c r="Z4249" s="8" t="str">
        <f t="shared" si="66"/>
        <v>FLEX</v>
      </c>
      <c r="AA4249" s="8" t="e">
        <f>+VLOOKUP(I4249,[1]SKU!$H$2:$I$97,2,0)</f>
        <v>#N/A</v>
      </c>
    </row>
    <row r="4250" spans="24:27">
      <c r="X4250" s="8" t="str">
        <f>+IFERROR(VLOOKUP(N4250,[1]Hoja1!$B$2:$F$52,4,0)*P4250,"")</f>
        <v/>
      </c>
      <c r="Y4250" s="8" t="e">
        <f>+VLOOKUP(M4250,[1]SKU!$B$3:$E$81,4,0)</f>
        <v>#N/A</v>
      </c>
      <c r="Z4250" s="8" t="str">
        <f t="shared" si="66"/>
        <v>FLEX</v>
      </c>
      <c r="AA4250" s="8" t="e">
        <f>+VLOOKUP(I4250,[1]SKU!$H$2:$I$97,2,0)</f>
        <v>#N/A</v>
      </c>
    </row>
    <row r="4251" spans="24:27">
      <c r="X4251" s="8" t="str">
        <f>+IFERROR(VLOOKUP(N4251,[1]Hoja1!$B$2:$F$52,4,0)*P4251,"")</f>
        <v/>
      </c>
      <c r="Y4251" s="8" t="e">
        <f>+VLOOKUP(M4251,[1]SKU!$B$3:$E$81,4,0)</f>
        <v>#N/A</v>
      </c>
      <c r="Z4251" s="8" t="str">
        <f t="shared" si="66"/>
        <v>FLEX</v>
      </c>
      <c r="AA4251" s="8" t="e">
        <f>+VLOOKUP(I4251,[1]SKU!$H$2:$I$97,2,0)</f>
        <v>#N/A</v>
      </c>
    </row>
    <row r="4252" spans="24:27">
      <c r="X4252" s="8" t="str">
        <f>+IFERROR(VLOOKUP(N4252,[1]Hoja1!$B$2:$F$52,4,0)*P4252,"")</f>
        <v/>
      </c>
      <c r="Y4252" s="8" t="e">
        <f>+VLOOKUP(M4252,[1]SKU!$B$3:$E$81,4,0)</f>
        <v>#N/A</v>
      </c>
      <c r="Z4252" s="8" t="str">
        <f t="shared" si="66"/>
        <v>FLEX</v>
      </c>
      <c r="AA4252" s="8" t="e">
        <f>+VLOOKUP(I4252,[1]SKU!$H$2:$I$97,2,0)</f>
        <v>#N/A</v>
      </c>
    </row>
    <row r="4253" spans="24:27">
      <c r="X4253" s="8" t="str">
        <f>+IFERROR(VLOOKUP(N4253,[1]Hoja1!$B$2:$F$52,4,0)*P4253,"")</f>
        <v/>
      </c>
      <c r="Y4253" s="8" t="e">
        <f>+VLOOKUP(M4253,[1]SKU!$B$3:$E$81,4,0)</f>
        <v>#N/A</v>
      </c>
      <c r="Z4253" s="8" t="str">
        <f t="shared" si="66"/>
        <v>FLEX</v>
      </c>
      <c r="AA4253" s="8" t="e">
        <f>+VLOOKUP(I4253,[1]SKU!$H$2:$I$97,2,0)</f>
        <v>#N/A</v>
      </c>
    </row>
    <row r="4254" spans="24:27">
      <c r="X4254" s="8" t="str">
        <f>+IFERROR(VLOOKUP(N4254,[1]Hoja1!$B$2:$F$52,4,0)*P4254,"")</f>
        <v/>
      </c>
      <c r="Y4254" s="8" t="e">
        <f>+VLOOKUP(M4254,[1]SKU!$B$3:$E$81,4,0)</f>
        <v>#N/A</v>
      </c>
      <c r="Z4254" s="8" t="str">
        <f t="shared" si="66"/>
        <v>FLEX</v>
      </c>
      <c r="AA4254" s="8" t="e">
        <f>+VLOOKUP(I4254,[1]SKU!$H$2:$I$97,2,0)</f>
        <v>#N/A</v>
      </c>
    </row>
    <row r="4255" spans="24:27">
      <c r="X4255" s="8" t="str">
        <f>+IFERROR(VLOOKUP(N4255,[1]Hoja1!$B$2:$F$52,4,0)*P4255,"")</f>
        <v/>
      </c>
      <c r="Y4255" s="8" t="e">
        <f>+VLOOKUP(M4255,[1]SKU!$B$3:$E$81,4,0)</f>
        <v>#N/A</v>
      </c>
      <c r="Z4255" s="8" t="str">
        <f t="shared" si="66"/>
        <v>FLEX</v>
      </c>
      <c r="AA4255" s="8" t="e">
        <f>+VLOOKUP(I4255,[1]SKU!$H$2:$I$97,2,0)</f>
        <v>#N/A</v>
      </c>
    </row>
    <row r="4256" spans="24:27">
      <c r="X4256" s="8" t="str">
        <f>+IFERROR(VLOOKUP(N4256,[1]Hoja1!$B$2:$F$52,4,0)*P4256,"")</f>
        <v/>
      </c>
      <c r="Y4256" s="8" t="e">
        <f>+VLOOKUP(M4256,[1]SKU!$B$3:$E$81,4,0)</f>
        <v>#N/A</v>
      </c>
      <c r="Z4256" s="8" t="str">
        <f t="shared" si="66"/>
        <v>FLEX</v>
      </c>
      <c r="AA4256" s="8" t="e">
        <f>+VLOOKUP(I4256,[1]SKU!$H$2:$I$97,2,0)</f>
        <v>#N/A</v>
      </c>
    </row>
    <row r="4257" spans="24:27">
      <c r="X4257" s="8" t="str">
        <f>+IFERROR(VLOOKUP(N4257,[1]Hoja1!$B$2:$F$52,4,0)*P4257,"")</f>
        <v/>
      </c>
      <c r="Y4257" s="8" t="e">
        <f>+VLOOKUP(M4257,[1]SKU!$B$3:$E$81,4,0)</f>
        <v>#N/A</v>
      </c>
      <c r="Z4257" s="8" t="str">
        <f t="shared" si="66"/>
        <v>FLEX</v>
      </c>
      <c r="AA4257" s="8" t="e">
        <f>+VLOOKUP(I4257,[1]SKU!$H$2:$I$97,2,0)</f>
        <v>#N/A</v>
      </c>
    </row>
    <row r="4258" spans="24:27">
      <c r="X4258" s="8" t="str">
        <f>+IFERROR(VLOOKUP(N4258,[1]Hoja1!$B$2:$F$52,4,0)*P4258,"")</f>
        <v/>
      </c>
      <c r="Y4258" s="8" t="e">
        <f>+VLOOKUP(M4258,[1]SKU!$B$3:$E$81,4,0)</f>
        <v>#N/A</v>
      </c>
      <c r="Z4258" s="8" t="str">
        <f t="shared" si="66"/>
        <v>FLEX</v>
      </c>
      <c r="AA4258" s="8" t="e">
        <f>+VLOOKUP(I4258,[1]SKU!$H$2:$I$97,2,0)</f>
        <v>#N/A</v>
      </c>
    </row>
    <row r="4259" spans="24:27">
      <c r="X4259" s="8" t="str">
        <f>+IFERROR(VLOOKUP(N4259,[1]Hoja1!$B$2:$F$52,4,0)*P4259,"")</f>
        <v/>
      </c>
      <c r="Y4259" s="8" t="e">
        <f>+VLOOKUP(M4259,[1]SKU!$B$3:$E$81,4,0)</f>
        <v>#N/A</v>
      </c>
      <c r="Z4259" s="8" t="str">
        <f t="shared" si="66"/>
        <v>FLEX</v>
      </c>
      <c r="AA4259" s="8" t="e">
        <f>+VLOOKUP(I4259,[1]SKU!$H$2:$I$97,2,0)</f>
        <v>#N/A</v>
      </c>
    </row>
    <row r="4260" spans="24:27">
      <c r="X4260" s="8" t="str">
        <f>+IFERROR(VLOOKUP(N4260,[1]Hoja1!$B$2:$F$52,4,0)*P4260,"")</f>
        <v/>
      </c>
      <c r="Y4260" s="8" t="e">
        <f>+VLOOKUP(M4260,[1]SKU!$B$3:$E$81,4,0)</f>
        <v>#N/A</v>
      </c>
      <c r="Z4260" s="8" t="str">
        <f t="shared" si="66"/>
        <v>FLEX</v>
      </c>
      <c r="AA4260" s="8" t="e">
        <f>+VLOOKUP(I4260,[1]SKU!$H$2:$I$97,2,0)</f>
        <v>#N/A</v>
      </c>
    </row>
    <row r="4261" spans="24:27">
      <c r="X4261" s="8" t="str">
        <f>+IFERROR(VLOOKUP(N4261,[1]Hoja1!$B$2:$F$52,4,0)*P4261,"")</f>
        <v/>
      </c>
      <c r="Y4261" s="8" t="e">
        <f>+VLOOKUP(M4261,[1]SKU!$B$3:$E$81,4,0)</f>
        <v>#N/A</v>
      </c>
      <c r="Z4261" s="8" t="str">
        <f t="shared" si="66"/>
        <v>FLEX</v>
      </c>
      <c r="AA4261" s="8" t="e">
        <f>+VLOOKUP(I4261,[1]SKU!$H$2:$I$97,2,0)</f>
        <v>#N/A</v>
      </c>
    </row>
    <row r="4262" spans="24:27">
      <c r="X4262" s="8" t="str">
        <f>+IFERROR(VLOOKUP(N4262,[1]Hoja1!$B$2:$F$52,4,0)*P4262,"")</f>
        <v/>
      </c>
      <c r="Y4262" s="8" t="e">
        <f>+VLOOKUP(M4262,[1]SKU!$B$3:$E$81,4,0)</f>
        <v>#N/A</v>
      </c>
      <c r="Z4262" s="8" t="str">
        <f t="shared" si="66"/>
        <v>FLEX</v>
      </c>
      <c r="AA4262" s="8" t="e">
        <f>+VLOOKUP(I4262,[1]SKU!$H$2:$I$97,2,0)</f>
        <v>#N/A</v>
      </c>
    </row>
    <row r="4263" spans="24:27">
      <c r="X4263" s="8" t="str">
        <f>+IFERROR(VLOOKUP(N4263,[1]Hoja1!$B$2:$F$52,4,0)*P4263,"")</f>
        <v/>
      </c>
      <c r="Y4263" s="8" t="e">
        <f>+VLOOKUP(M4263,[1]SKU!$B$3:$E$81,4,0)</f>
        <v>#N/A</v>
      </c>
      <c r="Z4263" s="8" t="str">
        <f t="shared" si="66"/>
        <v>FLEX</v>
      </c>
      <c r="AA4263" s="8" t="e">
        <f>+VLOOKUP(I4263,[1]SKU!$H$2:$I$97,2,0)</f>
        <v>#N/A</v>
      </c>
    </row>
    <row r="4264" spans="24:27">
      <c r="X4264" s="8" t="str">
        <f>+IFERROR(VLOOKUP(N4264,[1]Hoja1!$B$2:$F$52,4,0)*P4264,"")</f>
        <v/>
      </c>
      <c r="Y4264" s="8" t="e">
        <f>+VLOOKUP(M4264,[1]SKU!$B$3:$E$81,4,0)</f>
        <v>#N/A</v>
      </c>
      <c r="Z4264" s="8" t="str">
        <f t="shared" si="66"/>
        <v>FLEX</v>
      </c>
      <c r="AA4264" s="8" t="e">
        <f>+VLOOKUP(I4264,[1]SKU!$H$2:$I$97,2,0)</f>
        <v>#N/A</v>
      </c>
    </row>
    <row r="4265" spans="24:27">
      <c r="X4265" s="8" t="str">
        <f>+IFERROR(VLOOKUP(N4265,[1]Hoja1!$B$2:$F$52,4,0)*P4265,"")</f>
        <v/>
      </c>
      <c r="Y4265" s="8" t="e">
        <f>+VLOOKUP(M4265,[1]SKU!$B$3:$E$81,4,0)</f>
        <v>#N/A</v>
      </c>
      <c r="Z4265" s="8" t="str">
        <f t="shared" si="66"/>
        <v>FLEX</v>
      </c>
      <c r="AA4265" s="8" t="e">
        <f>+VLOOKUP(I4265,[1]SKU!$H$2:$I$97,2,0)</f>
        <v>#N/A</v>
      </c>
    </row>
    <row r="4266" spans="24:27">
      <c r="X4266" s="8" t="str">
        <f>+IFERROR(VLOOKUP(N4266,[1]Hoja1!$B$2:$F$52,4,0)*P4266,"")</f>
        <v/>
      </c>
      <c r="Y4266" s="8" t="e">
        <f>+VLOOKUP(M4266,[1]SKU!$B$3:$E$81,4,0)</f>
        <v>#N/A</v>
      </c>
      <c r="Z4266" s="8" t="str">
        <f t="shared" si="66"/>
        <v>FLEX</v>
      </c>
      <c r="AA4266" s="8" t="e">
        <f>+VLOOKUP(I4266,[1]SKU!$H$2:$I$97,2,0)</f>
        <v>#N/A</v>
      </c>
    </row>
    <row r="4267" spans="24:27">
      <c r="X4267" s="8" t="str">
        <f>+IFERROR(VLOOKUP(N4267,[1]Hoja1!$B$2:$F$52,4,0)*P4267,"")</f>
        <v/>
      </c>
      <c r="Y4267" s="8" t="e">
        <f>+VLOOKUP(M4267,[1]SKU!$B$3:$E$81,4,0)</f>
        <v>#N/A</v>
      </c>
      <c r="Z4267" s="8" t="str">
        <f t="shared" si="66"/>
        <v>FLEX</v>
      </c>
      <c r="AA4267" s="8" t="e">
        <f>+VLOOKUP(I4267,[1]SKU!$H$2:$I$97,2,0)</f>
        <v>#N/A</v>
      </c>
    </row>
    <row r="4268" spans="24:27">
      <c r="X4268" s="8" t="str">
        <f>+IFERROR(VLOOKUP(N4268,[1]Hoja1!$B$2:$F$52,4,0)*P4268,"")</f>
        <v/>
      </c>
      <c r="Y4268" s="8" t="e">
        <f>+VLOOKUP(M4268,[1]SKU!$B$3:$E$81,4,0)</f>
        <v>#N/A</v>
      </c>
      <c r="Z4268" s="8" t="str">
        <f t="shared" si="66"/>
        <v>FLEX</v>
      </c>
      <c r="AA4268" s="8" t="e">
        <f>+VLOOKUP(I4268,[1]SKU!$H$2:$I$97,2,0)</f>
        <v>#N/A</v>
      </c>
    </row>
    <row r="4269" spans="24:27">
      <c r="X4269" s="8" t="str">
        <f>+IFERROR(VLOOKUP(N4269,[1]Hoja1!$B$2:$F$52,4,0)*P4269,"")</f>
        <v/>
      </c>
      <c r="Y4269" s="8" t="e">
        <f>+VLOOKUP(M4269,[1]SKU!$B$3:$E$81,4,0)</f>
        <v>#N/A</v>
      </c>
      <c r="Z4269" s="8" t="str">
        <f t="shared" si="66"/>
        <v>FLEX</v>
      </c>
      <c r="AA4269" s="8" t="e">
        <f>+VLOOKUP(I4269,[1]SKU!$H$2:$I$97,2,0)</f>
        <v>#N/A</v>
      </c>
    </row>
    <row r="4270" spans="24:27">
      <c r="X4270" s="8" t="str">
        <f>+IFERROR(VLOOKUP(N4270,[1]Hoja1!$B$2:$F$52,4,0)*P4270,"")</f>
        <v/>
      </c>
      <c r="Y4270" s="8" t="e">
        <f>+VLOOKUP(M4270,[1]SKU!$B$3:$E$81,4,0)</f>
        <v>#N/A</v>
      </c>
      <c r="Z4270" s="8" t="str">
        <f t="shared" si="66"/>
        <v>FLEX</v>
      </c>
      <c r="AA4270" s="8" t="e">
        <f>+VLOOKUP(I4270,[1]SKU!$H$2:$I$97,2,0)</f>
        <v>#N/A</v>
      </c>
    </row>
    <row r="4271" spans="24:27">
      <c r="X4271" s="8" t="str">
        <f>+IFERROR(VLOOKUP(N4271,[1]Hoja1!$B$2:$F$52,4,0)*P4271,"")</f>
        <v/>
      </c>
      <c r="Y4271" s="8" t="e">
        <f>+VLOOKUP(M4271,[1]SKU!$B$3:$E$81,4,0)</f>
        <v>#N/A</v>
      </c>
      <c r="Z4271" s="8" t="str">
        <f t="shared" si="66"/>
        <v>FLEX</v>
      </c>
      <c r="AA4271" s="8" t="e">
        <f>+VLOOKUP(I4271,[1]SKU!$H$2:$I$97,2,0)</f>
        <v>#N/A</v>
      </c>
    </row>
    <row r="4272" spans="24:27">
      <c r="X4272" s="8" t="str">
        <f>+IFERROR(VLOOKUP(N4272,[1]Hoja1!$B$2:$F$52,4,0)*P4272,"")</f>
        <v/>
      </c>
      <c r="Y4272" s="8" t="e">
        <f>+VLOOKUP(M4272,[1]SKU!$B$3:$E$81,4,0)</f>
        <v>#N/A</v>
      </c>
      <c r="Z4272" s="8" t="str">
        <f t="shared" si="66"/>
        <v>FLEX</v>
      </c>
      <c r="AA4272" s="8" t="e">
        <f>+VLOOKUP(I4272,[1]SKU!$H$2:$I$97,2,0)</f>
        <v>#N/A</v>
      </c>
    </row>
    <row r="4273" spans="24:27">
      <c r="X4273" s="8" t="str">
        <f>+IFERROR(VLOOKUP(N4273,[1]Hoja1!$B$2:$F$52,4,0)*P4273,"")</f>
        <v/>
      </c>
      <c r="Y4273" s="8" t="e">
        <f>+VLOOKUP(M4273,[1]SKU!$B$3:$E$81,4,0)</f>
        <v>#N/A</v>
      </c>
      <c r="Z4273" s="8" t="str">
        <f t="shared" si="66"/>
        <v>FLEX</v>
      </c>
      <c r="AA4273" s="8" t="e">
        <f>+VLOOKUP(I4273,[1]SKU!$H$2:$I$97,2,0)</f>
        <v>#N/A</v>
      </c>
    </row>
    <row r="4274" spans="24:27">
      <c r="X4274" s="8" t="str">
        <f>+IFERROR(VLOOKUP(N4274,[1]Hoja1!$B$2:$F$52,4,0)*P4274,"")</f>
        <v/>
      </c>
      <c r="Y4274" s="8" t="e">
        <f>+VLOOKUP(M4274,[1]SKU!$B$3:$E$81,4,0)</f>
        <v>#N/A</v>
      </c>
      <c r="Z4274" s="8" t="str">
        <f t="shared" si="66"/>
        <v>FLEX</v>
      </c>
      <c r="AA4274" s="8" t="e">
        <f>+VLOOKUP(I4274,[1]SKU!$H$2:$I$97,2,0)</f>
        <v>#N/A</v>
      </c>
    </row>
    <row r="4275" spans="24:27">
      <c r="X4275" s="8" t="str">
        <f>+IFERROR(VLOOKUP(N4275,[1]Hoja1!$B$2:$F$52,4,0)*P4275,"")</f>
        <v/>
      </c>
      <c r="Y4275" s="8" t="e">
        <f>+VLOOKUP(M4275,[1]SKU!$B$3:$E$81,4,0)</f>
        <v>#N/A</v>
      </c>
      <c r="Z4275" s="8" t="str">
        <f t="shared" si="66"/>
        <v>FLEX</v>
      </c>
      <c r="AA4275" s="8" t="e">
        <f>+VLOOKUP(I4275,[1]SKU!$H$2:$I$97,2,0)</f>
        <v>#N/A</v>
      </c>
    </row>
    <row r="4276" spans="24:27">
      <c r="X4276" s="8" t="str">
        <f>+IFERROR(VLOOKUP(N4276,[1]Hoja1!$B$2:$F$52,4,0)*P4276,"")</f>
        <v/>
      </c>
      <c r="Y4276" s="8" t="e">
        <f>+VLOOKUP(M4276,[1]SKU!$B$3:$E$81,4,0)</f>
        <v>#N/A</v>
      </c>
      <c r="Z4276" s="8" t="str">
        <f t="shared" si="66"/>
        <v>FLEX</v>
      </c>
      <c r="AA4276" s="8" t="e">
        <f>+VLOOKUP(I4276,[1]SKU!$H$2:$I$97,2,0)</f>
        <v>#N/A</v>
      </c>
    </row>
    <row r="4277" spans="24:27">
      <c r="X4277" s="8" t="str">
        <f>+IFERROR(VLOOKUP(N4277,[1]Hoja1!$B$2:$F$52,4,0)*P4277,"")</f>
        <v/>
      </c>
      <c r="Y4277" s="8" t="e">
        <f>+VLOOKUP(M4277,[1]SKU!$B$3:$E$81,4,0)</f>
        <v>#N/A</v>
      </c>
      <c r="Z4277" s="8" t="str">
        <f t="shared" si="66"/>
        <v>FLEX</v>
      </c>
      <c r="AA4277" s="8" t="e">
        <f>+VLOOKUP(I4277,[1]SKU!$H$2:$I$97,2,0)</f>
        <v>#N/A</v>
      </c>
    </row>
    <row r="4278" spans="24:27">
      <c r="X4278" s="8" t="str">
        <f>+IFERROR(VLOOKUP(N4278,[1]Hoja1!$B$2:$F$52,4,0)*P4278,"")</f>
        <v/>
      </c>
      <c r="Y4278" s="8" t="e">
        <f>+VLOOKUP(M4278,[1]SKU!$B$3:$E$81,4,0)</f>
        <v>#N/A</v>
      </c>
      <c r="Z4278" s="8" t="str">
        <f t="shared" si="66"/>
        <v>FLEX</v>
      </c>
      <c r="AA4278" s="8" t="e">
        <f>+VLOOKUP(I4278,[1]SKU!$H$2:$I$97,2,0)</f>
        <v>#N/A</v>
      </c>
    </row>
    <row r="4279" spans="24:27">
      <c r="X4279" s="8" t="str">
        <f>+IFERROR(VLOOKUP(N4279,[1]Hoja1!$B$2:$F$52,4,0)*P4279,"")</f>
        <v/>
      </c>
      <c r="Y4279" s="8" t="e">
        <f>+VLOOKUP(M4279,[1]SKU!$B$3:$E$81,4,0)</f>
        <v>#N/A</v>
      </c>
      <c r="Z4279" s="8" t="str">
        <f t="shared" si="66"/>
        <v>FLEX</v>
      </c>
      <c r="AA4279" s="8" t="e">
        <f>+VLOOKUP(I4279,[1]SKU!$H$2:$I$97,2,0)</f>
        <v>#N/A</v>
      </c>
    </row>
    <row r="4280" spans="24:27">
      <c r="X4280" s="8" t="str">
        <f>+IFERROR(VLOOKUP(N4280,[1]Hoja1!$B$2:$F$52,4,0)*P4280,"")</f>
        <v/>
      </c>
      <c r="Y4280" s="8" t="e">
        <f>+VLOOKUP(M4280,[1]SKU!$B$3:$E$81,4,0)</f>
        <v>#N/A</v>
      </c>
      <c r="Z4280" s="8" t="str">
        <f t="shared" si="66"/>
        <v>FLEX</v>
      </c>
      <c r="AA4280" s="8" t="e">
        <f>+VLOOKUP(I4280,[1]SKU!$H$2:$I$97,2,0)</f>
        <v>#N/A</v>
      </c>
    </row>
    <row r="4281" spans="24:27">
      <c r="X4281" s="8" t="str">
        <f>+IFERROR(VLOOKUP(N4281,[1]Hoja1!$B$2:$F$52,4,0)*P4281,"")</f>
        <v/>
      </c>
      <c r="Y4281" s="8" t="e">
        <f>+VLOOKUP(M4281,[1]SKU!$B$3:$E$81,4,0)</f>
        <v>#N/A</v>
      </c>
      <c r="Z4281" s="8" t="str">
        <f t="shared" si="66"/>
        <v>FLEX</v>
      </c>
      <c r="AA4281" s="8" t="e">
        <f>+VLOOKUP(I4281,[1]SKU!$H$2:$I$97,2,0)</f>
        <v>#N/A</v>
      </c>
    </row>
    <row r="4282" spans="24:27">
      <c r="X4282" s="8" t="str">
        <f>+IFERROR(VLOOKUP(N4282,[1]Hoja1!$B$2:$F$52,4,0)*P4282,"")</f>
        <v/>
      </c>
      <c r="Y4282" s="8" t="e">
        <f>+VLOOKUP(M4282,[1]SKU!$B$3:$E$81,4,0)</f>
        <v>#N/A</v>
      </c>
      <c r="Z4282" s="8" t="str">
        <f t="shared" si="66"/>
        <v>FLEX</v>
      </c>
      <c r="AA4282" s="8" t="e">
        <f>+VLOOKUP(I4282,[1]SKU!$H$2:$I$97,2,0)</f>
        <v>#N/A</v>
      </c>
    </row>
    <row r="4283" spans="24:27">
      <c r="X4283" s="8" t="str">
        <f>+IFERROR(VLOOKUP(N4283,[1]Hoja1!$B$2:$F$52,4,0)*P4283,"")</f>
        <v/>
      </c>
      <c r="Y4283" s="8" t="e">
        <f>+VLOOKUP(M4283,[1]SKU!$B$3:$E$81,4,0)</f>
        <v>#N/A</v>
      </c>
      <c r="Z4283" s="8" t="str">
        <f t="shared" si="66"/>
        <v>FLEX</v>
      </c>
      <c r="AA4283" s="8" t="e">
        <f>+VLOOKUP(I4283,[1]SKU!$H$2:$I$97,2,0)</f>
        <v>#N/A</v>
      </c>
    </row>
    <row r="4284" spans="24:27">
      <c r="X4284" s="8" t="str">
        <f>+IFERROR(VLOOKUP(N4284,[1]Hoja1!$B$2:$F$52,4,0)*P4284,"")</f>
        <v/>
      </c>
      <c r="Y4284" s="8" t="e">
        <f>+VLOOKUP(M4284,[1]SKU!$B$3:$E$81,4,0)</f>
        <v>#N/A</v>
      </c>
      <c r="Z4284" s="8" t="str">
        <f t="shared" si="66"/>
        <v>FLEX</v>
      </c>
      <c r="AA4284" s="8" t="e">
        <f>+VLOOKUP(I4284,[1]SKU!$H$2:$I$97,2,0)</f>
        <v>#N/A</v>
      </c>
    </row>
    <row r="4285" spans="24:27">
      <c r="X4285" s="8" t="str">
        <f>+IFERROR(VLOOKUP(N4285,[1]Hoja1!$B$2:$F$52,4,0)*P4285,"")</f>
        <v/>
      </c>
      <c r="Y4285" s="8" t="e">
        <f>+VLOOKUP(M4285,[1]SKU!$B$3:$E$81,4,0)</f>
        <v>#N/A</v>
      </c>
      <c r="Z4285" s="8" t="str">
        <f t="shared" si="66"/>
        <v>FLEX</v>
      </c>
      <c r="AA4285" s="8" t="e">
        <f>+VLOOKUP(I4285,[1]SKU!$H$2:$I$97,2,0)</f>
        <v>#N/A</v>
      </c>
    </row>
    <row r="4286" spans="24:27">
      <c r="X4286" s="8" t="str">
        <f>+IFERROR(VLOOKUP(N4286,[1]Hoja1!$B$2:$F$52,4,0)*P4286,"")</f>
        <v/>
      </c>
      <c r="Y4286" s="8" t="e">
        <f>+VLOOKUP(M4286,[1]SKU!$B$3:$E$81,4,0)</f>
        <v>#N/A</v>
      </c>
      <c r="Z4286" s="8" t="str">
        <f t="shared" si="66"/>
        <v>FLEX</v>
      </c>
      <c r="AA4286" s="8" t="e">
        <f>+VLOOKUP(I4286,[1]SKU!$H$2:$I$97,2,0)</f>
        <v>#N/A</v>
      </c>
    </row>
    <row r="4287" spans="24:27">
      <c r="X4287" s="8" t="str">
        <f>+IFERROR(VLOOKUP(N4287,[1]Hoja1!$B$2:$F$52,4,0)*P4287,"")</f>
        <v/>
      </c>
      <c r="Y4287" s="8" t="e">
        <f>+VLOOKUP(M4287,[1]SKU!$B$3:$E$81,4,0)</f>
        <v>#N/A</v>
      </c>
      <c r="Z4287" s="8" t="str">
        <f t="shared" si="66"/>
        <v>FLEX</v>
      </c>
      <c r="AA4287" s="8" t="e">
        <f>+VLOOKUP(I4287,[1]SKU!$H$2:$I$97,2,0)</f>
        <v>#N/A</v>
      </c>
    </row>
    <row r="4288" spans="24:27">
      <c r="X4288" s="8" t="str">
        <f>+IFERROR(VLOOKUP(N4288,[1]Hoja1!$B$2:$F$52,4,0)*P4288,"")</f>
        <v/>
      </c>
      <c r="Y4288" s="8" t="e">
        <f>+VLOOKUP(M4288,[1]SKU!$B$3:$E$81,4,0)</f>
        <v>#N/A</v>
      </c>
      <c r="Z4288" s="8" t="str">
        <f t="shared" si="66"/>
        <v>FLEX</v>
      </c>
      <c r="AA4288" s="8" t="e">
        <f>+VLOOKUP(I4288,[1]SKU!$H$2:$I$97,2,0)</f>
        <v>#N/A</v>
      </c>
    </row>
    <row r="4289" spans="24:27">
      <c r="X4289" s="8" t="str">
        <f>+IFERROR(VLOOKUP(N4289,[1]Hoja1!$B$2:$F$52,4,0)*P4289,"")</f>
        <v/>
      </c>
      <c r="Y4289" s="8" t="e">
        <f>+VLOOKUP(M4289,[1]SKU!$B$3:$E$81,4,0)</f>
        <v>#N/A</v>
      </c>
      <c r="Z4289" s="8" t="str">
        <f t="shared" si="66"/>
        <v>FLEX</v>
      </c>
      <c r="AA4289" s="8" t="e">
        <f>+VLOOKUP(I4289,[1]SKU!$H$2:$I$97,2,0)</f>
        <v>#N/A</v>
      </c>
    </row>
    <row r="4290" spans="24:27">
      <c r="X4290" s="8" t="str">
        <f>+IFERROR(VLOOKUP(N4290,[1]Hoja1!$B$2:$F$52,4,0)*P4290,"")</f>
        <v/>
      </c>
      <c r="Y4290" s="8" t="e">
        <f>+VLOOKUP(M4290,[1]SKU!$B$3:$E$81,4,0)</f>
        <v>#N/A</v>
      </c>
      <c r="Z4290" s="8" t="str">
        <f t="shared" si="66"/>
        <v>FLEX</v>
      </c>
      <c r="AA4290" s="8" t="e">
        <f>+VLOOKUP(I4290,[1]SKU!$H$2:$I$97,2,0)</f>
        <v>#N/A</v>
      </c>
    </row>
    <row r="4291" spans="24:27">
      <c r="X4291" s="8" t="str">
        <f>+IFERROR(VLOOKUP(N4291,[1]Hoja1!$B$2:$F$52,4,0)*P4291,"")</f>
        <v/>
      </c>
      <c r="Y4291" s="8" t="e">
        <f>+VLOOKUP(M4291,[1]SKU!$B$3:$E$81,4,0)</f>
        <v>#N/A</v>
      </c>
      <c r="Z4291" s="8" t="str">
        <f t="shared" ref="Z4291:Z4300" si="67">+IF(J4291="VB01                          ","BEES","FLEX")</f>
        <v>FLEX</v>
      </c>
      <c r="AA4291" s="8" t="e">
        <f>+VLOOKUP(I4291,[1]SKU!$H$2:$I$97,2,0)</f>
        <v>#N/A</v>
      </c>
    </row>
    <row r="4292" spans="24:27">
      <c r="X4292" s="8" t="str">
        <f>+IFERROR(VLOOKUP(N4292,[1]Hoja1!$B$2:$F$52,4,0)*P4292,"")</f>
        <v/>
      </c>
      <c r="Y4292" s="8" t="e">
        <f>+VLOOKUP(M4292,[1]SKU!$B$3:$E$81,4,0)</f>
        <v>#N/A</v>
      </c>
      <c r="Z4292" s="8" t="str">
        <f t="shared" si="67"/>
        <v>FLEX</v>
      </c>
      <c r="AA4292" s="8" t="e">
        <f>+VLOOKUP(I4292,[1]SKU!$H$2:$I$97,2,0)</f>
        <v>#N/A</v>
      </c>
    </row>
    <row r="4293" spans="24:27">
      <c r="X4293" s="8" t="str">
        <f>+IFERROR(VLOOKUP(N4293,[1]Hoja1!$B$2:$F$52,4,0)*P4293,"")</f>
        <v/>
      </c>
      <c r="Y4293" s="8" t="e">
        <f>+VLOOKUP(M4293,[1]SKU!$B$3:$E$81,4,0)</f>
        <v>#N/A</v>
      </c>
      <c r="Z4293" s="8" t="str">
        <f t="shared" si="67"/>
        <v>FLEX</v>
      </c>
      <c r="AA4293" s="8" t="e">
        <f>+VLOOKUP(I4293,[1]SKU!$H$2:$I$97,2,0)</f>
        <v>#N/A</v>
      </c>
    </row>
    <row r="4294" spans="24:27">
      <c r="X4294" s="8" t="str">
        <f>+IFERROR(VLOOKUP(N4294,[1]Hoja1!$B$2:$F$52,4,0)*P4294,"")</f>
        <v/>
      </c>
      <c r="Y4294" s="8" t="e">
        <f>+VLOOKUP(M4294,[1]SKU!$B$3:$E$81,4,0)</f>
        <v>#N/A</v>
      </c>
      <c r="Z4294" s="8" t="str">
        <f t="shared" si="67"/>
        <v>FLEX</v>
      </c>
      <c r="AA4294" s="8" t="e">
        <f>+VLOOKUP(I4294,[1]SKU!$H$2:$I$97,2,0)</f>
        <v>#N/A</v>
      </c>
    </row>
    <row r="4295" spans="24:27">
      <c r="X4295" s="8" t="str">
        <f>+IFERROR(VLOOKUP(N4295,[1]Hoja1!$B$2:$F$52,4,0)*P4295,"")</f>
        <v/>
      </c>
      <c r="Y4295" s="8" t="e">
        <f>+VLOOKUP(M4295,[1]SKU!$B$3:$E$81,4,0)</f>
        <v>#N/A</v>
      </c>
      <c r="Z4295" s="8" t="str">
        <f t="shared" si="67"/>
        <v>FLEX</v>
      </c>
      <c r="AA4295" s="8" t="e">
        <f>+VLOOKUP(I4295,[1]SKU!$H$2:$I$97,2,0)</f>
        <v>#N/A</v>
      </c>
    </row>
    <row r="4296" spans="24:27">
      <c r="X4296" s="8" t="str">
        <f>+IFERROR(VLOOKUP(N4296,[1]Hoja1!$B$2:$F$52,4,0)*P4296,"")</f>
        <v/>
      </c>
      <c r="Y4296" s="8" t="e">
        <f>+VLOOKUP(M4296,[1]SKU!$B$3:$E$81,4,0)</f>
        <v>#N/A</v>
      </c>
      <c r="Z4296" s="8" t="str">
        <f t="shared" si="67"/>
        <v>FLEX</v>
      </c>
      <c r="AA4296" s="8" t="e">
        <f>+VLOOKUP(I4296,[1]SKU!$H$2:$I$97,2,0)</f>
        <v>#N/A</v>
      </c>
    </row>
    <row r="4297" spans="24:27">
      <c r="X4297" s="8" t="str">
        <f>+IFERROR(VLOOKUP(N4297,[1]Hoja1!$B$2:$F$52,4,0)*P4297,"")</f>
        <v/>
      </c>
      <c r="Y4297" s="8" t="e">
        <f>+VLOOKUP(M4297,[1]SKU!$B$3:$E$81,4,0)</f>
        <v>#N/A</v>
      </c>
      <c r="Z4297" s="8" t="str">
        <f t="shared" si="67"/>
        <v>FLEX</v>
      </c>
      <c r="AA4297" s="8" t="e">
        <f>+VLOOKUP(I4297,[1]SKU!$H$2:$I$97,2,0)</f>
        <v>#N/A</v>
      </c>
    </row>
    <row r="4298" spans="24:27">
      <c r="X4298" s="8" t="str">
        <f>+IFERROR(VLOOKUP(N4298,[1]Hoja1!$B$2:$F$52,4,0)*P4298,"")</f>
        <v/>
      </c>
      <c r="Y4298" s="8" t="e">
        <f>+VLOOKUP(M4298,[1]SKU!$B$3:$E$81,4,0)</f>
        <v>#N/A</v>
      </c>
      <c r="Z4298" s="8" t="str">
        <f t="shared" si="67"/>
        <v>FLEX</v>
      </c>
      <c r="AA4298" s="8" t="e">
        <f>+VLOOKUP(I4298,[1]SKU!$H$2:$I$97,2,0)</f>
        <v>#N/A</v>
      </c>
    </row>
    <row r="4299" spans="24:27">
      <c r="X4299" s="8" t="str">
        <f>+IFERROR(VLOOKUP(N4299,[1]Hoja1!$B$2:$F$52,4,0)*P4299,"")</f>
        <v/>
      </c>
      <c r="Y4299" s="8" t="e">
        <f>+VLOOKUP(M4299,[1]SKU!$B$3:$E$81,4,0)</f>
        <v>#N/A</v>
      </c>
      <c r="Z4299" s="8" t="str">
        <f t="shared" si="67"/>
        <v>FLEX</v>
      </c>
      <c r="AA4299" s="8" t="e">
        <f>+VLOOKUP(I4299,[1]SKU!$H$2:$I$97,2,0)</f>
        <v>#N/A</v>
      </c>
    </row>
    <row r="4300" spans="24:27">
      <c r="X4300" s="8" t="str">
        <f>+IFERROR(VLOOKUP(N4300,[1]Hoja1!$B$2:$F$52,4,0)*P4300,"")</f>
        <v/>
      </c>
      <c r="Y4300" s="8" t="e">
        <f>+VLOOKUP(M4300,[1]SKU!$B$3:$E$81,4,0)</f>
        <v>#N/A</v>
      </c>
      <c r="Z4300" s="8" t="str">
        <f t="shared" si="67"/>
        <v>FLEX</v>
      </c>
      <c r="AA4300" s="8" t="e">
        <f>+VLOOKUP(I4300,[1]SKU!$H$2:$I$97,2,0)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vista1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Noble SupVent2</dc:creator>
  <cp:lastModifiedBy>sup.ventas2@noblesac.net</cp:lastModifiedBy>
  <dcterms:created xsi:type="dcterms:W3CDTF">2026-09-29T20:45:18Z</dcterms:created>
  <dcterms:modified xsi:type="dcterms:W3CDTF">2026-09-30T20:41:27Z</dcterms:modified>
</cp:coreProperties>
</file>